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pivotTables/pivotTable1.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ArpitPatel\Downloads\"/>
    </mc:Choice>
  </mc:AlternateContent>
  <xr:revisionPtr revIDLastSave="0" documentId="13_ncr:1_{89A539F9-A220-4428-8333-BC9C9A4686A1}" xr6:coauthVersionLast="47" xr6:coauthVersionMax="47" xr10:uidLastSave="{00000000-0000-0000-0000-000000000000}"/>
  <bookViews>
    <workbookView xWindow="28680" yWindow="-675" windowWidth="29040" windowHeight="15720" tabRatio="876" firstSheet="1" activeTab="3" xr2:uid="{FD0F0200-8B9B-4F25-A5D7-17EAAD4691D9}"/>
  </bookViews>
  <sheets>
    <sheet name="Project Profitability Points" sheetId="75" state="hidden" r:id="rId1"/>
    <sheet name="Cover" sheetId="2" r:id="rId2"/>
    <sheet name="Index" sheetId="3" r:id="rId3"/>
    <sheet name="BS" sheetId="60" r:id="rId4"/>
    <sheet name="Charts" sheetId="74" state="hidden" r:id="rId5"/>
    <sheet name="Charts Data" sheetId="72" state="hidden" r:id="rId6"/>
    <sheet name="Profit and Loss by Month" sheetId="70" r:id="rId7"/>
    <sheet name="Profit &amp; Loss - Division(Month)" sheetId="67" r:id="rId8"/>
    <sheet name="Profit and Loss - Division(YTD)" sheetId="71" r:id="rId9"/>
    <sheet name="Statement of Cash Flows" sheetId="68" r:id="rId10"/>
    <sheet name="Profit and Loss - YOY Summary" sheetId="84" r:id="rId11"/>
    <sheet name="Profit and Loss - YOY Detail" sheetId="86" r:id="rId12"/>
    <sheet name="Project Profitability Report" sheetId="87" r:id="rId13"/>
    <sheet name="Profit and Loss-MOM" sheetId="85" state="hidden" r:id="rId14"/>
    <sheet name="COGS Preparyment V2" sheetId="76" state="hidden" r:id="rId15"/>
    <sheet name="Cost of Materials" sheetId="77" state="hidden" r:id="rId16"/>
    <sheet name="PE" sheetId="28" r:id="rId17"/>
    <sheet name="AR" sheetId="30" r:id="rId18"/>
    <sheet name="FA" sheetId="24" r:id="rId19"/>
    <sheet name="OA" sheetId="62" r:id="rId20"/>
    <sheet name="AP" sheetId="81" r:id="rId21"/>
    <sheet name="AE" sheetId="63" r:id="rId22"/>
    <sheet name="AE-SL" sheetId="64" r:id="rId23"/>
    <sheet name="IL" sheetId="80" r:id="rId24"/>
    <sheet name="SL" sheetId="65" r:id="rId25"/>
    <sheet name="RL" sheetId="79" r:id="rId26"/>
    <sheet name="AL" sheetId="66" r:id="rId27"/>
    <sheet name="AI" sheetId="83" r:id="rId28"/>
  </sheets>
  <externalReferences>
    <externalReference r:id="rId29"/>
    <externalReference r:id="rId30"/>
  </externalReferences>
  <definedNames>
    <definedName name="_xlnm._FilterDatabase" localSheetId="22" hidden="1">'AE-SL'!$B$4:$M$683</definedName>
    <definedName name="_xlnm._FilterDatabase" localSheetId="27" hidden="1">AI!#REF!</definedName>
    <definedName name="_xlnm._FilterDatabase" localSheetId="20" hidden="1">AP!$B$10:$I$102</definedName>
    <definedName name="_xlnm._FilterDatabase" localSheetId="17" hidden="1">AR!$B$11:$I$55</definedName>
    <definedName name="_xlnm._FilterDatabase" localSheetId="3" hidden="1">BS!$B$7:$E$72</definedName>
    <definedName name="_xlnm._FilterDatabase" localSheetId="14" hidden="1">'COGS Preparyment V2'!$B$1:$L$120</definedName>
    <definedName name="_xlnm._FilterDatabase" localSheetId="8" hidden="1">'Profit and Loss - Division(YTD)'!$B$8:$N$95</definedName>
    <definedName name="_xlnm._FilterDatabase" localSheetId="11" hidden="1">'Profit and Loss - YOY Detail'!$A$6:$Q$104</definedName>
    <definedName name="_xlnm._FilterDatabase" localSheetId="6" hidden="1">'Profit and Loss by Month'!$B$6:$U$103</definedName>
    <definedName name="_xlnm._FilterDatabase" localSheetId="12" hidden="1">'Project Profitability Report'!$B$6:$T$99</definedName>
    <definedName name="Accrued_Income">AI!$B$3</definedName>
    <definedName name="Amex_Loan">AL!$B$5</definedName>
    <definedName name="B_S">BS!$B$4</definedName>
    <definedName name="ColumnTitle1">#REF!</definedName>
    <definedName name="EndingBalance" localSheetId="20">-FV(InterestRate/12,AP!PaymentNumber,-AP!MonthlyPayment,LoanAmount)</definedName>
    <definedName name="EndingBalance">-FV(InterestRate/12,PaymentNumber,-MonthlyPayment,LoanAmount)</definedName>
    <definedName name="HeaderRow">ROW(#REF!)</definedName>
    <definedName name="I_L">IL!$B$5</definedName>
    <definedName name="InterestAmt" localSheetId="20">-IPMT(InterestRate/12,AP!PaymentNumber,NumberOfPayments,LoanAmount)</definedName>
    <definedName name="InterestAmt">-IPMT(InterestRate/12,PaymentNumber,NumberOfPayments,LoanAmount)</definedName>
    <definedName name="InterestRate">#REF!</definedName>
    <definedName name="LastCol">COUNTA(#REF!)</definedName>
    <definedName name="LastRow">MATCH(9.99E+307,#REF!)</definedName>
    <definedName name="LoanAmount">#REF!</definedName>
    <definedName name="LoanIsGood" localSheetId="20">IF(LoanAmount*InterestRate*LoanYears*LoanStartDate&gt;0,1,0)</definedName>
    <definedName name="LoanIsGood">IF(LoanAmount*InterestRate*LoanYears*LoanStartDate&gt;0,1,0)</definedName>
    <definedName name="LoanIsNotPaid" localSheetId="20">IF(AP!PaymentNumber&lt;=NumberOfPayments,1,0)</definedName>
    <definedName name="LoanIsNotPaid">IF(PaymentNumber&lt;=NumberOfPayments,1,0)</definedName>
    <definedName name="LoanStartDate">#REF!</definedName>
    <definedName name="LoanValue" localSheetId="20">-FV(InterestRate/12,AP!PaymentNumber-1,-AP!MonthlyPayment,LoanAmount)</definedName>
    <definedName name="LoanValue">-FV(InterestRate/12,PaymentNumber-1,-MonthlyPayment,LoanAmount)</definedName>
    <definedName name="LoanYears">#REF!</definedName>
    <definedName name="MonthlyPayment" localSheetId="20">-PMT(InterestRate/12,NumberOfPayments,LoanAmount)</definedName>
    <definedName name="MonthlyPayment">-PMT(InterestRate/12,NumberOfPayments,LoanAmount)</definedName>
    <definedName name="NumberOfPayments">#REF!</definedName>
    <definedName name="P_L">'Profit and Loss by Month'!$B$3</definedName>
    <definedName name="PaymentDate" localSheetId="20">DATE(YEAR(LoanStartDate),MONTH(LoanStartDate)+AP!PaymentNumber,DAY(LoanStartDate))</definedName>
    <definedName name="PaymentDate">DATE(YEAR(LoanStartDate),MONTH(LoanStartDate)+PaymentNumber,DAY(LoanStartDate))</definedName>
    <definedName name="PaymentNumber" localSheetId="20">ROW()-HeaderRow</definedName>
    <definedName name="PaymentNumber">ROW()-HeaderRow</definedName>
    <definedName name="PL_DM">'Profit &amp; Loss - Division(Month)'!$B$3</definedName>
    <definedName name="PL_YTD">'Profit and Loss - Division(YTD)'!$B$3</definedName>
    <definedName name="Principal" localSheetId="20">-PPMT(InterestRate/12,AP!PaymentNumber,NumberOfPayments,LoanAmount)</definedName>
    <definedName name="Principal">-PPMT(InterestRate/12,PaymentNumber,NumberOfPayments,LoanAmount)</definedName>
    <definedName name="_xlnm.Print_Area" localSheetId="27">AI!$B$1:$Q$62</definedName>
    <definedName name="PrintArea_SET" localSheetId="20">OFFSET(#REF!,,,LastRow,LastCol)</definedName>
    <definedName name="PrintArea_SET">OFFSET(#REF!,,,LastRow,LastCol)</definedName>
    <definedName name="R_L">RL!$B$5</definedName>
    <definedName name="RowTitleRegion1..D6">#REF!</definedName>
    <definedName name="RowTitleRegion2..H6">#REF!</definedName>
    <definedName name="Total_Interest">#REF!</definedName>
    <definedName name="TotalLoanCost">#REF!</definedName>
  </definedNames>
  <calcPr calcId="191028"/>
  <pivotCaches>
    <pivotCache cacheId="0"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81" l="1"/>
  <c r="H8" i="84"/>
  <c r="K8" i="84" l="1"/>
  <c r="L8" i="84"/>
  <c r="I8" i="84"/>
  <c r="J8" i="84"/>
  <c r="E41" i="68" l="1"/>
  <c r="D41" i="68"/>
  <c r="C41" i="68"/>
  <c r="F41" i="68" s="1"/>
  <c r="F40" i="68"/>
  <c r="F39" i="68"/>
  <c r="F38" i="68"/>
  <c r="F36" i="68"/>
  <c r="E36" i="68"/>
  <c r="D36" i="68"/>
  <c r="C36" i="68"/>
  <c r="F35" i="68"/>
  <c r="F34" i="68"/>
  <c r="F33" i="68"/>
  <c r="E30" i="68"/>
  <c r="F30" i="68" s="1"/>
  <c r="D30" i="68"/>
  <c r="D31" i="68" s="1"/>
  <c r="D42" i="68" s="1"/>
  <c r="C30" i="68"/>
  <c r="C31" i="68" s="1"/>
  <c r="F29" i="68"/>
  <c r="F28" i="68"/>
  <c r="F27" i="68"/>
  <c r="F26" i="68"/>
  <c r="F25" i="68"/>
  <c r="F24" i="68"/>
  <c r="F23" i="68"/>
  <c r="F22" i="68"/>
  <c r="F21" i="68"/>
  <c r="F20" i="68"/>
  <c r="F19" i="68"/>
  <c r="F18" i="68"/>
  <c r="F17" i="68"/>
  <c r="F16" i="68"/>
  <c r="F15" i="68"/>
  <c r="F14" i="68"/>
  <c r="F13" i="68"/>
  <c r="F12" i="68"/>
  <c r="F11" i="68"/>
  <c r="F10" i="68"/>
  <c r="F8" i="68"/>
  <c r="O11" i="71"/>
  <c r="O10" i="67"/>
  <c r="K9" i="70"/>
  <c r="E11" i="83"/>
  <c r="G11" i="83" s="1"/>
  <c r="J32" i="83"/>
  <c r="J33" i="83"/>
  <c r="J34" i="83"/>
  <c r="J35" i="83"/>
  <c r="J31" i="83"/>
  <c r="J15" i="83"/>
  <c r="J16" i="83"/>
  <c r="G10" i="83"/>
  <c r="G12" i="83"/>
  <c r="G13" i="83"/>
  <c r="G14" i="83"/>
  <c r="F11" i="83"/>
  <c r="N14" i="86"/>
  <c r="K59" i="70"/>
  <c r="H102" i="81"/>
  <c r="C8" i="66"/>
  <c r="C8" i="79"/>
  <c r="C6" i="65"/>
  <c r="C8" i="80"/>
  <c r="B5" i="65"/>
  <c r="B5" i="66"/>
  <c r="B5" i="79"/>
  <c r="B5" i="80"/>
  <c r="J10" i="87"/>
  <c r="J11" i="87"/>
  <c r="K11" i="87" s="1"/>
  <c r="M97" i="87"/>
  <c r="Q36" i="87"/>
  <c r="R36" i="87" s="1"/>
  <c r="Q37" i="87"/>
  <c r="R37" i="87" s="1"/>
  <c r="Q38" i="87"/>
  <c r="R38" i="87" s="1"/>
  <c r="Q39" i="87"/>
  <c r="R39" i="87" s="1"/>
  <c r="Q40" i="87"/>
  <c r="R40" i="87" s="1"/>
  <c r="Q41" i="87"/>
  <c r="R41" i="87" s="1"/>
  <c r="Q42" i="87"/>
  <c r="R42" i="87" s="1"/>
  <c r="Q43" i="87"/>
  <c r="R43" i="87" s="1"/>
  <c r="Q44" i="87"/>
  <c r="R44" i="87" s="1"/>
  <c r="Q45" i="87"/>
  <c r="R45" i="87" s="1"/>
  <c r="Q46" i="87"/>
  <c r="R46" i="87" s="1"/>
  <c r="Q47" i="87"/>
  <c r="R47" i="87" s="1"/>
  <c r="Q48" i="87"/>
  <c r="R48" i="87" s="1"/>
  <c r="Q49" i="87"/>
  <c r="R49" i="87" s="1"/>
  <c r="Q50" i="87"/>
  <c r="R50" i="87" s="1"/>
  <c r="Q51" i="87"/>
  <c r="R51" i="87" s="1"/>
  <c r="Q52" i="87"/>
  <c r="R52" i="87" s="1"/>
  <c r="Q53" i="87"/>
  <c r="R53" i="87" s="1"/>
  <c r="Q54" i="87"/>
  <c r="R54" i="87" s="1"/>
  <c r="Q55" i="87"/>
  <c r="R55" i="87" s="1"/>
  <c r="Q56" i="87"/>
  <c r="R56" i="87" s="1"/>
  <c r="Q57" i="87"/>
  <c r="R57" i="87" s="1"/>
  <c r="Q58" i="87"/>
  <c r="R58" i="87" s="1"/>
  <c r="Q59" i="87"/>
  <c r="R59" i="87" s="1"/>
  <c r="Q60" i="87"/>
  <c r="R60" i="87" s="1"/>
  <c r="Q61" i="87"/>
  <c r="R61" i="87" s="1"/>
  <c r="Q62" i="87"/>
  <c r="R62" i="87" s="1"/>
  <c r="Q63" i="87"/>
  <c r="R63" i="87" s="1"/>
  <c r="Q64" i="87"/>
  <c r="R64" i="87" s="1"/>
  <c r="Q65" i="87"/>
  <c r="R65" i="87" s="1"/>
  <c r="Q66" i="87"/>
  <c r="R66" i="87" s="1"/>
  <c r="Q67" i="87"/>
  <c r="R67" i="87" s="1"/>
  <c r="P36" i="87"/>
  <c r="P37" i="87"/>
  <c r="P38" i="87"/>
  <c r="P39" i="87"/>
  <c r="P40" i="87"/>
  <c r="P41" i="87"/>
  <c r="P42" i="87"/>
  <c r="P43" i="87"/>
  <c r="P44" i="87"/>
  <c r="P45" i="87"/>
  <c r="P46" i="87"/>
  <c r="P47" i="87"/>
  <c r="P48" i="87"/>
  <c r="P49" i="87"/>
  <c r="P50" i="87"/>
  <c r="P51" i="87"/>
  <c r="P52" i="87"/>
  <c r="P53" i="87"/>
  <c r="P54" i="87"/>
  <c r="P55" i="87"/>
  <c r="P56" i="87"/>
  <c r="P57" i="87"/>
  <c r="P58" i="87"/>
  <c r="P59" i="87"/>
  <c r="P60" i="87"/>
  <c r="P61" i="87"/>
  <c r="P62" i="87"/>
  <c r="P63" i="87"/>
  <c r="P64" i="87"/>
  <c r="P65" i="87"/>
  <c r="P66" i="87"/>
  <c r="P67" i="87"/>
  <c r="J36" i="87"/>
  <c r="K36" i="87" s="1"/>
  <c r="J37" i="87"/>
  <c r="K37" i="87" s="1"/>
  <c r="J38" i="87"/>
  <c r="K38" i="87" s="1"/>
  <c r="J39" i="87"/>
  <c r="K39" i="87" s="1"/>
  <c r="J40" i="87"/>
  <c r="K40" i="87" s="1"/>
  <c r="J41" i="87"/>
  <c r="K41" i="87" s="1"/>
  <c r="J42" i="87"/>
  <c r="K42" i="87" s="1"/>
  <c r="J43" i="87"/>
  <c r="K43" i="87" s="1"/>
  <c r="J44" i="87"/>
  <c r="K44" i="87" s="1"/>
  <c r="J45" i="87"/>
  <c r="K45" i="87" s="1"/>
  <c r="J46" i="87"/>
  <c r="K46" i="87" s="1"/>
  <c r="J47" i="87"/>
  <c r="K47" i="87" s="1"/>
  <c r="J48" i="87"/>
  <c r="K48" i="87" s="1"/>
  <c r="J49" i="87"/>
  <c r="K49" i="87" s="1"/>
  <c r="J50" i="87"/>
  <c r="K50" i="87" s="1"/>
  <c r="J51" i="87"/>
  <c r="K51" i="87" s="1"/>
  <c r="J52" i="87"/>
  <c r="K52" i="87" s="1"/>
  <c r="J53" i="87"/>
  <c r="K53" i="87" s="1"/>
  <c r="J54" i="87"/>
  <c r="K54" i="87" s="1"/>
  <c r="J55" i="87"/>
  <c r="K55" i="87" s="1"/>
  <c r="J56" i="87"/>
  <c r="K56" i="87" s="1"/>
  <c r="J57" i="87"/>
  <c r="K57" i="87" s="1"/>
  <c r="J58" i="87"/>
  <c r="K58" i="87" s="1"/>
  <c r="J59" i="87"/>
  <c r="K59" i="87" s="1"/>
  <c r="J60" i="87"/>
  <c r="K60" i="87" s="1"/>
  <c r="J61" i="87"/>
  <c r="K61" i="87" s="1"/>
  <c r="J62" i="87"/>
  <c r="K62" i="87" s="1"/>
  <c r="J63" i="87"/>
  <c r="K63" i="87" s="1"/>
  <c r="J64" i="87"/>
  <c r="K64" i="87" s="1"/>
  <c r="J65" i="87"/>
  <c r="K65" i="87" s="1"/>
  <c r="J66" i="87"/>
  <c r="K66" i="87" s="1"/>
  <c r="J67" i="87"/>
  <c r="K67" i="87" s="1"/>
  <c r="P11" i="87"/>
  <c r="Q11" i="87"/>
  <c r="R11" i="87" s="1"/>
  <c r="C42" i="68" l="1"/>
  <c r="E31" i="68"/>
  <c r="E42" i="68" s="1"/>
  <c r="S11" i="87"/>
  <c r="F42" i="68" l="1"/>
  <c r="F31" i="68"/>
  <c r="M100" i="86"/>
  <c r="M99" i="86"/>
  <c r="K97" i="86"/>
  <c r="J97" i="86"/>
  <c r="M97" i="86" s="1"/>
  <c r="M96" i="86"/>
  <c r="K94" i="86"/>
  <c r="J94" i="86"/>
  <c r="M94" i="86" s="1"/>
  <c r="K87" i="86"/>
  <c r="K88" i="86" s="1"/>
  <c r="J87" i="86"/>
  <c r="M87" i="86" s="1"/>
  <c r="G87" i="86"/>
  <c r="G88" i="86" s="1"/>
  <c r="F87" i="86"/>
  <c r="I87" i="86" s="1"/>
  <c r="C87" i="86"/>
  <c r="C88" i="86" s="1"/>
  <c r="B87" i="86"/>
  <c r="E87" i="86" s="1"/>
  <c r="O86" i="86"/>
  <c r="N86" i="86"/>
  <c r="Q86" i="86" s="1"/>
  <c r="M86" i="86"/>
  <c r="L86" i="86"/>
  <c r="I86" i="86"/>
  <c r="H86" i="86"/>
  <c r="E86" i="86"/>
  <c r="D86" i="86"/>
  <c r="O85" i="86"/>
  <c r="Q85" i="86" s="1"/>
  <c r="N85" i="86"/>
  <c r="M85" i="86"/>
  <c r="L85" i="86"/>
  <c r="L94" i="86" s="1"/>
  <c r="I85" i="86"/>
  <c r="H85" i="86"/>
  <c r="E85" i="86"/>
  <c r="D85" i="86"/>
  <c r="O84" i="86"/>
  <c r="N84" i="86"/>
  <c r="M84" i="86"/>
  <c r="L84" i="86"/>
  <c r="I84" i="86"/>
  <c r="H84" i="86"/>
  <c r="E84" i="86"/>
  <c r="D84" i="86"/>
  <c r="O83" i="86"/>
  <c r="N83" i="86"/>
  <c r="P83" i="86" s="1"/>
  <c r="M83" i="86"/>
  <c r="L83" i="86"/>
  <c r="L97" i="86" s="1"/>
  <c r="I83" i="86"/>
  <c r="H83" i="86"/>
  <c r="E83" i="86"/>
  <c r="D83" i="86"/>
  <c r="N82" i="86"/>
  <c r="P82" i="86" s="1"/>
  <c r="L82" i="86"/>
  <c r="H82" i="86"/>
  <c r="J80" i="86"/>
  <c r="L80" i="86" s="1"/>
  <c r="D80" i="86"/>
  <c r="B80" i="86"/>
  <c r="N80" i="86" s="1"/>
  <c r="P80" i="86" s="1"/>
  <c r="N79" i="86"/>
  <c r="P79" i="86" s="1"/>
  <c r="L79" i="86"/>
  <c r="N78" i="86"/>
  <c r="P78" i="86" s="1"/>
  <c r="L78" i="86"/>
  <c r="D78" i="86"/>
  <c r="O74" i="86"/>
  <c r="Q74" i="86" s="1"/>
  <c r="E74" i="86"/>
  <c r="D74" i="86"/>
  <c r="K73" i="86"/>
  <c r="J73" i="86"/>
  <c r="L73" i="86" s="1"/>
  <c r="H73" i="86"/>
  <c r="G73" i="86"/>
  <c r="F73" i="86"/>
  <c r="I73" i="86" s="1"/>
  <c r="D73" i="86"/>
  <c r="C73" i="86"/>
  <c r="O73" i="86" s="1"/>
  <c r="B73" i="86"/>
  <c r="O72" i="86"/>
  <c r="Q72" i="86" s="1"/>
  <c r="M72" i="86"/>
  <c r="L72" i="86"/>
  <c r="P71" i="86"/>
  <c r="O71" i="86"/>
  <c r="Q71" i="86" s="1"/>
  <c r="I71" i="86"/>
  <c r="H71" i="86"/>
  <c r="Q70" i="86"/>
  <c r="O70" i="86"/>
  <c r="P70" i="86" s="1"/>
  <c r="E70" i="86"/>
  <c r="D70" i="86"/>
  <c r="N69" i="86"/>
  <c r="P69" i="86" s="1"/>
  <c r="H69" i="86"/>
  <c r="D69" i="86"/>
  <c r="N68" i="86"/>
  <c r="P68" i="86" s="1"/>
  <c r="L68" i="86"/>
  <c r="H68" i="86"/>
  <c r="D68" i="86"/>
  <c r="N67" i="86"/>
  <c r="P67" i="86" s="1"/>
  <c r="H67" i="86"/>
  <c r="D67" i="86"/>
  <c r="O66" i="86"/>
  <c r="P66" i="86" s="1"/>
  <c r="N66" i="86"/>
  <c r="M66" i="86"/>
  <c r="L66" i="86"/>
  <c r="I66" i="86"/>
  <c r="H66" i="86"/>
  <c r="E66" i="86"/>
  <c r="D66" i="86"/>
  <c r="O65" i="86"/>
  <c r="N65" i="86"/>
  <c r="M65" i="86"/>
  <c r="L65" i="86"/>
  <c r="I65" i="86"/>
  <c r="H65" i="86"/>
  <c r="E65" i="86"/>
  <c r="D65" i="86"/>
  <c r="O64" i="86"/>
  <c r="N64" i="86"/>
  <c r="Q64" i="86" s="1"/>
  <c r="M64" i="86"/>
  <c r="L64" i="86"/>
  <c r="I64" i="86"/>
  <c r="H64" i="86"/>
  <c r="E64" i="86"/>
  <c r="D64" i="86"/>
  <c r="O63" i="86"/>
  <c r="N63" i="86"/>
  <c r="Q63" i="86" s="1"/>
  <c r="M63" i="86"/>
  <c r="L63" i="86"/>
  <c r="H63" i="86"/>
  <c r="D63" i="86"/>
  <c r="O62" i="86"/>
  <c r="N62" i="86"/>
  <c r="Q62" i="86" s="1"/>
  <c r="M62" i="86"/>
  <c r="L62" i="86"/>
  <c r="I62" i="86"/>
  <c r="H62" i="86"/>
  <c r="E62" i="86"/>
  <c r="D62" i="86"/>
  <c r="O61" i="86"/>
  <c r="Q61" i="86" s="1"/>
  <c r="N61" i="86"/>
  <c r="M61" i="86"/>
  <c r="L61" i="86"/>
  <c r="H61" i="86"/>
  <c r="E61" i="86"/>
  <c r="D61" i="86"/>
  <c r="O60" i="86"/>
  <c r="N60" i="86"/>
  <c r="Q60" i="86" s="1"/>
  <c r="M60" i="86"/>
  <c r="L60" i="86"/>
  <c r="I60" i="86"/>
  <c r="H60" i="86"/>
  <c r="E60" i="86"/>
  <c r="D60" i="86"/>
  <c r="O59" i="86"/>
  <c r="N59" i="86"/>
  <c r="Q59" i="86" s="1"/>
  <c r="M59" i="86"/>
  <c r="L59" i="86"/>
  <c r="I59" i="86"/>
  <c r="H59" i="86"/>
  <c r="E59" i="86"/>
  <c r="D59" i="86"/>
  <c r="P58" i="86"/>
  <c r="O58" i="86"/>
  <c r="N58" i="86"/>
  <c r="Q58" i="86" s="1"/>
  <c r="M58" i="86"/>
  <c r="L58" i="86"/>
  <c r="I58" i="86"/>
  <c r="H58" i="86"/>
  <c r="E58" i="86"/>
  <c r="D58" i="86"/>
  <c r="O57" i="86"/>
  <c r="N57" i="86"/>
  <c r="Q57" i="86" s="1"/>
  <c r="M57" i="86"/>
  <c r="L57" i="86"/>
  <c r="I57" i="86"/>
  <c r="H57" i="86"/>
  <c r="E57" i="86"/>
  <c r="D57" i="86"/>
  <c r="K55" i="86"/>
  <c r="J55" i="86"/>
  <c r="M55" i="86" s="1"/>
  <c r="I55" i="86"/>
  <c r="H55" i="86"/>
  <c r="G55" i="86"/>
  <c r="F55" i="86"/>
  <c r="E55" i="86"/>
  <c r="D55" i="86"/>
  <c r="C55" i="86"/>
  <c r="O55" i="86" s="1"/>
  <c r="B55" i="86"/>
  <c r="N54" i="86"/>
  <c r="P54" i="86" s="1"/>
  <c r="L54" i="86"/>
  <c r="P53" i="86"/>
  <c r="O53" i="86"/>
  <c r="N53" i="86"/>
  <c r="Q53" i="86" s="1"/>
  <c r="M53" i="86"/>
  <c r="L53" i="86"/>
  <c r="I53" i="86"/>
  <c r="H53" i="86"/>
  <c r="E53" i="86"/>
  <c r="D53" i="86"/>
  <c r="O52" i="86"/>
  <c r="N52" i="86"/>
  <c r="Q52" i="86" s="1"/>
  <c r="M52" i="86"/>
  <c r="L52" i="86"/>
  <c r="I52" i="86"/>
  <c r="H52" i="86"/>
  <c r="E52" i="86"/>
  <c r="D52" i="86"/>
  <c r="N51" i="86"/>
  <c r="P51" i="86" s="1"/>
  <c r="L51" i="86"/>
  <c r="H51" i="86"/>
  <c r="D51" i="86"/>
  <c r="O50" i="86"/>
  <c r="N50" i="86"/>
  <c r="Q50" i="86" s="1"/>
  <c r="M50" i="86"/>
  <c r="L50" i="86"/>
  <c r="I50" i="86"/>
  <c r="H50" i="86"/>
  <c r="E50" i="86"/>
  <c r="D50" i="86"/>
  <c r="K48" i="86"/>
  <c r="J48" i="86"/>
  <c r="M48" i="86" s="1"/>
  <c r="G48" i="86"/>
  <c r="G75" i="86" s="1"/>
  <c r="F48" i="86"/>
  <c r="I48" i="86" s="1"/>
  <c r="C48" i="86"/>
  <c r="O48" i="86" s="1"/>
  <c r="B48" i="86"/>
  <c r="O47" i="86"/>
  <c r="N47" i="86"/>
  <c r="Q47" i="86" s="1"/>
  <c r="M47" i="86"/>
  <c r="L47" i="86"/>
  <c r="I47" i="86"/>
  <c r="H47" i="86"/>
  <c r="E47" i="86"/>
  <c r="D47" i="86"/>
  <c r="O46" i="86"/>
  <c r="N46" i="86"/>
  <c r="Q46" i="86" s="1"/>
  <c r="M46" i="86"/>
  <c r="L46" i="86"/>
  <c r="I46" i="86"/>
  <c r="H46" i="86"/>
  <c r="E46" i="86"/>
  <c r="D46" i="86"/>
  <c r="O45" i="86"/>
  <c r="N45" i="86"/>
  <c r="Q45" i="86" s="1"/>
  <c r="M45" i="86"/>
  <c r="L45" i="86"/>
  <c r="I45" i="86"/>
  <c r="H45" i="86"/>
  <c r="E45" i="86"/>
  <c r="D45" i="86"/>
  <c r="Q44" i="86"/>
  <c r="P44" i="86"/>
  <c r="O44" i="86"/>
  <c r="N44" i="86"/>
  <c r="M44" i="86"/>
  <c r="L44" i="86"/>
  <c r="I44" i="86"/>
  <c r="H44" i="86"/>
  <c r="D44" i="86"/>
  <c r="P43" i="86"/>
  <c r="O43" i="86"/>
  <c r="L43" i="86"/>
  <c r="M42" i="86"/>
  <c r="L42" i="86"/>
  <c r="K42" i="86"/>
  <c r="J42" i="86"/>
  <c r="I42" i="86"/>
  <c r="H42" i="86"/>
  <c r="G42" i="86"/>
  <c r="F42" i="86"/>
  <c r="E42" i="86"/>
  <c r="D42" i="86"/>
  <c r="C42" i="86"/>
  <c r="O42" i="86" s="1"/>
  <c r="B42" i="86"/>
  <c r="N42" i="86" s="1"/>
  <c r="Q41" i="86"/>
  <c r="P41" i="86"/>
  <c r="O41" i="86"/>
  <c r="N41" i="86"/>
  <c r="M41" i="86"/>
  <c r="L41" i="86"/>
  <c r="I41" i="86"/>
  <c r="H41" i="86"/>
  <c r="E41" i="86"/>
  <c r="D41" i="86"/>
  <c r="O40" i="86"/>
  <c r="N40" i="86"/>
  <c r="Q40" i="86" s="1"/>
  <c r="M40" i="86"/>
  <c r="L40" i="86"/>
  <c r="I40" i="86"/>
  <c r="H40" i="86"/>
  <c r="E40" i="86"/>
  <c r="D40" i="86"/>
  <c r="O39" i="86"/>
  <c r="N39" i="86"/>
  <c r="Q39" i="86" s="1"/>
  <c r="M39" i="86"/>
  <c r="L39" i="86"/>
  <c r="I39" i="86"/>
  <c r="H39" i="86"/>
  <c r="E39" i="86"/>
  <c r="D39" i="86"/>
  <c r="O38" i="86"/>
  <c r="N38" i="86"/>
  <c r="Q38" i="86" s="1"/>
  <c r="M38" i="86"/>
  <c r="L38" i="86"/>
  <c r="I38" i="86"/>
  <c r="H38" i="86"/>
  <c r="E38" i="86"/>
  <c r="D38" i="86"/>
  <c r="K36" i="86"/>
  <c r="L36" i="86" s="1"/>
  <c r="J36" i="86"/>
  <c r="I36" i="86"/>
  <c r="G36" i="86"/>
  <c r="H36" i="86" s="1"/>
  <c r="F36" i="86"/>
  <c r="E36" i="86"/>
  <c r="C36" i="86"/>
  <c r="D36" i="86" s="1"/>
  <c r="B36" i="86"/>
  <c r="N36" i="86" s="1"/>
  <c r="Q35" i="86"/>
  <c r="O35" i="86"/>
  <c r="N35" i="86"/>
  <c r="M35" i="86"/>
  <c r="L35" i="86"/>
  <c r="I35" i="86"/>
  <c r="H35" i="86"/>
  <c r="E35" i="86"/>
  <c r="D35" i="86"/>
  <c r="O34" i="86"/>
  <c r="N34" i="86"/>
  <c r="P34" i="86" s="1"/>
  <c r="M34" i="86"/>
  <c r="L34" i="86"/>
  <c r="I34" i="86"/>
  <c r="H34" i="86"/>
  <c r="E34" i="86"/>
  <c r="D34" i="86"/>
  <c r="O33" i="86"/>
  <c r="N33" i="86"/>
  <c r="Q33" i="86" s="1"/>
  <c r="M33" i="86"/>
  <c r="L33" i="86"/>
  <c r="H33" i="86"/>
  <c r="E33" i="86"/>
  <c r="D33" i="86"/>
  <c r="O32" i="86"/>
  <c r="N32" i="86"/>
  <c r="Q32" i="86" s="1"/>
  <c r="M32" i="86"/>
  <c r="L32" i="86"/>
  <c r="I32" i="86"/>
  <c r="H32" i="86"/>
  <c r="E32" i="86"/>
  <c r="D32" i="86"/>
  <c r="O30" i="86"/>
  <c r="N30" i="86"/>
  <c r="P30" i="86" s="1"/>
  <c r="L30" i="86"/>
  <c r="H30" i="86"/>
  <c r="D30" i="86"/>
  <c r="N29" i="86"/>
  <c r="P29" i="86" s="1"/>
  <c r="H29" i="86"/>
  <c r="D29" i="86"/>
  <c r="O28" i="86"/>
  <c r="N28" i="86"/>
  <c r="Q28" i="86" s="1"/>
  <c r="M28" i="86"/>
  <c r="L28" i="86"/>
  <c r="I28" i="86"/>
  <c r="H28" i="86"/>
  <c r="E28" i="86"/>
  <c r="D28" i="86"/>
  <c r="O27" i="86"/>
  <c r="N27" i="86"/>
  <c r="Q27" i="86" s="1"/>
  <c r="M27" i="86"/>
  <c r="L27" i="86"/>
  <c r="I27" i="86"/>
  <c r="H27" i="86"/>
  <c r="E27" i="86"/>
  <c r="D27" i="86"/>
  <c r="O26" i="86"/>
  <c r="N26" i="86"/>
  <c r="Q26" i="86" s="1"/>
  <c r="L26" i="86"/>
  <c r="I26" i="86"/>
  <c r="H26" i="86"/>
  <c r="D26" i="86"/>
  <c r="K25" i="86"/>
  <c r="J25" i="86"/>
  <c r="G25" i="86"/>
  <c r="F25" i="86"/>
  <c r="F75" i="86" s="1"/>
  <c r="C25" i="86"/>
  <c r="B25" i="86"/>
  <c r="B75" i="86" s="1"/>
  <c r="O24" i="86"/>
  <c r="N24" i="86"/>
  <c r="Q24" i="86" s="1"/>
  <c r="M24" i="86"/>
  <c r="L24" i="86"/>
  <c r="I24" i="86"/>
  <c r="H24" i="86"/>
  <c r="E24" i="86"/>
  <c r="D24" i="86"/>
  <c r="O23" i="86"/>
  <c r="N23" i="86"/>
  <c r="P23" i="86" s="1"/>
  <c r="M23" i="86"/>
  <c r="L23" i="86"/>
  <c r="I23" i="86"/>
  <c r="H23" i="86"/>
  <c r="E23" i="86"/>
  <c r="D23" i="86"/>
  <c r="O22" i="86"/>
  <c r="N22" i="86"/>
  <c r="Q22" i="86" s="1"/>
  <c r="M22" i="86"/>
  <c r="L22" i="86"/>
  <c r="I22" i="86"/>
  <c r="H22" i="86"/>
  <c r="E22" i="86"/>
  <c r="D22" i="86"/>
  <c r="K18" i="86"/>
  <c r="M18" i="86" s="1"/>
  <c r="J18" i="86"/>
  <c r="H18" i="86"/>
  <c r="G18" i="86"/>
  <c r="I18" i="86" s="1"/>
  <c r="F18" i="86"/>
  <c r="D18" i="86"/>
  <c r="C18" i="86"/>
  <c r="B18" i="86"/>
  <c r="N18" i="86" s="1"/>
  <c r="P17" i="86"/>
  <c r="O17" i="86"/>
  <c r="N17" i="86"/>
  <c r="M17" i="86"/>
  <c r="L17" i="86"/>
  <c r="I17" i="86"/>
  <c r="H17" i="86"/>
  <c r="E17" i="86"/>
  <c r="D17" i="86"/>
  <c r="O16" i="86"/>
  <c r="N16" i="86"/>
  <c r="Q16" i="86" s="1"/>
  <c r="M16" i="86"/>
  <c r="L16" i="86"/>
  <c r="I16" i="86"/>
  <c r="H16" i="86"/>
  <c r="E16" i="86"/>
  <c r="D16" i="86"/>
  <c r="O15" i="86"/>
  <c r="N15" i="86"/>
  <c r="P15" i="86" s="1"/>
  <c r="M15" i="86"/>
  <c r="L15" i="86"/>
  <c r="I15" i="86"/>
  <c r="H15" i="86"/>
  <c r="E15" i="86"/>
  <c r="D15" i="86"/>
  <c r="O14" i="86"/>
  <c r="Q14" i="86"/>
  <c r="M14" i="86"/>
  <c r="L14" i="86"/>
  <c r="I14" i="86"/>
  <c r="H14" i="86"/>
  <c r="E14" i="86"/>
  <c r="D14" i="86"/>
  <c r="O13" i="86"/>
  <c r="N13" i="86"/>
  <c r="P13" i="86" s="1"/>
  <c r="L13" i="86"/>
  <c r="H13" i="86"/>
  <c r="D13" i="86"/>
  <c r="O12" i="86"/>
  <c r="N12" i="86"/>
  <c r="Q12" i="86" s="1"/>
  <c r="M12" i="86"/>
  <c r="L12" i="86"/>
  <c r="I12" i="86"/>
  <c r="H12" i="86"/>
  <c r="E12" i="86"/>
  <c r="D12" i="86"/>
  <c r="K10" i="86"/>
  <c r="K19" i="86" s="1"/>
  <c r="J10" i="86"/>
  <c r="J19" i="86" s="1"/>
  <c r="H10" i="86"/>
  <c r="G10" i="86"/>
  <c r="G19" i="86" s="1"/>
  <c r="F10" i="86"/>
  <c r="F19" i="86" s="1"/>
  <c r="D10" i="86"/>
  <c r="C10" i="86"/>
  <c r="C19" i="86" s="1"/>
  <c r="B10" i="86"/>
  <c r="B19" i="86" s="1"/>
  <c r="P9" i="86"/>
  <c r="O9" i="86"/>
  <c r="N9" i="86"/>
  <c r="M9" i="86"/>
  <c r="L9" i="86"/>
  <c r="I9" i="86"/>
  <c r="H9" i="86"/>
  <c r="E9" i="86"/>
  <c r="D9" i="86"/>
  <c r="O8" i="86"/>
  <c r="N8" i="86"/>
  <c r="Q8" i="86" s="1"/>
  <c r="M8" i="86"/>
  <c r="L8" i="86"/>
  <c r="I8" i="86"/>
  <c r="H8" i="86"/>
  <c r="E8" i="86"/>
  <c r="D8" i="86"/>
  <c r="H7" i="84"/>
  <c r="H6" i="84"/>
  <c r="S89" i="67"/>
  <c r="U89" i="67" s="1"/>
  <c r="G89" i="67"/>
  <c r="V88" i="67"/>
  <c r="T88" i="67"/>
  <c r="S88" i="67"/>
  <c r="U88" i="67" s="1"/>
  <c r="R88" i="67"/>
  <c r="P88" i="67"/>
  <c r="O88" i="67"/>
  <c r="N88" i="67"/>
  <c r="L88" i="67"/>
  <c r="K88" i="67"/>
  <c r="M88" i="67" s="1"/>
  <c r="J88" i="67"/>
  <c r="H88" i="67"/>
  <c r="G88" i="67"/>
  <c r="I88" i="67" s="1"/>
  <c r="W87" i="67"/>
  <c r="V87" i="67"/>
  <c r="U87" i="67"/>
  <c r="R87" i="67"/>
  <c r="Q87" i="67"/>
  <c r="N87" i="67"/>
  <c r="M87" i="67"/>
  <c r="J87" i="67"/>
  <c r="I87" i="67"/>
  <c r="D87" i="67"/>
  <c r="X87" i="67" s="1"/>
  <c r="Z87" i="67" s="1"/>
  <c r="C87" i="67"/>
  <c r="V86" i="67"/>
  <c r="U86" i="67"/>
  <c r="R86" i="67"/>
  <c r="Q86" i="67"/>
  <c r="N86" i="67"/>
  <c r="M86" i="67"/>
  <c r="J86" i="67"/>
  <c r="I86" i="67"/>
  <c r="D86" i="67"/>
  <c r="X86" i="67" s="1"/>
  <c r="C86" i="67"/>
  <c r="V85" i="67"/>
  <c r="U85" i="67"/>
  <c r="R85" i="67"/>
  <c r="Q85" i="67"/>
  <c r="N85" i="67"/>
  <c r="M85" i="67"/>
  <c r="J85" i="67"/>
  <c r="I85" i="67"/>
  <c r="X85" i="67"/>
  <c r="C85" i="67"/>
  <c r="W84" i="67"/>
  <c r="V84" i="67"/>
  <c r="U84" i="67"/>
  <c r="R84" i="67"/>
  <c r="Q84" i="67"/>
  <c r="N84" i="67"/>
  <c r="M84" i="67"/>
  <c r="J84" i="67"/>
  <c r="I84" i="67"/>
  <c r="D84" i="67"/>
  <c r="D88" i="67" s="1"/>
  <c r="C84" i="67"/>
  <c r="Z83" i="67"/>
  <c r="X83" i="67"/>
  <c r="W83" i="67"/>
  <c r="Y83" i="67" s="1"/>
  <c r="V83" i="67"/>
  <c r="U83" i="67"/>
  <c r="R83" i="67"/>
  <c r="Q83" i="67"/>
  <c r="N83" i="67"/>
  <c r="M83" i="67"/>
  <c r="J83" i="67"/>
  <c r="I83" i="67"/>
  <c r="G83" i="67"/>
  <c r="F83" i="67"/>
  <c r="E83" i="67"/>
  <c r="V81" i="67"/>
  <c r="U81" i="67"/>
  <c r="T81" i="67"/>
  <c r="T89" i="67" s="1"/>
  <c r="V89" i="67" s="1"/>
  <c r="S81" i="67"/>
  <c r="R81" i="67"/>
  <c r="Q81" i="67"/>
  <c r="P81" i="67"/>
  <c r="P89" i="67" s="1"/>
  <c r="R89" i="67" s="1"/>
  <c r="O81" i="67"/>
  <c r="N81" i="67"/>
  <c r="M81" i="67"/>
  <c r="L81" i="67"/>
  <c r="L89" i="67" s="1"/>
  <c r="N89" i="67" s="1"/>
  <c r="K81" i="67"/>
  <c r="J81" i="67"/>
  <c r="I81" i="67"/>
  <c r="H81" i="67"/>
  <c r="H89" i="67" s="1"/>
  <c r="J89" i="67" s="1"/>
  <c r="G81" i="67"/>
  <c r="F81" i="67"/>
  <c r="D81" i="67"/>
  <c r="X81" i="67" s="1"/>
  <c r="Z81" i="67" s="1"/>
  <c r="Z80" i="67"/>
  <c r="Y80" i="67"/>
  <c r="X80" i="67"/>
  <c r="W80" i="67"/>
  <c r="V80" i="67"/>
  <c r="U80" i="67"/>
  <c r="R80" i="67"/>
  <c r="Q80" i="67"/>
  <c r="N80" i="67"/>
  <c r="M80" i="67"/>
  <c r="J80" i="67"/>
  <c r="I80" i="67"/>
  <c r="F80" i="67"/>
  <c r="E80" i="67"/>
  <c r="C80" i="67"/>
  <c r="X79" i="67"/>
  <c r="Z79" i="67" s="1"/>
  <c r="V79" i="67"/>
  <c r="U79" i="67"/>
  <c r="R79" i="67"/>
  <c r="Q79" i="67"/>
  <c r="N79" i="67"/>
  <c r="M79" i="67"/>
  <c r="J79" i="67"/>
  <c r="I79" i="67"/>
  <c r="F79" i="67"/>
  <c r="E79" i="67"/>
  <c r="C79" i="67"/>
  <c r="W79" i="67" s="1"/>
  <c r="Y79" i="67" s="1"/>
  <c r="T75" i="67"/>
  <c r="V75" i="67" s="1"/>
  <c r="P75" i="67"/>
  <c r="L75" i="67"/>
  <c r="N75" i="67" s="1"/>
  <c r="K75" i="67"/>
  <c r="M75" i="67" s="1"/>
  <c r="H75" i="67"/>
  <c r="J75" i="67" s="1"/>
  <c r="X74" i="67"/>
  <c r="Z74" i="67" s="1"/>
  <c r="W74" i="67"/>
  <c r="V74" i="67"/>
  <c r="U74" i="67"/>
  <c r="R74" i="67"/>
  <c r="Q74" i="67"/>
  <c r="N74" i="67"/>
  <c r="M74" i="67"/>
  <c r="J74" i="67"/>
  <c r="I74" i="67"/>
  <c r="D74" i="67"/>
  <c r="W73" i="67"/>
  <c r="V73" i="67"/>
  <c r="U73" i="67"/>
  <c r="R73" i="67"/>
  <c r="Q73" i="67"/>
  <c r="N73" i="67"/>
  <c r="M73" i="67"/>
  <c r="J73" i="67"/>
  <c r="I73" i="67"/>
  <c r="F73" i="67"/>
  <c r="D73" i="67"/>
  <c r="E73" i="67" s="1"/>
  <c r="W72" i="67"/>
  <c r="V72" i="67"/>
  <c r="U72" i="67"/>
  <c r="R72" i="67"/>
  <c r="Q72" i="67"/>
  <c r="N72" i="67"/>
  <c r="M72" i="67"/>
  <c r="J72" i="67"/>
  <c r="I72" i="67"/>
  <c r="F72" i="67"/>
  <c r="E72" i="67"/>
  <c r="D72" i="67"/>
  <c r="X72" i="67" s="1"/>
  <c r="Y72" i="67" s="1"/>
  <c r="V71" i="67"/>
  <c r="U71" i="67"/>
  <c r="R71" i="67"/>
  <c r="Q71" i="67"/>
  <c r="N71" i="67"/>
  <c r="M71" i="67"/>
  <c r="J71" i="67"/>
  <c r="I71" i="67"/>
  <c r="E71" i="67"/>
  <c r="D71" i="67"/>
  <c r="X71" i="67" s="1"/>
  <c r="Z71" i="67" s="1"/>
  <c r="C71" i="67"/>
  <c r="W71" i="67" s="1"/>
  <c r="W70" i="67"/>
  <c r="V70" i="67"/>
  <c r="U70" i="67"/>
  <c r="R70" i="67"/>
  <c r="Q70" i="67"/>
  <c r="N70" i="67"/>
  <c r="M70" i="67"/>
  <c r="J70" i="67"/>
  <c r="I70" i="67"/>
  <c r="E70" i="67"/>
  <c r="D70" i="67"/>
  <c r="X70" i="67" s="1"/>
  <c r="Z70" i="67" s="1"/>
  <c r="X69" i="67"/>
  <c r="Z69" i="67" s="1"/>
  <c r="W69" i="67"/>
  <c r="Y69" i="67" s="1"/>
  <c r="V69" i="67"/>
  <c r="U69" i="67"/>
  <c r="R69" i="67"/>
  <c r="Q69" i="67"/>
  <c r="N69" i="67"/>
  <c r="M69" i="67"/>
  <c r="J69" i="67"/>
  <c r="I69" i="67"/>
  <c r="G69" i="67"/>
  <c r="E69" i="67"/>
  <c r="D69" i="67"/>
  <c r="F69" i="67" s="1"/>
  <c r="C69" i="67"/>
  <c r="Y68" i="67"/>
  <c r="X68" i="67"/>
  <c r="V68" i="67"/>
  <c r="U68" i="67"/>
  <c r="R68" i="67"/>
  <c r="O68" i="67"/>
  <c r="Q68" i="67" s="1"/>
  <c r="N68" i="67"/>
  <c r="M68" i="67"/>
  <c r="J68" i="67"/>
  <c r="I68" i="67"/>
  <c r="F68" i="67"/>
  <c r="E68" i="67"/>
  <c r="D68" i="67"/>
  <c r="C68" i="67"/>
  <c r="W68" i="67" s="1"/>
  <c r="W67" i="67"/>
  <c r="V67" i="67"/>
  <c r="U67" i="67"/>
  <c r="R67" i="67"/>
  <c r="Q67" i="67"/>
  <c r="N67" i="67"/>
  <c r="M67" i="67"/>
  <c r="J67" i="67"/>
  <c r="I67" i="67"/>
  <c r="F67" i="67"/>
  <c r="E67" i="67"/>
  <c r="D67" i="67"/>
  <c r="X67" i="67" s="1"/>
  <c r="Y67" i="67" s="1"/>
  <c r="Y66" i="67"/>
  <c r="V66" i="67"/>
  <c r="U66" i="67"/>
  <c r="R66" i="67"/>
  <c r="Q66" i="67"/>
  <c r="N66" i="67"/>
  <c r="M66" i="67"/>
  <c r="J66" i="67"/>
  <c r="I66" i="67"/>
  <c r="E66" i="67"/>
  <c r="D66" i="67"/>
  <c r="X66" i="67" s="1"/>
  <c r="C66" i="67"/>
  <c r="W66" i="67" s="1"/>
  <c r="X65" i="67"/>
  <c r="V65" i="67"/>
  <c r="U65" i="67"/>
  <c r="S65" i="67"/>
  <c r="R65" i="67"/>
  <c r="Q65" i="67"/>
  <c r="N65" i="67"/>
  <c r="M65" i="67"/>
  <c r="J65" i="67"/>
  <c r="G65" i="67"/>
  <c r="I65" i="67" s="1"/>
  <c r="D65" i="67"/>
  <c r="C65" i="67"/>
  <c r="W64" i="67"/>
  <c r="V64" i="67"/>
  <c r="U64" i="67"/>
  <c r="Q64" i="67"/>
  <c r="P64" i="67"/>
  <c r="R64" i="67" s="1"/>
  <c r="N64" i="67"/>
  <c r="M64" i="67"/>
  <c r="J64" i="67"/>
  <c r="I64" i="67"/>
  <c r="D64" i="67"/>
  <c r="C64" i="67"/>
  <c r="E64" i="67" s="1"/>
  <c r="X63" i="67"/>
  <c r="Z63" i="67" s="1"/>
  <c r="V63" i="67"/>
  <c r="U63" i="67"/>
  <c r="R63" i="67"/>
  <c r="Q63" i="67"/>
  <c r="N63" i="67"/>
  <c r="M63" i="67"/>
  <c r="J63" i="67"/>
  <c r="I63" i="67"/>
  <c r="D63" i="67"/>
  <c r="F63" i="67" s="1"/>
  <c r="C63" i="67"/>
  <c r="W63" i="67" s="1"/>
  <c r="W62" i="67"/>
  <c r="V62" i="67"/>
  <c r="U62" i="67"/>
  <c r="R62" i="67"/>
  <c r="Q62" i="67"/>
  <c r="N62" i="67"/>
  <c r="M62" i="67"/>
  <c r="J62" i="67"/>
  <c r="I62" i="67"/>
  <c r="D62" i="67"/>
  <c r="V61" i="67"/>
  <c r="U61" i="67"/>
  <c r="R61" i="67"/>
  <c r="Q61" i="67"/>
  <c r="N61" i="67"/>
  <c r="M61" i="67"/>
  <c r="J61" i="67"/>
  <c r="I61" i="67"/>
  <c r="D61" i="67"/>
  <c r="X61" i="67" s="1"/>
  <c r="C61" i="67"/>
  <c r="W60" i="67"/>
  <c r="V60" i="67"/>
  <c r="U60" i="67"/>
  <c r="R60" i="67"/>
  <c r="Q60" i="67"/>
  <c r="N60" i="67"/>
  <c r="M60" i="67"/>
  <c r="J60" i="67"/>
  <c r="I60" i="67"/>
  <c r="F60" i="67"/>
  <c r="D60" i="67"/>
  <c r="X60" i="67" s="1"/>
  <c r="Z60" i="67" s="1"/>
  <c r="C60" i="67"/>
  <c r="E60" i="67" s="1"/>
  <c r="X59" i="67"/>
  <c r="W59" i="67"/>
  <c r="V59" i="67"/>
  <c r="S59" i="67"/>
  <c r="U59" i="67" s="1"/>
  <c r="R59" i="67"/>
  <c r="Q59" i="67"/>
  <c r="P59" i="67"/>
  <c r="O59" i="67"/>
  <c r="O75" i="67" s="1"/>
  <c r="Q75" i="67" s="1"/>
  <c r="N59" i="67"/>
  <c r="M59" i="67"/>
  <c r="J59" i="67"/>
  <c r="I59" i="67"/>
  <c r="F59" i="67"/>
  <c r="E59" i="67"/>
  <c r="D59" i="67"/>
  <c r="C59" i="67"/>
  <c r="V58" i="67"/>
  <c r="U58" i="67"/>
  <c r="S58" i="67"/>
  <c r="S75" i="67" s="1"/>
  <c r="U75" i="67" s="1"/>
  <c r="R58" i="67"/>
  <c r="Q58" i="67"/>
  <c r="N58" i="67"/>
  <c r="M58" i="67"/>
  <c r="J58" i="67"/>
  <c r="G58" i="67"/>
  <c r="G75" i="67" s="1"/>
  <c r="I75" i="67" s="1"/>
  <c r="D58" i="67"/>
  <c r="C58" i="67"/>
  <c r="X57" i="67"/>
  <c r="Z57" i="67" s="1"/>
  <c r="W57" i="67"/>
  <c r="Y57" i="67" s="1"/>
  <c r="V57" i="67"/>
  <c r="U57" i="67"/>
  <c r="R57" i="67"/>
  <c r="Q57" i="67"/>
  <c r="N57" i="67"/>
  <c r="M57" i="67"/>
  <c r="J57" i="67"/>
  <c r="I57" i="67"/>
  <c r="F57" i="67"/>
  <c r="E57" i="67"/>
  <c r="V56" i="67"/>
  <c r="U56" i="67"/>
  <c r="S56" i="67"/>
  <c r="R56" i="67"/>
  <c r="Q56" i="67"/>
  <c r="P56" i="67"/>
  <c r="O56" i="67"/>
  <c r="N56" i="67"/>
  <c r="M56" i="67"/>
  <c r="L56" i="67"/>
  <c r="K56" i="67"/>
  <c r="G56" i="67"/>
  <c r="W55" i="67"/>
  <c r="V55" i="67"/>
  <c r="U55" i="67"/>
  <c r="T55" i="67"/>
  <c r="T56" i="67" s="1"/>
  <c r="R55" i="67"/>
  <c r="Q55" i="67"/>
  <c r="N55" i="67"/>
  <c r="M55" i="67"/>
  <c r="I55" i="67"/>
  <c r="H55" i="67"/>
  <c r="G55" i="67"/>
  <c r="F55" i="67"/>
  <c r="E55" i="67"/>
  <c r="W54" i="67"/>
  <c r="V54" i="67"/>
  <c r="U54" i="67"/>
  <c r="R54" i="67"/>
  <c r="Q54" i="67"/>
  <c r="N54" i="67"/>
  <c r="M54" i="67"/>
  <c r="J54" i="67"/>
  <c r="I54" i="67"/>
  <c r="D54" i="67"/>
  <c r="X54" i="67" s="1"/>
  <c r="Z54" i="67" s="1"/>
  <c r="C54" i="67"/>
  <c r="X53" i="67"/>
  <c r="W53" i="67"/>
  <c r="Y53" i="67" s="1"/>
  <c r="V53" i="67"/>
  <c r="U53" i="67"/>
  <c r="R53" i="67"/>
  <c r="Q53" i="67"/>
  <c r="N53" i="67"/>
  <c r="M53" i="67"/>
  <c r="J53" i="67"/>
  <c r="I53" i="67"/>
  <c r="D53" i="67"/>
  <c r="F53" i="67" s="1"/>
  <c r="C53" i="67"/>
  <c r="E53" i="67" s="1"/>
  <c r="V52" i="67"/>
  <c r="U52" i="67"/>
  <c r="R52" i="67"/>
  <c r="Q52" i="67"/>
  <c r="N52" i="67"/>
  <c r="M52" i="67"/>
  <c r="J52" i="67"/>
  <c r="I52" i="67"/>
  <c r="F52" i="67"/>
  <c r="E52" i="67"/>
  <c r="D52" i="67"/>
  <c r="X52" i="67" s="1"/>
  <c r="Z52" i="67" s="1"/>
  <c r="C52" i="67"/>
  <c r="W52" i="67" s="1"/>
  <c r="V51" i="67"/>
  <c r="U51" i="67"/>
  <c r="R51" i="67"/>
  <c r="Q51" i="67"/>
  <c r="N51" i="67"/>
  <c r="M51" i="67"/>
  <c r="J51" i="67"/>
  <c r="I51" i="67"/>
  <c r="F51" i="67"/>
  <c r="E51" i="67"/>
  <c r="D51" i="67"/>
  <c r="C51" i="67"/>
  <c r="W51" i="67" s="1"/>
  <c r="Z50" i="67"/>
  <c r="Y50" i="67"/>
  <c r="X50" i="67"/>
  <c r="W50" i="67"/>
  <c r="V50" i="67"/>
  <c r="U50" i="67"/>
  <c r="R50" i="67"/>
  <c r="Q50" i="67"/>
  <c r="N50" i="67"/>
  <c r="M50" i="67"/>
  <c r="J50" i="67"/>
  <c r="I50" i="67"/>
  <c r="F50" i="67"/>
  <c r="E50" i="67"/>
  <c r="P49" i="67"/>
  <c r="R49" i="67" s="1"/>
  <c r="O49" i="67"/>
  <c r="Q49" i="67" s="1"/>
  <c r="L49" i="67"/>
  <c r="N49" i="67" s="1"/>
  <c r="K49" i="67"/>
  <c r="H49" i="67"/>
  <c r="D49" i="67"/>
  <c r="X48" i="67"/>
  <c r="T48" i="67"/>
  <c r="V48" i="67" s="1"/>
  <c r="S48" i="67"/>
  <c r="R48" i="67"/>
  <c r="Q48" i="67"/>
  <c r="N48" i="67"/>
  <c r="M48" i="67"/>
  <c r="J48" i="67"/>
  <c r="G48" i="67"/>
  <c r="I48" i="67" s="1"/>
  <c r="D48" i="67"/>
  <c r="C48" i="67"/>
  <c r="E48" i="67" s="1"/>
  <c r="V47" i="67"/>
  <c r="U47" i="67"/>
  <c r="R47" i="67"/>
  <c r="Q47" i="67"/>
  <c r="N47" i="67"/>
  <c r="M47" i="67"/>
  <c r="J47" i="67"/>
  <c r="I47" i="67"/>
  <c r="D47" i="67"/>
  <c r="X47" i="67" s="1"/>
  <c r="C47" i="67"/>
  <c r="E47" i="67" s="1"/>
  <c r="V46" i="67"/>
  <c r="T46" i="67"/>
  <c r="S46" i="67"/>
  <c r="U46" i="67" s="1"/>
  <c r="R46" i="67"/>
  <c r="O46" i="67"/>
  <c r="Q46" i="67" s="1"/>
  <c r="N46" i="67"/>
  <c r="M46" i="67"/>
  <c r="H46" i="67"/>
  <c r="F46" i="67"/>
  <c r="D46" i="67"/>
  <c r="X46" i="67" s="1"/>
  <c r="C46" i="67"/>
  <c r="E46" i="67" s="1"/>
  <c r="W45" i="67"/>
  <c r="Y45" i="67" s="1"/>
  <c r="V45" i="67"/>
  <c r="U45" i="67"/>
  <c r="R45" i="67"/>
  <c r="Q45" i="67"/>
  <c r="N45" i="67"/>
  <c r="M45" i="67"/>
  <c r="J45" i="67"/>
  <c r="I45" i="67"/>
  <c r="F45" i="67"/>
  <c r="D45" i="67"/>
  <c r="X45" i="67" s="1"/>
  <c r="Z45" i="67" s="1"/>
  <c r="C45" i="67"/>
  <c r="E45" i="67" s="1"/>
  <c r="Z44" i="67"/>
  <c r="X44" i="67"/>
  <c r="W44" i="67"/>
  <c r="Y44" i="67" s="1"/>
  <c r="V44" i="67"/>
  <c r="U44" i="67"/>
  <c r="R44" i="67"/>
  <c r="Q44" i="67"/>
  <c r="N44" i="67"/>
  <c r="M44" i="67"/>
  <c r="J44" i="67"/>
  <c r="I44" i="67"/>
  <c r="F44" i="67"/>
  <c r="E44" i="67"/>
  <c r="T43" i="67"/>
  <c r="V43" i="67" s="1"/>
  <c r="S43" i="67"/>
  <c r="Q43" i="67"/>
  <c r="P43" i="67"/>
  <c r="R43" i="67" s="1"/>
  <c r="O43" i="67"/>
  <c r="M43" i="67"/>
  <c r="L43" i="67"/>
  <c r="N43" i="67" s="1"/>
  <c r="K43" i="67"/>
  <c r="H43" i="67"/>
  <c r="J43" i="67" s="1"/>
  <c r="G43" i="67"/>
  <c r="V42" i="67"/>
  <c r="U42" i="67"/>
  <c r="R42" i="67"/>
  <c r="Q42" i="67"/>
  <c r="N42" i="67"/>
  <c r="M42" i="67"/>
  <c r="J42" i="67"/>
  <c r="I42" i="67"/>
  <c r="D42" i="67"/>
  <c r="F42" i="67" s="1"/>
  <c r="C42" i="67"/>
  <c r="W42" i="67" s="1"/>
  <c r="V41" i="67"/>
  <c r="U41" i="67"/>
  <c r="R41" i="67"/>
  <c r="Q41" i="67"/>
  <c r="N41" i="67"/>
  <c r="M41" i="67"/>
  <c r="J41" i="67"/>
  <c r="I41" i="67"/>
  <c r="D41" i="67"/>
  <c r="F41" i="67" s="1"/>
  <c r="C41" i="67"/>
  <c r="W41" i="67" s="1"/>
  <c r="X40" i="67"/>
  <c r="Z40" i="67" s="1"/>
  <c r="V40" i="67"/>
  <c r="U40" i="67"/>
  <c r="R40" i="67"/>
  <c r="Q40" i="67"/>
  <c r="N40" i="67"/>
  <c r="M40" i="67"/>
  <c r="J40" i="67"/>
  <c r="I40" i="67"/>
  <c r="E40" i="67"/>
  <c r="D40" i="67"/>
  <c r="F40" i="67" s="1"/>
  <c r="C40" i="67"/>
  <c r="W40" i="67" s="1"/>
  <c r="Y40" i="67" s="1"/>
  <c r="X39" i="67"/>
  <c r="V39" i="67"/>
  <c r="U39" i="67"/>
  <c r="R39" i="67"/>
  <c r="Q39" i="67"/>
  <c r="N39" i="67"/>
  <c r="M39" i="67"/>
  <c r="J39" i="67"/>
  <c r="I39" i="67"/>
  <c r="E39" i="67"/>
  <c r="D39" i="67"/>
  <c r="F39" i="67" s="1"/>
  <c r="C39" i="67"/>
  <c r="C43" i="67" s="1"/>
  <c r="W43" i="67" s="1"/>
  <c r="Y38" i="67"/>
  <c r="X38" i="67"/>
  <c r="Z38" i="67" s="1"/>
  <c r="W38" i="67"/>
  <c r="V38" i="67"/>
  <c r="U38" i="67"/>
  <c r="R38" i="67"/>
  <c r="Q38" i="67"/>
  <c r="N38" i="67"/>
  <c r="M38" i="67"/>
  <c r="J38" i="67"/>
  <c r="I38" i="67"/>
  <c r="F38" i="67"/>
  <c r="E38" i="67"/>
  <c r="V37" i="67"/>
  <c r="T37" i="67"/>
  <c r="S37" i="67"/>
  <c r="U37" i="67" s="1"/>
  <c r="R37" i="67"/>
  <c r="P37" i="67"/>
  <c r="O37" i="67"/>
  <c r="Q37" i="67" s="1"/>
  <c r="N37" i="67"/>
  <c r="L37" i="67"/>
  <c r="K37" i="67"/>
  <c r="M37" i="67" s="1"/>
  <c r="J37" i="67"/>
  <c r="H37" i="67"/>
  <c r="G37" i="67"/>
  <c r="I37" i="67" s="1"/>
  <c r="C37" i="67"/>
  <c r="V36" i="67"/>
  <c r="U36" i="67"/>
  <c r="R36" i="67"/>
  <c r="O36" i="67"/>
  <c r="Q36" i="67" s="1"/>
  <c r="N36" i="67"/>
  <c r="M36" i="67"/>
  <c r="J36" i="67"/>
  <c r="I36" i="67"/>
  <c r="D36" i="67"/>
  <c r="C36" i="67"/>
  <c r="W36" i="67" s="1"/>
  <c r="W35" i="67"/>
  <c r="V35" i="67"/>
  <c r="U35" i="67"/>
  <c r="R35" i="67"/>
  <c r="Q35" i="67"/>
  <c r="N35" i="67"/>
  <c r="M35" i="67"/>
  <c r="J35" i="67"/>
  <c r="I35" i="67"/>
  <c r="D35" i="67"/>
  <c r="F35" i="67" s="1"/>
  <c r="C35" i="67"/>
  <c r="W34" i="67"/>
  <c r="V34" i="67"/>
  <c r="U34" i="67"/>
  <c r="R34" i="67"/>
  <c r="Q34" i="67"/>
  <c r="N34" i="67"/>
  <c r="M34" i="67"/>
  <c r="J34" i="67"/>
  <c r="I34" i="67"/>
  <c r="D34" i="67"/>
  <c r="X34" i="67" s="1"/>
  <c r="Z34" i="67" s="1"/>
  <c r="C34" i="67"/>
  <c r="X33" i="67"/>
  <c r="Z33" i="67" s="1"/>
  <c r="W33" i="67"/>
  <c r="Y33" i="67" s="1"/>
  <c r="V33" i="67"/>
  <c r="U33" i="67"/>
  <c r="R33" i="67"/>
  <c r="Q33" i="67"/>
  <c r="N33" i="67"/>
  <c r="M33" i="67"/>
  <c r="J33" i="67"/>
  <c r="I33" i="67"/>
  <c r="F33" i="67"/>
  <c r="C33" i="67"/>
  <c r="E33" i="67" s="1"/>
  <c r="Z32" i="67"/>
  <c r="X32" i="67"/>
  <c r="W32" i="67"/>
  <c r="Y32" i="67" s="1"/>
  <c r="V32" i="67"/>
  <c r="U32" i="67"/>
  <c r="R32" i="67"/>
  <c r="Q32" i="67"/>
  <c r="N32" i="67"/>
  <c r="M32" i="67"/>
  <c r="J32" i="67"/>
  <c r="I32" i="67"/>
  <c r="F32" i="67"/>
  <c r="E32" i="67"/>
  <c r="X31" i="67"/>
  <c r="Z31" i="67" s="1"/>
  <c r="W31" i="67"/>
  <c r="V31" i="67"/>
  <c r="U31" i="67"/>
  <c r="R31" i="67"/>
  <c r="Q31" i="67"/>
  <c r="N31" i="67"/>
  <c r="M31" i="67"/>
  <c r="J31" i="67"/>
  <c r="I31" i="67"/>
  <c r="D31" i="67"/>
  <c r="F31" i="67" s="1"/>
  <c r="V30" i="67"/>
  <c r="S30" i="67"/>
  <c r="U30" i="67" s="1"/>
  <c r="R30" i="67"/>
  <c r="O30" i="67"/>
  <c r="Q30" i="67" s="1"/>
  <c r="N30" i="67"/>
  <c r="M30" i="67"/>
  <c r="K30" i="67"/>
  <c r="J30" i="67"/>
  <c r="G30" i="67"/>
  <c r="I30" i="67" s="1"/>
  <c r="D30" i="67"/>
  <c r="F30" i="67" s="1"/>
  <c r="C30" i="67"/>
  <c r="W29" i="67"/>
  <c r="V29" i="67"/>
  <c r="U29" i="67"/>
  <c r="R29" i="67"/>
  <c r="Q29" i="67"/>
  <c r="N29" i="67"/>
  <c r="M29" i="67"/>
  <c r="J29" i="67"/>
  <c r="I29" i="67"/>
  <c r="D29" i="67"/>
  <c r="F29" i="67" s="1"/>
  <c r="C29" i="67"/>
  <c r="W28" i="67"/>
  <c r="V28" i="67"/>
  <c r="U28" i="67"/>
  <c r="R28" i="67"/>
  <c r="Q28" i="67"/>
  <c r="N28" i="67"/>
  <c r="M28" i="67"/>
  <c r="J28" i="67"/>
  <c r="I28" i="67"/>
  <c r="D28" i="67"/>
  <c r="F28" i="67" s="1"/>
  <c r="C28" i="67"/>
  <c r="L27" i="67"/>
  <c r="W26" i="67"/>
  <c r="T26" i="67"/>
  <c r="R26" i="67"/>
  <c r="P26" i="67"/>
  <c r="Q26" i="67" s="1"/>
  <c r="N26" i="67"/>
  <c r="M26" i="67"/>
  <c r="L26" i="67"/>
  <c r="H26" i="67"/>
  <c r="J26" i="67" s="1"/>
  <c r="D26" i="67"/>
  <c r="X26" i="67" s="1"/>
  <c r="Z26" i="67" s="1"/>
  <c r="T25" i="67"/>
  <c r="V25" i="67" s="1"/>
  <c r="S25" i="67"/>
  <c r="P25" i="67"/>
  <c r="R25" i="67" s="1"/>
  <c r="O25" i="67"/>
  <c r="Q25" i="67" s="1"/>
  <c r="L25" i="67"/>
  <c r="N25" i="67" s="1"/>
  <c r="K25" i="67"/>
  <c r="M25" i="67" s="1"/>
  <c r="H25" i="67"/>
  <c r="J25" i="67" s="1"/>
  <c r="G25" i="67"/>
  <c r="I25" i="67" s="1"/>
  <c r="D25" i="67"/>
  <c r="C25" i="67"/>
  <c r="W25" i="67" s="1"/>
  <c r="T24" i="67"/>
  <c r="V24" i="67" s="1"/>
  <c r="S24" i="67"/>
  <c r="U24" i="67" s="1"/>
  <c r="P24" i="67"/>
  <c r="R24" i="67" s="1"/>
  <c r="O24" i="67"/>
  <c r="Q24" i="67" s="1"/>
  <c r="L24" i="67"/>
  <c r="N24" i="67" s="1"/>
  <c r="K24" i="67"/>
  <c r="M24" i="67" s="1"/>
  <c r="H24" i="67"/>
  <c r="J24" i="67" s="1"/>
  <c r="G24" i="67"/>
  <c r="I24" i="67" s="1"/>
  <c r="D24" i="67"/>
  <c r="F24" i="67" s="1"/>
  <c r="C24" i="67"/>
  <c r="E24" i="67" s="1"/>
  <c r="T23" i="67"/>
  <c r="V23" i="67" s="1"/>
  <c r="S23" i="67"/>
  <c r="S27" i="67" s="1"/>
  <c r="P23" i="67"/>
  <c r="R23" i="67" s="1"/>
  <c r="O23" i="67"/>
  <c r="Q23" i="67" s="1"/>
  <c r="L23" i="67"/>
  <c r="N23" i="67" s="1"/>
  <c r="K23" i="67"/>
  <c r="K27" i="67" s="1"/>
  <c r="H23" i="67"/>
  <c r="J23" i="67" s="1"/>
  <c r="G23" i="67"/>
  <c r="G27" i="67" s="1"/>
  <c r="D23" i="67"/>
  <c r="F23" i="67" s="1"/>
  <c r="C23" i="67"/>
  <c r="C27" i="67" s="1"/>
  <c r="X22" i="67"/>
  <c r="Z22" i="67" s="1"/>
  <c r="W22" i="67"/>
  <c r="Y22" i="67" s="1"/>
  <c r="V22" i="67"/>
  <c r="U22" i="67"/>
  <c r="R22" i="67"/>
  <c r="Q22" i="67"/>
  <c r="N22" i="67"/>
  <c r="M22" i="67"/>
  <c r="J22" i="67"/>
  <c r="I22" i="67"/>
  <c r="F22" i="67"/>
  <c r="E22" i="67"/>
  <c r="F19" i="67"/>
  <c r="E19" i="67"/>
  <c r="D19" i="67"/>
  <c r="C19" i="67"/>
  <c r="V18" i="67"/>
  <c r="U18" i="67"/>
  <c r="T18" i="67"/>
  <c r="S18" i="67"/>
  <c r="R18" i="67"/>
  <c r="Q18" i="67"/>
  <c r="P18" i="67"/>
  <c r="X18" i="67" s="1"/>
  <c r="O18" i="67"/>
  <c r="N18" i="67"/>
  <c r="M18" i="67"/>
  <c r="K18" i="67"/>
  <c r="J18" i="67"/>
  <c r="G18" i="67"/>
  <c r="W18" i="67" s="1"/>
  <c r="Y18" i="67" s="1"/>
  <c r="F18" i="67"/>
  <c r="E18" i="67"/>
  <c r="V17" i="67"/>
  <c r="U17" i="67"/>
  <c r="T17" i="67"/>
  <c r="S17" i="67"/>
  <c r="R17" i="67"/>
  <c r="Q17" i="67"/>
  <c r="P17" i="67"/>
  <c r="O17" i="67"/>
  <c r="N17" i="67"/>
  <c r="M17" i="67"/>
  <c r="K17" i="67"/>
  <c r="H17" i="67"/>
  <c r="X17" i="67" s="1"/>
  <c r="G17" i="67"/>
  <c r="W17" i="67" s="1"/>
  <c r="Y17" i="67" s="1"/>
  <c r="F17" i="67"/>
  <c r="E17" i="67"/>
  <c r="V16" i="67"/>
  <c r="T16" i="67"/>
  <c r="S16" i="67"/>
  <c r="U16" i="67" s="1"/>
  <c r="R16" i="67"/>
  <c r="P16" i="67"/>
  <c r="O16" i="67"/>
  <c r="Q16" i="67" s="1"/>
  <c r="N16" i="67"/>
  <c r="M16" i="67"/>
  <c r="K16" i="67"/>
  <c r="K19" i="67" s="1"/>
  <c r="J16" i="67"/>
  <c r="I16" i="67"/>
  <c r="H16" i="67"/>
  <c r="X16" i="67" s="1"/>
  <c r="G16" i="67"/>
  <c r="F16" i="67"/>
  <c r="E16" i="67"/>
  <c r="X15" i="67"/>
  <c r="Z15" i="67" s="1"/>
  <c r="W15" i="67"/>
  <c r="Y15" i="67" s="1"/>
  <c r="V15" i="67"/>
  <c r="U15" i="67"/>
  <c r="R15" i="67"/>
  <c r="Q15" i="67"/>
  <c r="N15" i="67"/>
  <c r="M15" i="67"/>
  <c r="J15" i="67"/>
  <c r="I15" i="67"/>
  <c r="F15" i="67"/>
  <c r="E15" i="67"/>
  <c r="W14" i="67"/>
  <c r="V14" i="67"/>
  <c r="T14" i="67"/>
  <c r="T19" i="67" s="1"/>
  <c r="S14" i="67"/>
  <c r="U14" i="67" s="1"/>
  <c r="R14" i="67"/>
  <c r="P14" i="67"/>
  <c r="P19" i="67" s="1"/>
  <c r="O14" i="67"/>
  <c r="Q14" i="67" s="1"/>
  <c r="N14" i="67"/>
  <c r="M14" i="67"/>
  <c r="L14" i="67"/>
  <c r="L19" i="67" s="1"/>
  <c r="N19" i="67" s="1"/>
  <c r="J14" i="67"/>
  <c r="I14" i="67"/>
  <c r="H14" i="67"/>
  <c r="H19" i="67" s="1"/>
  <c r="G14" i="67"/>
  <c r="G19" i="67" s="1"/>
  <c r="I19" i="67" s="1"/>
  <c r="F14" i="67"/>
  <c r="E14" i="67"/>
  <c r="T12" i="67"/>
  <c r="S12" i="67"/>
  <c r="P12" i="67"/>
  <c r="P20" i="67" s="1"/>
  <c r="O12" i="67"/>
  <c r="L12" i="67"/>
  <c r="K12" i="67"/>
  <c r="K20" i="67" s="1"/>
  <c r="H12" i="67"/>
  <c r="H20" i="67" s="1"/>
  <c r="G12" i="67"/>
  <c r="D12" i="67"/>
  <c r="D20" i="67" s="1"/>
  <c r="C12" i="67"/>
  <c r="W12" i="67" s="1"/>
  <c r="X11" i="67"/>
  <c r="Z11" i="67" s="1"/>
  <c r="W11" i="67"/>
  <c r="Y11" i="67" s="1"/>
  <c r="V11" i="67"/>
  <c r="S11" i="67"/>
  <c r="U11" i="67" s="1"/>
  <c r="R11" i="67"/>
  <c r="Q11" i="67"/>
  <c r="N11" i="67"/>
  <c r="M11" i="67"/>
  <c r="J11" i="67"/>
  <c r="I11" i="67"/>
  <c r="F11" i="67"/>
  <c r="E11" i="67"/>
  <c r="V10" i="67"/>
  <c r="T10" i="67"/>
  <c r="S10" i="67"/>
  <c r="U10" i="67" s="1"/>
  <c r="R10" i="67"/>
  <c r="P10" i="67"/>
  <c r="Q10" i="67"/>
  <c r="N10" i="67"/>
  <c r="L10" i="67"/>
  <c r="K10" i="67"/>
  <c r="M10" i="67" s="1"/>
  <c r="J10" i="67"/>
  <c r="H10" i="67"/>
  <c r="X10" i="67" s="1"/>
  <c r="G10" i="67"/>
  <c r="I10" i="67" s="1"/>
  <c r="F10" i="67"/>
  <c r="E10" i="67"/>
  <c r="T89" i="71"/>
  <c r="V89" i="71" s="1"/>
  <c r="S89" i="71"/>
  <c r="U89" i="71" s="1"/>
  <c r="P89" i="71"/>
  <c r="R89" i="71" s="1"/>
  <c r="O89" i="71"/>
  <c r="Q89" i="71" s="1"/>
  <c r="L89" i="71"/>
  <c r="N89" i="71" s="1"/>
  <c r="K89" i="71"/>
  <c r="M89" i="71" s="1"/>
  <c r="H89" i="71"/>
  <c r="J89" i="71" s="1"/>
  <c r="G89" i="71"/>
  <c r="I89" i="71" s="1"/>
  <c r="W88" i="71"/>
  <c r="V88" i="71"/>
  <c r="U88" i="71"/>
  <c r="R88" i="71"/>
  <c r="Q88" i="71"/>
  <c r="N88" i="71"/>
  <c r="M88" i="71"/>
  <c r="J88" i="71"/>
  <c r="I88" i="71"/>
  <c r="D88" i="71"/>
  <c r="F88" i="71" s="1"/>
  <c r="C88" i="71"/>
  <c r="E88" i="71" s="1"/>
  <c r="V87" i="71"/>
  <c r="U87" i="71"/>
  <c r="R87" i="71"/>
  <c r="Q87" i="71"/>
  <c r="N87" i="71"/>
  <c r="M87" i="71"/>
  <c r="J87" i="71"/>
  <c r="I87" i="71"/>
  <c r="D87" i="71"/>
  <c r="C87" i="71"/>
  <c r="V86" i="71"/>
  <c r="U86" i="71"/>
  <c r="R86" i="71"/>
  <c r="Q86" i="71"/>
  <c r="N86" i="71"/>
  <c r="M86" i="71"/>
  <c r="J86" i="71"/>
  <c r="I86" i="71"/>
  <c r="C86" i="71"/>
  <c r="W85" i="71"/>
  <c r="V85" i="71"/>
  <c r="U85" i="71"/>
  <c r="R85" i="71"/>
  <c r="Q85" i="71"/>
  <c r="N85" i="71"/>
  <c r="M85" i="71"/>
  <c r="J85" i="71"/>
  <c r="I85" i="71"/>
  <c r="D85" i="71"/>
  <c r="F85" i="71" s="1"/>
  <c r="C85" i="71"/>
  <c r="E85" i="71" s="1"/>
  <c r="X84" i="71"/>
  <c r="Z84" i="71" s="1"/>
  <c r="W84" i="71"/>
  <c r="Y84" i="71" s="1"/>
  <c r="V84" i="71"/>
  <c r="U84" i="71"/>
  <c r="R84" i="71"/>
  <c r="Q84" i="71"/>
  <c r="N84" i="71"/>
  <c r="M84" i="71"/>
  <c r="J84" i="71"/>
  <c r="I84" i="71"/>
  <c r="G84" i="71"/>
  <c r="F84" i="71"/>
  <c r="C84" i="71"/>
  <c r="T82" i="71"/>
  <c r="V82" i="71" s="1"/>
  <c r="S82" i="71"/>
  <c r="U82" i="71" s="1"/>
  <c r="P82" i="71"/>
  <c r="R82" i="71" s="1"/>
  <c r="O82" i="71"/>
  <c r="L82" i="71"/>
  <c r="N82" i="71" s="1"/>
  <c r="K82" i="71"/>
  <c r="M82" i="71" s="1"/>
  <c r="H82" i="71"/>
  <c r="J82" i="71" s="1"/>
  <c r="G82" i="71"/>
  <c r="I82" i="71" s="1"/>
  <c r="D82" i="71"/>
  <c r="F82" i="71" s="1"/>
  <c r="C82" i="71"/>
  <c r="E82" i="71" s="1"/>
  <c r="X81" i="71"/>
  <c r="Z81" i="71" s="1"/>
  <c r="W81" i="71"/>
  <c r="Y81" i="71" s="1"/>
  <c r="V81" i="71"/>
  <c r="U81" i="71"/>
  <c r="R81" i="71"/>
  <c r="Q81" i="71"/>
  <c r="N81" i="71"/>
  <c r="M81" i="71"/>
  <c r="J81" i="71"/>
  <c r="I81" i="71"/>
  <c r="F81" i="71"/>
  <c r="C81" i="71"/>
  <c r="E81" i="71" s="1"/>
  <c r="Z80" i="71"/>
  <c r="X80" i="71"/>
  <c r="W80" i="71"/>
  <c r="Y80" i="71" s="1"/>
  <c r="V80" i="71"/>
  <c r="U80" i="71"/>
  <c r="R80" i="71"/>
  <c r="Q80" i="71"/>
  <c r="N80" i="71"/>
  <c r="M80" i="71"/>
  <c r="J80" i="71"/>
  <c r="I80" i="71"/>
  <c r="F80" i="71"/>
  <c r="E80" i="71"/>
  <c r="C80" i="71"/>
  <c r="T76" i="71"/>
  <c r="V76" i="71" s="1"/>
  <c r="M76" i="71"/>
  <c r="L76" i="71"/>
  <c r="N76" i="71" s="1"/>
  <c r="H76" i="71"/>
  <c r="J76" i="71" s="1"/>
  <c r="X75" i="71"/>
  <c r="V75" i="71"/>
  <c r="U75" i="71"/>
  <c r="R75" i="71"/>
  <c r="Q75" i="71"/>
  <c r="N75" i="71"/>
  <c r="M75" i="71"/>
  <c r="K75" i="71"/>
  <c r="K76" i="71" s="1"/>
  <c r="J75" i="71"/>
  <c r="I75" i="71"/>
  <c r="F75" i="71"/>
  <c r="E75" i="71"/>
  <c r="D75" i="71"/>
  <c r="C75" i="71"/>
  <c r="W75" i="71" s="1"/>
  <c r="Y75" i="71" s="1"/>
  <c r="W74" i="71"/>
  <c r="V74" i="71"/>
  <c r="U74" i="71"/>
  <c r="R74" i="71"/>
  <c r="Q74" i="71"/>
  <c r="N74" i="71"/>
  <c r="M74" i="71"/>
  <c r="J74" i="71"/>
  <c r="I74" i="71"/>
  <c r="F74" i="71"/>
  <c r="E74" i="71"/>
  <c r="D74" i="71"/>
  <c r="X74" i="71" s="1"/>
  <c r="Y74" i="71" s="1"/>
  <c r="W73" i="71"/>
  <c r="V73" i="71"/>
  <c r="U73" i="71"/>
  <c r="R73" i="71"/>
  <c r="Q73" i="71"/>
  <c r="N73" i="71"/>
  <c r="M73" i="71"/>
  <c r="J73" i="71"/>
  <c r="I73" i="71"/>
  <c r="E73" i="71"/>
  <c r="D73" i="71"/>
  <c r="X73" i="71" s="1"/>
  <c r="Z73" i="71" s="1"/>
  <c r="V72" i="71"/>
  <c r="U72" i="71"/>
  <c r="R72" i="71"/>
  <c r="Q72" i="71"/>
  <c r="N72" i="71"/>
  <c r="M72" i="71"/>
  <c r="J72" i="71"/>
  <c r="I72" i="71"/>
  <c r="D72" i="71"/>
  <c r="C72" i="71"/>
  <c r="W72" i="71" s="1"/>
  <c r="X71" i="71"/>
  <c r="V71" i="71"/>
  <c r="U71" i="71"/>
  <c r="R71" i="71"/>
  <c r="Q71" i="71"/>
  <c r="N71" i="71"/>
  <c r="M71" i="71"/>
  <c r="J71" i="71"/>
  <c r="I71" i="71"/>
  <c r="D71" i="71"/>
  <c r="F71" i="71" s="1"/>
  <c r="C71" i="71"/>
  <c r="W71" i="71" s="1"/>
  <c r="Y71" i="71" s="1"/>
  <c r="X70" i="71"/>
  <c r="Z70" i="71" s="1"/>
  <c r="W70" i="71"/>
  <c r="V70" i="71"/>
  <c r="U70" i="71"/>
  <c r="R70" i="71"/>
  <c r="Q70" i="71"/>
  <c r="N70" i="71"/>
  <c r="M70" i="71"/>
  <c r="J70" i="71"/>
  <c r="I70" i="71"/>
  <c r="G70" i="71"/>
  <c r="E70" i="71"/>
  <c r="D70" i="71"/>
  <c r="F70" i="71" s="1"/>
  <c r="C70" i="71"/>
  <c r="X69" i="71"/>
  <c r="V69" i="71"/>
  <c r="U69" i="71"/>
  <c r="R69" i="71"/>
  <c r="Q69" i="71"/>
  <c r="O69" i="71"/>
  <c r="N69" i="71"/>
  <c r="M69" i="71"/>
  <c r="J69" i="71"/>
  <c r="I69" i="71"/>
  <c r="F69" i="71"/>
  <c r="E69" i="71"/>
  <c r="D69" i="71"/>
  <c r="C69" i="71"/>
  <c r="W69" i="71" s="1"/>
  <c r="Y69" i="71" s="1"/>
  <c r="W68" i="71"/>
  <c r="V68" i="71"/>
  <c r="U68" i="71"/>
  <c r="R68" i="71"/>
  <c r="Q68" i="71"/>
  <c r="N68" i="71"/>
  <c r="M68" i="71"/>
  <c r="J68" i="71"/>
  <c r="I68" i="71"/>
  <c r="F68" i="71"/>
  <c r="E68" i="71"/>
  <c r="D68" i="71"/>
  <c r="X68" i="71" s="1"/>
  <c r="Y68" i="71" s="1"/>
  <c r="V67" i="71"/>
  <c r="U67" i="71"/>
  <c r="R67" i="71"/>
  <c r="Q67" i="71"/>
  <c r="N67" i="71"/>
  <c r="M67" i="71"/>
  <c r="J67" i="71"/>
  <c r="I67" i="71"/>
  <c r="E67" i="71"/>
  <c r="D67" i="71"/>
  <c r="X67" i="71" s="1"/>
  <c r="Z67" i="71" s="1"/>
  <c r="C67" i="71"/>
  <c r="W67" i="71" s="1"/>
  <c r="Y67" i="71" s="1"/>
  <c r="X66" i="71"/>
  <c r="V66" i="71"/>
  <c r="U66" i="71"/>
  <c r="S66" i="71"/>
  <c r="R66" i="71"/>
  <c r="Q66" i="71"/>
  <c r="N66" i="71"/>
  <c r="M66" i="71"/>
  <c r="J66" i="71"/>
  <c r="G66" i="71"/>
  <c r="I66" i="71" s="1"/>
  <c r="D66" i="71"/>
  <c r="C66" i="71"/>
  <c r="W65" i="71"/>
  <c r="V65" i="71"/>
  <c r="U65" i="71"/>
  <c r="Q65" i="71"/>
  <c r="P65" i="71"/>
  <c r="R65" i="71" s="1"/>
  <c r="O65" i="71"/>
  <c r="N65" i="71"/>
  <c r="M65" i="71"/>
  <c r="J65" i="71"/>
  <c r="G65" i="71"/>
  <c r="I65" i="71" s="1"/>
  <c r="F65" i="71"/>
  <c r="E65" i="71"/>
  <c r="D65" i="71"/>
  <c r="X65" i="71" s="1"/>
  <c r="Z65" i="71" s="1"/>
  <c r="C65" i="71"/>
  <c r="V64" i="71"/>
  <c r="U64" i="71"/>
  <c r="R64" i="71"/>
  <c r="Q64" i="71"/>
  <c r="N64" i="71"/>
  <c r="M64" i="71"/>
  <c r="J64" i="71"/>
  <c r="I64" i="71"/>
  <c r="F64" i="71"/>
  <c r="E64" i="71"/>
  <c r="D64" i="71"/>
  <c r="X64" i="71" s="1"/>
  <c r="Z64" i="71" s="1"/>
  <c r="C64" i="71"/>
  <c r="W64" i="71" s="1"/>
  <c r="W63" i="71"/>
  <c r="V63" i="71"/>
  <c r="U63" i="71"/>
  <c r="R63" i="71"/>
  <c r="Q63" i="71"/>
  <c r="N63" i="71"/>
  <c r="M63" i="71"/>
  <c r="J63" i="71"/>
  <c r="I63" i="71"/>
  <c r="F63" i="71"/>
  <c r="E63" i="71"/>
  <c r="D63" i="71"/>
  <c r="X63" i="71" s="1"/>
  <c r="Y63" i="71" s="1"/>
  <c r="Y62" i="71"/>
  <c r="V62" i="71"/>
  <c r="U62" i="71"/>
  <c r="R62" i="71"/>
  <c r="Q62" i="71"/>
  <c r="N62" i="71"/>
  <c r="M62" i="71"/>
  <c r="J62" i="71"/>
  <c r="I62" i="71"/>
  <c r="E62" i="71"/>
  <c r="D62" i="71"/>
  <c r="X62" i="71" s="1"/>
  <c r="Z62" i="71" s="1"/>
  <c r="C62" i="71"/>
  <c r="W62" i="71" s="1"/>
  <c r="V61" i="71"/>
  <c r="U61" i="71"/>
  <c r="R61" i="71"/>
  <c r="Q61" i="71"/>
  <c r="N61" i="71"/>
  <c r="M61" i="71"/>
  <c r="J61" i="71"/>
  <c r="I61" i="71"/>
  <c r="E61" i="71"/>
  <c r="D61" i="71"/>
  <c r="X61" i="71" s="1"/>
  <c r="C61" i="71"/>
  <c r="W61" i="71" s="1"/>
  <c r="Y61" i="71" s="1"/>
  <c r="V60" i="71"/>
  <c r="U60" i="71"/>
  <c r="S60" i="71"/>
  <c r="P60" i="71"/>
  <c r="O60" i="71"/>
  <c r="O76" i="71" s="1"/>
  <c r="N60" i="71"/>
  <c r="M60" i="71"/>
  <c r="J60" i="71"/>
  <c r="I60" i="71"/>
  <c r="G60" i="71"/>
  <c r="E60" i="71"/>
  <c r="D60" i="71"/>
  <c r="X60" i="71" s="1"/>
  <c r="C60" i="71"/>
  <c r="W60" i="71" s="1"/>
  <c r="Y60" i="71" s="1"/>
  <c r="X59" i="71"/>
  <c r="V59" i="71"/>
  <c r="U59" i="71"/>
  <c r="S59" i="71"/>
  <c r="S76" i="71" s="1"/>
  <c r="U76" i="71" s="1"/>
  <c r="R59" i="71"/>
  <c r="Q59" i="71"/>
  <c r="N59" i="71"/>
  <c r="M59" i="71"/>
  <c r="J59" i="71"/>
  <c r="G59" i="71"/>
  <c r="D59" i="71"/>
  <c r="C59" i="71"/>
  <c r="Z58" i="71"/>
  <c r="X58" i="71"/>
  <c r="W58" i="71"/>
  <c r="Y58" i="71" s="1"/>
  <c r="V58" i="71"/>
  <c r="U58" i="71"/>
  <c r="R58" i="71"/>
  <c r="Q58" i="71"/>
  <c r="N58" i="71"/>
  <c r="M58" i="71"/>
  <c r="J58" i="71"/>
  <c r="I58" i="71"/>
  <c r="F58" i="71"/>
  <c r="E58" i="71"/>
  <c r="S57" i="71"/>
  <c r="P57" i="71"/>
  <c r="R57" i="71" s="1"/>
  <c r="O57" i="71"/>
  <c r="Q57" i="71" s="1"/>
  <c r="L57" i="71"/>
  <c r="N57" i="71" s="1"/>
  <c r="K57" i="71"/>
  <c r="M57" i="71" s="1"/>
  <c r="D57" i="71"/>
  <c r="T56" i="71"/>
  <c r="R56" i="71"/>
  <c r="Q56" i="71"/>
  <c r="N56" i="71"/>
  <c r="M56" i="71"/>
  <c r="H56" i="71"/>
  <c r="G56" i="71"/>
  <c r="F56" i="71"/>
  <c r="E56" i="71"/>
  <c r="Z55" i="71"/>
  <c r="V55" i="71"/>
  <c r="U55" i="71"/>
  <c r="R55" i="71"/>
  <c r="Q55" i="71"/>
  <c r="N55" i="71"/>
  <c r="M55" i="71"/>
  <c r="J55" i="71"/>
  <c r="I55" i="71"/>
  <c r="F55" i="71"/>
  <c r="E55" i="71"/>
  <c r="D55" i="71"/>
  <c r="X55" i="71" s="1"/>
  <c r="C55" i="71"/>
  <c r="W55" i="71" s="1"/>
  <c r="Y55" i="71" s="1"/>
  <c r="V54" i="71"/>
  <c r="U54" i="71"/>
  <c r="R54" i="71"/>
  <c r="Q54" i="71"/>
  <c r="N54" i="71"/>
  <c r="M54" i="71"/>
  <c r="J54" i="71"/>
  <c r="I54" i="71"/>
  <c r="F54" i="71"/>
  <c r="E54" i="71"/>
  <c r="D54" i="71"/>
  <c r="X54" i="71" s="1"/>
  <c r="C54" i="71"/>
  <c r="W54" i="71" s="1"/>
  <c r="Y54" i="71" s="1"/>
  <c r="Z53" i="71"/>
  <c r="V53" i="71"/>
  <c r="U53" i="71"/>
  <c r="R53" i="71"/>
  <c r="Q53" i="71"/>
  <c r="N53" i="71"/>
  <c r="M53" i="71"/>
  <c r="J53" i="71"/>
  <c r="I53" i="71"/>
  <c r="F53" i="71"/>
  <c r="E53" i="71"/>
  <c r="D53" i="71"/>
  <c r="X53" i="71" s="1"/>
  <c r="C53" i="71"/>
  <c r="W53" i="71" s="1"/>
  <c r="Y53" i="71" s="1"/>
  <c r="V52" i="71"/>
  <c r="U52" i="71"/>
  <c r="R52" i="71"/>
  <c r="Q52" i="71"/>
  <c r="N52" i="71"/>
  <c r="M52" i="71"/>
  <c r="J52" i="71"/>
  <c r="I52" i="71"/>
  <c r="F52" i="71"/>
  <c r="E52" i="71"/>
  <c r="D52" i="71"/>
  <c r="X52" i="71" s="1"/>
  <c r="C52" i="71"/>
  <c r="C57" i="71" s="1"/>
  <c r="Z51" i="71"/>
  <c r="Y51" i="71"/>
  <c r="X51" i="71"/>
  <c r="W51" i="71"/>
  <c r="V51" i="71"/>
  <c r="U51" i="71"/>
  <c r="R51" i="71"/>
  <c r="Q51" i="71"/>
  <c r="N51" i="71"/>
  <c r="M51" i="71"/>
  <c r="J51" i="71"/>
  <c r="I51" i="71"/>
  <c r="F51" i="71"/>
  <c r="E51" i="71"/>
  <c r="P50" i="71"/>
  <c r="R50" i="71" s="1"/>
  <c r="L50" i="71"/>
  <c r="N50" i="71" s="1"/>
  <c r="K50" i="71"/>
  <c r="H50" i="71"/>
  <c r="W49" i="71"/>
  <c r="T49" i="71"/>
  <c r="S49" i="71"/>
  <c r="U49" i="71" s="1"/>
  <c r="R49" i="71"/>
  <c r="Q49" i="71"/>
  <c r="N49" i="71"/>
  <c r="M49" i="71"/>
  <c r="J49" i="71"/>
  <c r="I49" i="71"/>
  <c r="G49" i="71"/>
  <c r="F49" i="71"/>
  <c r="E49" i="71"/>
  <c r="D49" i="71"/>
  <c r="X49" i="71" s="1"/>
  <c r="C49" i="71"/>
  <c r="V48" i="71"/>
  <c r="U48" i="71"/>
  <c r="R48" i="71"/>
  <c r="Q48" i="71"/>
  <c r="N48" i="71"/>
  <c r="M48" i="71"/>
  <c r="J48" i="71"/>
  <c r="I48" i="71"/>
  <c r="F48" i="71"/>
  <c r="E48" i="71"/>
  <c r="D48" i="71"/>
  <c r="X48" i="71" s="1"/>
  <c r="Z48" i="71" s="1"/>
  <c r="C48" i="71"/>
  <c r="W48" i="71" s="1"/>
  <c r="Y48" i="71" s="1"/>
  <c r="V47" i="71"/>
  <c r="U47" i="71"/>
  <c r="T47" i="71"/>
  <c r="T50" i="71" s="1"/>
  <c r="S47" i="71"/>
  <c r="R47" i="71"/>
  <c r="Q47" i="71"/>
  <c r="O47" i="71"/>
  <c r="O50" i="71" s="1"/>
  <c r="Q50" i="71" s="1"/>
  <c r="N47" i="71"/>
  <c r="M47" i="71"/>
  <c r="J47" i="71"/>
  <c r="I47" i="71"/>
  <c r="H47" i="71"/>
  <c r="F47" i="71"/>
  <c r="E47" i="71"/>
  <c r="D47" i="71"/>
  <c r="X47" i="71" s="1"/>
  <c r="Z47" i="71" s="1"/>
  <c r="C47" i="71"/>
  <c r="W47" i="71" s="1"/>
  <c r="Y47" i="71" s="1"/>
  <c r="V46" i="71"/>
  <c r="U46" i="71"/>
  <c r="S46" i="71"/>
  <c r="R46" i="71"/>
  <c r="Q46" i="71"/>
  <c r="N46" i="71"/>
  <c r="M46" i="71"/>
  <c r="J46" i="71"/>
  <c r="G46" i="71"/>
  <c r="G50" i="71" s="1"/>
  <c r="I50" i="71" s="1"/>
  <c r="D46" i="71"/>
  <c r="C46" i="71"/>
  <c r="C50" i="71" s="1"/>
  <c r="X45" i="71"/>
  <c r="Z45" i="71" s="1"/>
  <c r="W45" i="71"/>
  <c r="Y45" i="71" s="1"/>
  <c r="V45" i="71"/>
  <c r="U45" i="71"/>
  <c r="R45" i="71"/>
  <c r="Q45" i="71"/>
  <c r="N45" i="71"/>
  <c r="M45" i="71"/>
  <c r="J45" i="71"/>
  <c r="I45" i="71"/>
  <c r="F45" i="71"/>
  <c r="E45" i="71"/>
  <c r="V44" i="71"/>
  <c r="T44" i="71"/>
  <c r="S44" i="71"/>
  <c r="U44" i="71" s="1"/>
  <c r="R44" i="71"/>
  <c r="Q44" i="71"/>
  <c r="P44" i="71"/>
  <c r="O44" i="71"/>
  <c r="N44" i="71"/>
  <c r="M44" i="71"/>
  <c r="L44" i="71"/>
  <c r="K44" i="71"/>
  <c r="J44" i="71"/>
  <c r="I44" i="71"/>
  <c r="H44" i="71"/>
  <c r="G44" i="71"/>
  <c r="V43" i="71"/>
  <c r="U43" i="71"/>
  <c r="R43" i="71"/>
  <c r="Q43" i="71"/>
  <c r="N43" i="71"/>
  <c r="M43" i="71"/>
  <c r="J43" i="71"/>
  <c r="I43" i="71"/>
  <c r="F43" i="71"/>
  <c r="E43" i="71"/>
  <c r="D43" i="71"/>
  <c r="X43" i="71" s="1"/>
  <c r="Z43" i="71" s="1"/>
  <c r="C43" i="71"/>
  <c r="W43" i="71" s="1"/>
  <c r="V42" i="71"/>
  <c r="U42" i="71"/>
  <c r="R42" i="71"/>
  <c r="Q42" i="71"/>
  <c r="N42" i="71"/>
  <c r="M42" i="71"/>
  <c r="J42" i="71"/>
  <c r="I42" i="71"/>
  <c r="F42" i="71"/>
  <c r="E42" i="71"/>
  <c r="D42" i="71"/>
  <c r="X42" i="71" s="1"/>
  <c r="Z42" i="71" s="1"/>
  <c r="C42" i="71"/>
  <c r="W42" i="71" s="1"/>
  <c r="Y42" i="71" s="1"/>
  <c r="V41" i="71"/>
  <c r="U41" i="71"/>
  <c r="R41" i="71"/>
  <c r="Q41" i="71"/>
  <c r="N41" i="71"/>
  <c r="M41" i="71"/>
  <c r="J41" i="71"/>
  <c r="I41" i="71"/>
  <c r="F41" i="71"/>
  <c r="E41" i="71"/>
  <c r="D41" i="71"/>
  <c r="X41" i="71" s="1"/>
  <c r="Z41" i="71" s="1"/>
  <c r="C41" i="71"/>
  <c r="W41" i="71" s="1"/>
  <c r="Y41" i="71" s="1"/>
  <c r="V40" i="71"/>
  <c r="U40" i="71"/>
  <c r="R40" i="71"/>
  <c r="Q40" i="71"/>
  <c r="N40" i="71"/>
  <c r="M40" i="71"/>
  <c r="J40" i="71"/>
  <c r="I40" i="71"/>
  <c r="F40" i="71"/>
  <c r="E40" i="71"/>
  <c r="D40" i="71"/>
  <c r="D44" i="71" s="1"/>
  <c r="X44" i="71" s="1"/>
  <c r="Z44" i="71" s="1"/>
  <c r="C40" i="71"/>
  <c r="C44" i="71" s="1"/>
  <c r="W44" i="71" s="1"/>
  <c r="Z39" i="71"/>
  <c r="Y39" i="71"/>
  <c r="X39" i="71"/>
  <c r="W39" i="71"/>
  <c r="V39" i="71"/>
  <c r="U39" i="71"/>
  <c r="R39" i="71"/>
  <c r="Q39" i="71"/>
  <c r="N39" i="71"/>
  <c r="M39" i="71"/>
  <c r="J39" i="71"/>
  <c r="I39" i="71"/>
  <c r="F39" i="71"/>
  <c r="E39" i="71"/>
  <c r="T38" i="71"/>
  <c r="V38" i="71" s="1"/>
  <c r="P38" i="71"/>
  <c r="R38" i="71" s="1"/>
  <c r="O38" i="71"/>
  <c r="Q38" i="71" s="1"/>
  <c r="L38" i="71"/>
  <c r="N38" i="71" s="1"/>
  <c r="K38" i="71"/>
  <c r="M38" i="71" s="1"/>
  <c r="H38" i="71"/>
  <c r="J38" i="71" s="1"/>
  <c r="G38" i="71"/>
  <c r="I38" i="71" s="1"/>
  <c r="D38" i="71"/>
  <c r="C38" i="71"/>
  <c r="E38" i="71" s="1"/>
  <c r="X37" i="71"/>
  <c r="W37" i="71"/>
  <c r="Y37" i="71" s="1"/>
  <c r="V37" i="71"/>
  <c r="S37" i="71"/>
  <c r="U37" i="71" s="1"/>
  <c r="R37" i="71"/>
  <c r="Q37" i="71"/>
  <c r="O37" i="71"/>
  <c r="N37" i="71"/>
  <c r="M37" i="71"/>
  <c r="J37" i="71"/>
  <c r="I37" i="71"/>
  <c r="F37" i="71"/>
  <c r="E37" i="71"/>
  <c r="D37" i="71"/>
  <c r="C37" i="71"/>
  <c r="V36" i="71"/>
  <c r="U36" i="71"/>
  <c r="R36" i="71"/>
  <c r="Q36" i="71"/>
  <c r="N36" i="71"/>
  <c r="M36" i="71"/>
  <c r="J36" i="71"/>
  <c r="I36" i="71"/>
  <c r="F36" i="71"/>
  <c r="E36" i="71"/>
  <c r="D36" i="71"/>
  <c r="X36" i="71" s="1"/>
  <c r="Z36" i="71" s="1"/>
  <c r="C36" i="71"/>
  <c r="W36" i="71" s="1"/>
  <c r="V35" i="71"/>
  <c r="U35" i="71"/>
  <c r="R35" i="71"/>
  <c r="Q35" i="71"/>
  <c r="N35" i="71"/>
  <c r="M35" i="71"/>
  <c r="J35" i="71"/>
  <c r="I35" i="71"/>
  <c r="F35" i="71"/>
  <c r="E35" i="71"/>
  <c r="D35" i="71"/>
  <c r="X35" i="71" s="1"/>
  <c r="Z35" i="71" s="1"/>
  <c r="C35" i="71"/>
  <c r="W35" i="71" s="1"/>
  <c r="Y35" i="71" s="1"/>
  <c r="Z34" i="71"/>
  <c r="X34" i="71"/>
  <c r="V34" i="71"/>
  <c r="U34" i="71"/>
  <c r="R34" i="71"/>
  <c r="Q34" i="71"/>
  <c r="N34" i="71"/>
  <c r="M34" i="71"/>
  <c r="J34" i="71"/>
  <c r="I34" i="71"/>
  <c r="F34" i="71"/>
  <c r="E34" i="71"/>
  <c r="C34" i="71"/>
  <c r="W34" i="71" s="1"/>
  <c r="Y34" i="71" s="1"/>
  <c r="Y33" i="71"/>
  <c r="X33" i="71"/>
  <c r="Z33" i="71" s="1"/>
  <c r="W33" i="71"/>
  <c r="V33" i="71"/>
  <c r="U33" i="71"/>
  <c r="R33" i="71"/>
  <c r="Q33" i="71"/>
  <c r="N33" i="71"/>
  <c r="M33" i="71"/>
  <c r="J33" i="71"/>
  <c r="I33" i="71"/>
  <c r="F33" i="71"/>
  <c r="E33" i="71"/>
  <c r="W32" i="71"/>
  <c r="V32" i="71"/>
  <c r="U32" i="71"/>
  <c r="R32" i="71"/>
  <c r="Q32" i="71"/>
  <c r="N32" i="71"/>
  <c r="M32" i="71"/>
  <c r="J32" i="71"/>
  <c r="I32" i="71"/>
  <c r="F32" i="71"/>
  <c r="D32" i="71"/>
  <c r="X32" i="71" s="1"/>
  <c r="Z32" i="71" s="1"/>
  <c r="C32" i="71"/>
  <c r="E32" i="71" s="1"/>
  <c r="V31" i="71"/>
  <c r="U31" i="71"/>
  <c r="S31" i="71"/>
  <c r="R31" i="71"/>
  <c r="Q31" i="71"/>
  <c r="O31" i="71"/>
  <c r="N31" i="71"/>
  <c r="K31" i="71"/>
  <c r="W31" i="71" s="1"/>
  <c r="Y31" i="71" s="1"/>
  <c r="J31" i="71"/>
  <c r="G31" i="71"/>
  <c r="I31" i="71" s="1"/>
  <c r="F31" i="71"/>
  <c r="D31" i="71"/>
  <c r="X31" i="71" s="1"/>
  <c r="C31" i="71"/>
  <c r="E31" i="71" s="1"/>
  <c r="W30" i="71"/>
  <c r="Y30" i="71" s="1"/>
  <c r="V30" i="71"/>
  <c r="U30" i="71"/>
  <c r="R30" i="71"/>
  <c r="Q30" i="71"/>
  <c r="N30" i="71"/>
  <c r="M30" i="71"/>
  <c r="J30" i="71"/>
  <c r="I30" i="71"/>
  <c r="F30" i="71"/>
  <c r="D30" i="71"/>
  <c r="X30" i="71" s="1"/>
  <c r="C30" i="71"/>
  <c r="E30" i="71" s="1"/>
  <c r="W29" i="71"/>
  <c r="Y29" i="71" s="1"/>
  <c r="V29" i="71"/>
  <c r="U29" i="71"/>
  <c r="R29" i="71"/>
  <c r="Q29" i="71"/>
  <c r="N29" i="71"/>
  <c r="M29" i="71"/>
  <c r="J29" i="71"/>
  <c r="I29" i="71"/>
  <c r="D29" i="71"/>
  <c r="X29" i="71" s="1"/>
  <c r="C29" i="71"/>
  <c r="E29" i="71" s="1"/>
  <c r="S28" i="71"/>
  <c r="O28" i="71"/>
  <c r="K28" i="71"/>
  <c r="J28" i="71"/>
  <c r="G28" i="71"/>
  <c r="C28" i="71"/>
  <c r="W27" i="71"/>
  <c r="V27" i="71"/>
  <c r="U27" i="71"/>
  <c r="T27" i="71"/>
  <c r="R27" i="71"/>
  <c r="Q27" i="71"/>
  <c r="P27" i="71"/>
  <c r="M27" i="71"/>
  <c r="L27" i="71"/>
  <c r="N27" i="71" s="1"/>
  <c r="H27" i="71"/>
  <c r="F27" i="71"/>
  <c r="E27" i="71"/>
  <c r="D27" i="71"/>
  <c r="V26" i="71"/>
  <c r="U26" i="71"/>
  <c r="T26" i="71"/>
  <c r="S26" i="71"/>
  <c r="R26" i="71"/>
  <c r="Q26" i="71"/>
  <c r="P26" i="71"/>
  <c r="O26" i="71"/>
  <c r="N26" i="71"/>
  <c r="M26" i="71"/>
  <c r="L26" i="71"/>
  <c r="K26" i="71"/>
  <c r="J26" i="71"/>
  <c r="I26" i="71"/>
  <c r="H26" i="71"/>
  <c r="G26" i="71"/>
  <c r="F26" i="71"/>
  <c r="E26" i="71"/>
  <c r="D26" i="71"/>
  <c r="X26" i="71" s="1"/>
  <c r="Z26" i="71" s="1"/>
  <c r="C26" i="71"/>
  <c r="W26" i="71" s="1"/>
  <c r="Y26" i="71" s="1"/>
  <c r="V25" i="71"/>
  <c r="U25" i="71"/>
  <c r="T25" i="71"/>
  <c r="S25" i="71"/>
  <c r="R25" i="71"/>
  <c r="Q25" i="71"/>
  <c r="P25" i="71"/>
  <c r="O25" i="71"/>
  <c r="N25" i="71"/>
  <c r="M25" i="71"/>
  <c r="L25" i="71"/>
  <c r="K25" i="71"/>
  <c r="J25" i="71"/>
  <c r="I25" i="71"/>
  <c r="H25" i="71"/>
  <c r="G25" i="71"/>
  <c r="F25" i="71"/>
  <c r="E25" i="71"/>
  <c r="D25" i="71"/>
  <c r="X25" i="71" s="1"/>
  <c r="Z25" i="71" s="1"/>
  <c r="C25" i="71"/>
  <c r="W25" i="71" s="1"/>
  <c r="Y25" i="71" s="1"/>
  <c r="V24" i="71"/>
  <c r="U24" i="71"/>
  <c r="T24" i="71"/>
  <c r="T28" i="71" s="1"/>
  <c r="S24" i="71"/>
  <c r="R24" i="71"/>
  <c r="Q24" i="71"/>
  <c r="P24" i="71"/>
  <c r="P28" i="71" s="1"/>
  <c r="R28" i="71" s="1"/>
  <c r="O24" i="71"/>
  <c r="N24" i="71"/>
  <c r="M24" i="71"/>
  <c r="L24" i="71"/>
  <c r="L28" i="71" s="1"/>
  <c r="L77" i="71" s="1"/>
  <c r="K24" i="71"/>
  <c r="J24" i="71"/>
  <c r="I24" i="71"/>
  <c r="H24" i="71"/>
  <c r="H28" i="71" s="1"/>
  <c r="G24" i="71"/>
  <c r="F24" i="71"/>
  <c r="E24" i="71"/>
  <c r="D24" i="71"/>
  <c r="X24" i="71" s="1"/>
  <c r="Z24" i="71" s="1"/>
  <c r="C24" i="71"/>
  <c r="W24" i="71" s="1"/>
  <c r="Y24" i="71" s="1"/>
  <c r="Z23" i="71"/>
  <c r="Y23" i="71"/>
  <c r="X23" i="71"/>
  <c r="W23" i="71"/>
  <c r="V23" i="71"/>
  <c r="U23" i="71"/>
  <c r="R23" i="71"/>
  <c r="Q23" i="71"/>
  <c r="N23" i="71"/>
  <c r="M23" i="71"/>
  <c r="J23" i="71"/>
  <c r="I23" i="71"/>
  <c r="F23" i="71"/>
  <c r="E23" i="71"/>
  <c r="D20" i="71"/>
  <c r="F20" i="71" s="1"/>
  <c r="T19" i="71"/>
  <c r="V19" i="71" s="1"/>
  <c r="S19" i="71"/>
  <c r="P19" i="71"/>
  <c r="O19" i="71"/>
  <c r="Q19" i="71" s="1"/>
  <c r="N19" i="71"/>
  <c r="K19" i="71"/>
  <c r="M19" i="71" s="1"/>
  <c r="J19" i="71"/>
  <c r="I19" i="71"/>
  <c r="G19" i="71"/>
  <c r="F19" i="71"/>
  <c r="E19" i="71"/>
  <c r="T18" i="71"/>
  <c r="S18" i="71"/>
  <c r="U18" i="71" s="1"/>
  <c r="P18" i="71"/>
  <c r="O18" i="71"/>
  <c r="Q18" i="71" s="1"/>
  <c r="N18" i="71"/>
  <c r="K18" i="71"/>
  <c r="M18" i="71" s="1"/>
  <c r="J18" i="71"/>
  <c r="H18" i="71"/>
  <c r="G18" i="71"/>
  <c r="I18" i="71" s="1"/>
  <c r="F18" i="71"/>
  <c r="E18" i="71"/>
  <c r="T17" i="71"/>
  <c r="V17" i="71" s="1"/>
  <c r="S17" i="71"/>
  <c r="P17" i="71"/>
  <c r="P20" i="71" s="1"/>
  <c r="O17" i="71"/>
  <c r="Q17" i="71" s="1"/>
  <c r="N17" i="71"/>
  <c r="K17" i="71"/>
  <c r="K20" i="71" s="1"/>
  <c r="J17" i="71"/>
  <c r="H17" i="71"/>
  <c r="X17" i="71" s="1"/>
  <c r="G17" i="71"/>
  <c r="I17" i="71" s="1"/>
  <c r="F17" i="71"/>
  <c r="E17" i="71"/>
  <c r="X16" i="71"/>
  <c r="Z16" i="71" s="1"/>
  <c r="V16" i="71"/>
  <c r="U16" i="71"/>
  <c r="R16" i="71"/>
  <c r="N16" i="71"/>
  <c r="M16" i="71"/>
  <c r="J16" i="71"/>
  <c r="I16" i="71"/>
  <c r="F16" i="71"/>
  <c r="E16" i="71"/>
  <c r="W15" i="71"/>
  <c r="T15" i="71"/>
  <c r="S15" i="71"/>
  <c r="S20" i="71" s="1"/>
  <c r="Q15" i="71"/>
  <c r="P15" i="71"/>
  <c r="O15" i="71"/>
  <c r="L15" i="71"/>
  <c r="N15" i="71" s="1"/>
  <c r="H15" i="71"/>
  <c r="J15" i="71" s="1"/>
  <c r="G15" i="71"/>
  <c r="I15" i="71" s="1"/>
  <c r="F15" i="71"/>
  <c r="C15" i="71"/>
  <c r="E15" i="71" s="1"/>
  <c r="S13" i="71"/>
  <c r="S21" i="71" s="1"/>
  <c r="O13" i="71"/>
  <c r="Q13" i="71" s="1"/>
  <c r="N13" i="71"/>
  <c r="M13" i="71"/>
  <c r="K13" i="71"/>
  <c r="K21" i="71" s="1"/>
  <c r="G13" i="71"/>
  <c r="J13" i="71" s="1"/>
  <c r="F13" i="71"/>
  <c r="D13" i="71"/>
  <c r="X13" i="71" s="1"/>
  <c r="C13" i="71"/>
  <c r="Z12" i="71"/>
  <c r="X12" i="71"/>
  <c r="W12" i="71"/>
  <c r="Y12" i="71" s="1"/>
  <c r="V12" i="71"/>
  <c r="U12" i="71"/>
  <c r="S12" i="71"/>
  <c r="R12" i="71"/>
  <c r="Q12" i="71"/>
  <c r="N12" i="71"/>
  <c r="M12" i="71"/>
  <c r="J12" i="71"/>
  <c r="I12" i="71"/>
  <c r="F12" i="71"/>
  <c r="E12" i="71"/>
  <c r="X11" i="71"/>
  <c r="V11" i="71"/>
  <c r="U11" i="71"/>
  <c r="T11" i="71"/>
  <c r="T13" i="71" s="1"/>
  <c r="V13" i="71" s="1"/>
  <c r="S11" i="71"/>
  <c r="R11" i="71"/>
  <c r="Q11" i="71"/>
  <c r="P11" i="71"/>
  <c r="P13" i="71" s="1"/>
  <c r="N11" i="71"/>
  <c r="M11" i="71"/>
  <c r="L11" i="71"/>
  <c r="L13" i="71" s="1"/>
  <c r="K11" i="71"/>
  <c r="J11" i="71"/>
  <c r="I11" i="71"/>
  <c r="H11" i="71"/>
  <c r="H13" i="71" s="1"/>
  <c r="G11" i="71"/>
  <c r="W11" i="71" s="1"/>
  <c r="Y11" i="71" s="1"/>
  <c r="F11" i="71"/>
  <c r="E11" i="71"/>
  <c r="L86" i="70"/>
  <c r="N86" i="70" s="1"/>
  <c r="K86" i="70"/>
  <c r="H86" i="70"/>
  <c r="G86" i="70"/>
  <c r="I86" i="70" s="1"/>
  <c r="D86" i="70"/>
  <c r="C86" i="70"/>
  <c r="L85" i="70"/>
  <c r="K85" i="70"/>
  <c r="H85" i="70"/>
  <c r="J85" i="70" s="1"/>
  <c r="G85" i="70"/>
  <c r="D85" i="70"/>
  <c r="C85" i="70"/>
  <c r="L84" i="70"/>
  <c r="N84" i="70" s="1"/>
  <c r="K84" i="70"/>
  <c r="H84" i="70"/>
  <c r="G84" i="70"/>
  <c r="D84" i="70"/>
  <c r="C84" i="70"/>
  <c r="L83" i="70"/>
  <c r="K83" i="70"/>
  <c r="H83" i="70"/>
  <c r="J83" i="70" s="1"/>
  <c r="G83" i="70"/>
  <c r="D83" i="70"/>
  <c r="C83" i="70"/>
  <c r="C87" i="70" s="1"/>
  <c r="P82" i="70"/>
  <c r="R82" i="70" s="1"/>
  <c r="N82" i="70"/>
  <c r="K82" i="70"/>
  <c r="J82" i="70"/>
  <c r="G82" i="70"/>
  <c r="I82" i="70" s="1"/>
  <c r="F82" i="70"/>
  <c r="E82" i="70"/>
  <c r="L80" i="70"/>
  <c r="N80" i="70" s="1"/>
  <c r="H80" i="70"/>
  <c r="J80" i="70" s="1"/>
  <c r="G80" i="70"/>
  <c r="D80" i="70"/>
  <c r="P79" i="70"/>
  <c r="R79" i="70" s="1"/>
  <c r="O79" i="70"/>
  <c r="N79" i="70"/>
  <c r="K79" i="70"/>
  <c r="M79" i="70" s="1"/>
  <c r="J79" i="70"/>
  <c r="I79" i="70"/>
  <c r="F79" i="70"/>
  <c r="E79" i="70"/>
  <c r="P78" i="70"/>
  <c r="R78" i="70" s="1"/>
  <c r="N78" i="70"/>
  <c r="K78" i="70"/>
  <c r="M78" i="70" s="1"/>
  <c r="J78" i="70"/>
  <c r="I78" i="70"/>
  <c r="F78" i="70"/>
  <c r="C78" i="70"/>
  <c r="O78" i="70" s="1"/>
  <c r="L73" i="70"/>
  <c r="N73" i="70" s="1"/>
  <c r="H73" i="70"/>
  <c r="J73" i="70" s="1"/>
  <c r="G73" i="70"/>
  <c r="D73" i="70"/>
  <c r="C73" i="70"/>
  <c r="O73" i="70" s="1"/>
  <c r="O72" i="70"/>
  <c r="M72" i="70"/>
  <c r="L72" i="70"/>
  <c r="N72" i="70" s="1"/>
  <c r="H72" i="70"/>
  <c r="J72" i="70" s="1"/>
  <c r="D72" i="70"/>
  <c r="O71" i="70"/>
  <c r="L71" i="70"/>
  <c r="M71" i="70" s="1"/>
  <c r="J71" i="70"/>
  <c r="I71" i="70"/>
  <c r="H71" i="70"/>
  <c r="D71" i="70"/>
  <c r="E71" i="70" s="1"/>
  <c r="L70" i="70"/>
  <c r="N70" i="70" s="1"/>
  <c r="K70" i="70"/>
  <c r="H70" i="70"/>
  <c r="G70" i="70"/>
  <c r="D70" i="70"/>
  <c r="F70" i="70" s="1"/>
  <c r="C70" i="70"/>
  <c r="L69" i="70"/>
  <c r="H69" i="70"/>
  <c r="G69" i="70"/>
  <c r="D69" i="70"/>
  <c r="P69" i="70" s="1"/>
  <c r="C69" i="70"/>
  <c r="L68" i="70"/>
  <c r="K68" i="70"/>
  <c r="H68" i="70"/>
  <c r="G68" i="70"/>
  <c r="D68" i="70"/>
  <c r="F68" i="70" s="1"/>
  <c r="C68" i="70"/>
  <c r="L67" i="70"/>
  <c r="K67" i="70"/>
  <c r="H67" i="70"/>
  <c r="J67" i="70" s="1"/>
  <c r="G67" i="70"/>
  <c r="D67" i="70"/>
  <c r="C67" i="70"/>
  <c r="O66" i="70"/>
  <c r="N66" i="70"/>
  <c r="L66" i="70"/>
  <c r="M66" i="70" s="1"/>
  <c r="H66" i="70"/>
  <c r="I66" i="70" s="1"/>
  <c r="D66" i="70"/>
  <c r="E66" i="70" s="1"/>
  <c r="L65" i="70"/>
  <c r="K65" i="70"/>
  <c r="H65" i="70"/>
  <c r="G65" i="70"/>
  <c r="D65" i="70"/>
  <c r="C65" i="70"/>
  <c r="L64" i="70"/>
  <c r="K64" i="70"/>
  <c r="H64" i="70"/>
  <c r="G64" i="70"/>
  <c r="D64" i="70"/>
  <c r="C64" i="70"/>
  <c r="L63" i="70"/>
  <c r="K63" i="70"/>
  <c r="H63" i="70"/>
  <c r="G63" i="70"/>
  <c r="D63" i="70"/>
  <c r="C63" i="70"/>
  <c r="L62" i="70"/>
  <c r="K62" i="70"/>
  <c r="H62" i="70"/>
  <c r="G62" i="70"/>
  <c r="D62" i="70"/>
  <c r="C62" i="70"/>
  <c r="O62" i="70" s="1"/>
  <c r="O61" i="70"/>
  <c r="L61" i="70"/>
  <c r="H61" i="70"/>
  <c r="J61" i="70" s="1"/>
  <c r="D61" i="70"/>
  <c r="L60" i="70"/>
  <c r="N60" i="70" s="1"/>
  <c r="K60" i="70"/>
  <c r="H60" i="70"/>
  <c r="G60" i="70"/>
  <c r="D60" i="70"/>
  <c r="C60" i="70"/>
  <c r="L59" i="70"/>
  <c r="M59" i="70" s="1"/>
  <c r="H59" i="70"/>
  <c r="G59" i="70"/>
  <c r="D59" i="70"/>
  <c r="C59" i="70"/>
  <c r="L58" i="70"/>
  <c r="K58" i="70"/>
  <c r="H58" i="70"/>
  <c r="J58" i="70" s="1"/>
  <c r="G58" i="70"/>
  <c r="D58" i="70"/>
  <c r="C58" i="70"/>
  <c r="L57" i="70"/>
  <c r="K57" i="70"/>
  <c r="H57" i="70"/>
  <c r="J57" i="70" s="1"/>
  <c r="G57" i="70"/>
  <c r="D57" i="70"/>
  <c r="C57" i="70"/>
  <c r="R56" i="70"/>
  <c r="P56" i="70"/>
  <c r="O56" i="70"/>
  <c r="Q56" i="70" s="1"/>
  <c r="N56" i="70"/>
  <c r="M56" i="70"/>
  <c r="J56" i="70"/>
  <c r="I56" i="70"/>
  <c r="F56" i="70"/>
  <c r="E56" i="70"/>
  <c r="L54" i="70"/>
  <c r="K54" i="70"/>
  <c r="O54" i="70" s="1"/>
  <c r="H54" i="70"/>
  <c r="J54" i="70" s="1"/>
  <c r="D54" i="70"/>
  <c r="L53" i="70"/>
  <c r="N53" i="70" s="1"/>
  <c r="K53" i="70"/>
  <c r="H53" i="70"/>
  <c r="J53" i="70" s="1"/>
  <c r="G53" i="70"/>
  <c r="D53" i="70"/>
  <c r="C53" i="70"/>
  <c r="L52" i="70"/>
  <c r="K52" i="70"/>
  <c r="M52" i="70" s="1"/>
  <c r="H52" i="70"/>
  <c r="G52" i="70"/>
  <c r="D52" i="70"/>
  <c r="C52" i="70"/>
  <c r="E52" i="70" s="1"/>
  <c r="L51" i="70"/>
  <c r="K51" i="70"/>
  <c r="H51" i="70"/>
  <c r="G51" i="70"/>
  <c r="I51" i="70" s="1"/>
  <c r="D51" i="70"/>
  <c r="C51" i="70"/>
  <c r="L50" i="70"/>
  <c r="K50" i="70"/>
  <c r="H50" i="70"/>
  <c r="J50" i="70" s="1"/>
  <c r="G50" i="70"/>
  <c r="D50" i="70"/>
  <c r="F50" i="70" s="1"/>
  <c r="C50" i="70"/>
  <c r="P49" i="70"/>
  <c r="R49" i="70" s="1"/>
  <c r="O49" i="70"/>
  <c r="N49" i="70"/>
  <c r="M49" i="70"/>
  <c r="J49" i="70"/>
  <c r="I49" i="70"/>
  <c r="F49" i="70"/>
  <c r="E49" i="70"/>
  <c r="L47" i="70"/>
  <c r="K47" i="70"/>
  <c r="M47" i="70" s="1"/>
  <c r="H47" i="70"/>
  <c r="J47" i="70" s="1"/>
  <c r="G47" i="70"/>
  <c r="I47" i="70" s="1"/>
  <c r="D47" i="70"/>
  <c r="C47" i="70"/>
  <c r="M46" i="70"/>
  <c r="L46" i="70"/>
  <c r="K46" i="70"/>
  <c r="H46" i="70"/>
  <c r="G46" i="70"/>
  <c r="D46" i="70"/>
  <c r="C46" i="70"/>
  <c r="L45" i="70"/>
  <c r="K45" i="70"/>
  <c r="H45" i="70"/>
  <c r="G45" i="70"/>
  <c r="E45" i="70"/>
  <c r="D45" i="70"/>
  <c r="F45" i="70" s="1"/>
  <c r="C45" i="70"/>
  <c r="L44" i="70"/>
  <c r="K44" i="70"/>
  <c r="K48" i="70" s="1"/>
  <c r="I44" i="70"/>
  <c r="H44" i="70"/>
  <c r="G44" i="70"/>
  <c r="E44" i="70"/>
  <c r="D44" i="70"/>
  <c r="F44" i="70" s="1"/>
  <c r="C44" i="70"/>
  <c r="P43" i="70"/>
  <c r="R43" i="70" s="1"/>
  <c r="O43" i="70"/>
  <c r="N43" i="70"/>
  <c r="M43" i="70"/>
  <c r="J43" i="70"/>
  <c r="I43" i="70"/>
  <c r="F43" i="70"/>
  <c r="E43" i="70"/>
  <c r="L41" i="70"/>
  <c r="K41" i="70"/>
  <c r="H41" i="70"/>
  <c r="G41" i="70"/>
  <c r="D41" i="70"/>
  <c r="P41" i="70" s="1"/>
  <c r="C41" i="70"/>
  <c r="L40" i="70"/>
  <c r="K40" i="70"/>
  <c r="H40" i="70"/>
  <c r="J40" i="70" s="1"/>
  <c r="G40" i="70"/>
  <c r="O40" i="70" s="1"/>
  <c r="D40" i="70"/>
  <c r="C40" i="70"/>
  <c r="L39" i="70"/>
  <c r="K39" i="70"/>
  <c r="H39" i="70"/>
  <c r="J39" i="70" s="1"/>
  <c r="G39" i="70"/>
  <c r="D39" i="70"/>
  <c r="P39" i="70" s="1"/>
  <c r="C39" i="70"/>
  <c r="L38" i="70"/>
  <c r="K38" i="70"/>
  <c r="H38" i="70"/>
  <c r="H42" i="70" s="1"/>
  <c r="G38" i="70"/>
  <c r="O38" i="70" s="1"/>
  <c r="D38" i="70"/>
  <c r="C38" i="70"/>
  <c r="C42" i="70" s="1"/>
  <c r="P37" i="70"/>
  <c r="R37" i="70" s="1"/>
  <c r="O37" i="70"/>
  <c r="N37" i="70"/>
  <c r="M37" i="70"/>
  <c r="J37" i="70"/>
  <c r="I37" i="70"/>
  <c r="F37" i="70"/>
  <c r="E37" i="70"/>
  <c r="L35" i="70"/>
  <c r="K35" i="70"/>
  <c r="H35" i="70"/>
  <c r="J35" i="70" s="1"/>
  <c r="G35" i="70"/>
  <c r="D35" i="70"/>
  <c r="C35" i="70"/>
  <c r="O35" i="70" s="1"/>
  <c r="L34" i="70"/>
  <c r="K34" i="70"/>
  <c r="H34" i="70"/>
  <c r="P34" i="70" s="1"/>
  <c r="G34" i="70"/>
  <c r="D34" i="70"/>
  <c r="C34" i="70"/>
  <c r="L33" i="70"/>
  <c r="K33" i="70"/>
  <c r="M33" i="70" s="1"/>
  <c r="H33" i="70"/>
  <c r="J33" i="70" s="1"/>
  <c r="G33" i="70"/>
  <c r="D33" i="70"/>
  <c r="P33" i="70" s="1"/>
  <c r="C33" i="70"/>
  <c r="N32" i="70"/>
  <c r="L32" i="70"/>
  <c r="K32" i="70"/>
  <c r="H32" i="70"/>
  <c r="J32" i="70" s="1"/>
  <c r="G32" i="70"/>
  <c r="F32" i="70"/>
  <c r="D32" i="70"/>
  <c r="C32" i="70"/>
  <c r="P31" i="70"/>
  <c r="R31" i="70" s="1"/>
  <c r="O31" i="70"/>
  <c r="N31" i="70"/>
  <c r="M31" i="70"/>
  <c r="J31" i="70"/>
  <c r="I31" i="70"/>
  <c r="F31" i="70"/>
  <c r="E31" i="70"/>
  <c r="L30" i="70"/>
  <c r="M30" i="70" s="1"/>
  <c r="H30" i="70"/>
  <c r="G30" i="70"/>
  <c r="D30" i="70"/>
  <c r="C30" i="70"/>
  <c r="E30" i="70" s="1"/>
  <c r="L29" i="70"/>
  <c r="K29" i="70"/>
  <c r="H29" i="70"/>
  <c r="G29" i="70"/>
  <c r="D29" i="70"/>
  <c r="C29" i="70"/>
  <c r="L28" i="70"/>
  <c r="N28" i="70" s="1"/>
  <c r="K28" i="70"/>
  <c r="H28" i="70"/>
  <c r="G28" i="70"/>
  <c r="I28" i="70" s="1"/>
  <c r="D28" i="70"/>
  <c r="C28" i="70"/>
  <c r="L27" i="70"/>
  <c r="N27" i="70" s="1"/>
  <c r="K27" i="70"/>
  <c r="M27" i="70" s="1"/>
  <c r="H27" i="70"/>
  <c r="J27" i="70" s="1"/>
  <c r="G27" i="70"/>
  <c r="D27" i="70"/>
  <c r="C27" i="70"/>
  <c r="O27" i="70" s="1"/>
  <c r="O25" i="70"/>
  <c r="L25" i="70"/>
  <c r="N25" i="70" s="1"/>
  <c r="J25" i="70"/>
  <c r="I25" i="70"/>
  <c r="H25" i="70"/>
  <c r="D25" i="70"/>
  <c r="F25" i="70" s="1"/>
  <c r="L24" i="70"/>
  <c r="K24" i="70"/>
  <c r="H24" i="70"/>
  <c r="G24" i="70"/>
  <c r="D24" i="70"/>
  <c r="C24" i="70"/>
  <c r="L23" i="70"/>
  <c r="K23" i="70"/>
  <c r="H23" i="70"/>
  <c r="G23" i="70"/>
  <c r="D23" i="70"/>
  <c r="C23" i="70"/>
  <c r="O23" i="70" s="1"/>
  <c r="L22" i="70"/>
  <c r="K22" i="70"/>
  <c r="H22" i="70"/>
  <c r="G22" i="70"/>
  <c r="G26" i="70" s="1"/>
  <c r="D22" i="70"/>
  <c r="C22" i="70"/>
  <c r="P21" i="70"/>
  <c r="O21" i="70"/>
  <c r="N21" i="70"/>
  <c r="M21" i="70"/>
  <c r="J21" i="70"/>
  <c r="I21" i="70"/>
  <c r="F21" i="70"/>
  <c r="E21" i="70"/>
  <c r="L17" i="70"/>
  <c r="N17" i="70" s="1"/>
  <c r="K17" i="70"/>
  <c r="H17" i="70"/>
  <c r="G17" i="70"/>
  <c r="D17" i="70"/>
  <c r="C17" i="70"/>
  <c r="L16" i="70"/>
  <c r="K16" i="70"/>
  <c r="M16" i="70" s="1"/>
  <c r="H16" i="70"/>
  <c r="J16" i="70" s="1"/>
  <c r="G16" i="70"/>
  <c r="D16" i="70"/>
  <c r="C16" i="70"/>
  <c r="E16" i="70" s="1"/>
  <c r="L15" i="70"/>
  <c r="N15" i="70" s="1"/>
  <c r="K15" i="70"/>
  <c r="H15" i="70"/>
  <c r="G15" i="70"/>
  <c r="I15" i="70" s="1"/>
  <c r="F15" i="70"/>
  <c r="D15" i="70"/>
  <c r="C15" i="70"/>
  <c r="R14" i="70"/>
  <c r="P14" i="70"/>
  <c r="O14" i="70"/>
  <c r="N14" i="70"/>
  <c r="M14" i="70"/>
  <c r="J14" i="70"/>
  <c r="I14" i="70"/>
  <c r="F14" i="70"/>
  <c r="E14" i="70"/>
  <c r="L13" i="70"/>
  <c r="K13" i="70"/>
  <c r="H13" i="70"/>
  <c r="G13" i="70"/>
  <c r="J13" i="70" s="1"/>
  <c r="D13" i="70"/>
  <c r="P13" i="70" s="1"/>
  <c r="C13" i="70"/>
  <c r="P10" i="70"/>
  <c r="R10" i="70" s="1"/>
  <c r="N10" i="70"/>
  <c r="M10" i="70"/>
  <c r="K10" i="70"/>
  <c r="J10" i="70"/>
  <c r="G10" i="70"/>
  <c r="I10" i="70" s="1"/>
  <c r="F10" i="70"/>
  <c r="C10" i="70"/>
  <c r="L9" i="70"/>
  <c r="L11" i="70" s="1"/>
  <c r="H9" i="70"/>
  <c r="H11" i="70" s="1"/>
  <c r="G9" i="70"/>
  <c r="F9" i="70"/>
  <c r="D9" i="70"/>
  <c r="D11" i="70" s="1"/>
  <c r="C9" i="70"/>
  <c r="C77" i="60"/>
  <c r="C71" i="60"/>
  <c r="C60" i="60"/>
  <c r="C64" i="60" s="1"/>
  <c r="C52" i="60"/>
  <c r="C47" i="60"/>
  <c r="C38" i="60"/>
  <c r="C35" i="60"/>
  <c r="C40" i="60" s="1"/>
  <c r="C32" i="60"/>
  <c r="C27" i="60"/>
  <c r="C24" i="60"/>
  <c r="C28" i="60" s="1"/>
  <c r="C19" i="60"/>
  <c r="C15" i="60"/>
  <c r="C12" i="60"/>
  <c r="E22" i="63"/>
  <c r="I18" i="63"/>
  <c r="I13" i="63"/>
  <c r="H17" i="28"/>
  <c r="H53" i="30"/>
  <c r="H34" i="30"/>
  <c r="H25" i="30"/>
  <c r="H19" i="30"/>
  <c r="H16" i="30"/>
  <c r="H100" i="81"/>
  <c r="H44" i="81"/>
  <c r="H27" i="81"/>
  <c r="H24" i="81"/>
  <c r="H20" i="81"/>
  <c r="M1035" i="64"/>
  <c r="H52" i="83"/>
  <c r="F52" i="83"/>
  <c r="E52" i="83"/>
  <c r="I50" i="83"/>
  <c r="J50" i="83" s="1"/>
  <c r="J49" i="83"/>
  <c r="I49" i="83"/>
  <c r="I52" i="83" s="1"/>
  <c r="G49" i="83"/>
  <c r="G52" i="83" s="1"/>
  <c r="H45" i="83"/>
  <c r="H4" i="83" s="1"/>
  <c r="F45" i="83"/>
  <c r="E45" i="83"/>
  <c r="J44" i="83"/>
  <c r="I44" i="83"/>
  <c r="J43" i="83"/>
  <c r="I43" i="83"/>
  <c r="J42" i="83"/>
  <c r="I42" i="83"/>
  <c r="J41" i="83"/>
  <c r="I41" i="83"/>
  <c r="M40" i="83"/>
  <c r="I40" i="83"/>
  <c r="J40" i="83" s="1"/>
  <c r="G40" i="83"/>
  <c r="G45" i="83" s="1"/>
  <c r="H36" i="83"/>
  <c r="F36" i="83"/>
  <c r="E36" i="83"/>
  <c r="I35" i="83"/>
  <c r="I34" i="83"/>
  <c r="I33" i="83"/>
  <c r="I32" i="83"/>
  <c r="I31" i="83"/>
  <c r="M30" i="83"/>
  <c r="J30" i="83"/>
  <c r="I30" i="83"/>
  <c r="M29" i="83"/>
  <c r="I29" i="83"/>
  <c r="J29" i="83" s="1"/>
  <c r="G29" i="83"/>
  <c r="M28" i="83"/>
  <c r="I28" i="83"/>
  <c r="J28" i="83" s="1"/>
  <c r="G28" i="83"/>
  <c r="M27" i="83"/>
  <c r="I27" i="83"/>
  <c r="J27" i="83" s="1"/>
  <c r="G27" i="83"/>
  <c r="M26" i="83"/>
  <c r="I26" i="83"/>
  <c r="J26" i="83" s="1"/>
  <c r="G26" i="83"/>
  <c r="M25" i="83"/>
  <c r="I25" i="83"/>
  <c r="J25" i="83" s="1"/>
  <c r="G25" i="83"/>
  <c r="M24" i="83"/>
  <c r="I24" i="83"/>
  <c r="J24" i="83" s="1"/>
  <c r="G24" i="83"/>
  <c r="M23" i="83"/>
  <c r="I23" i="83"/>
  <c r="I36" i="83" s="1"/>
  <c r="G23" i="83"/>
  <c r="G36" i="83" s="1"/>
  <c r="H18" i="83"/>
  <c r="E18" i="83"/>
  <c r="I17" i="83"/>
  <c r="J17" i="83" s="1"/>
  <c r="I16" i="83"/>
  <c r="I14" i="83"/>
  <c r="J14" i="83" s="1"/>
  <c r="J13" i="83"/>
  <c r="I13" i="83"/>
  <c r="M12" i="83"/>
  <c r="J12" i="83"/>
  <c r="I12" i="83"/>
  <c r="O11" i="83"/>
  <c r="M11" i="83"/>
  <c r="I11" i="83"/>
  <c r="J11" i="83" s="1"/>
  <c r="F18" i="83"/>
  <c r="F4" i="83" s="1"/>
  <c r="M10" i="83"/>
  <c r="J10" i="83"/>
  <c r="I10" i="83"/>
  <c r="M9" i="83"/>
  <c r="J9" i="83"/>
  <c r="I9" i="83"/>
  <c r="G9" i="83"/>
  <c r="J8" i="83"/>
  <c r="I8" i="83"/>
  <c r="I7" i="83"/>
  <c r="I6" i="83"/>
  <c r="E4" i="83"/>
  <c r="C4" i="83"/>
  <c r="N9" i="70" l="1"/>
  <c r="I17" i="70"/>
  <c r="P23" i="70"/>
  <c r="R23" i="70" s="1"/>
  <c r="M23" i="70"/>
  <c r="I24" i="70"/>
  <c r="E25" i="70"/>
  <c r="F29" i="70"/>
  <c r="N29" i="70"/>
  <c r="I33" i="70"/>
  <c r="O39" i="70"/>
  <c r="I41" i="70"/>
  <c r="F47" i="70"/>
  <c r="P52" i="70"/>
  <c r="N54" i="70"/>
  <c r="J66" i="70"/>
  <c r="M73" i="70"/>
  <c r="K87" i="70"/>
  <c r="J84" i="70"/>
  <c r="J86" i="70"/>
  <c r="E9" i="70"/>
  <c r="O13" i="70"/>
  <c r="Q13" i="70" s="1"/>
  <c r="N13" i="70"/>
  <c r="N16" i="70"/>
  <c r="K26" i="70"/>
  <c r="J28" i="70"/>
  <c r="P29" i="70"/>
  <c r="N33" i="70"/>
  <c r="D42" i="70"/>
  <c r="P42" i="70" s="1"/>
  <c r="L42" i="70"/>
  <c r="U42" i="70" s="1"/>
  <c r="P40" i="70"/>
  <c r="R40" i="70" s="1"/>
  <c r="M51" i="70"/>
  <c r="I52" i="70"/>
  <c r="N52" i="70"/>
  <c r="P60" i="70"/>
  <c r="R39" i="70"/>
  <c r="M9" i="70"/>
  <c r="E17" i="70"/>
  <c r="P28" i="70"/>
  <c r="M28" i="70"/>
  <c r="J29" i="70"/>
  <c r="F30" i="70"/>
  <c r="Q31" i="70"/>
  <c r="D36" i="70"/>
  <c r="Q37" i="70"/>
  <c r="M41" i="70"/>
  <c r="M53" i="70"/>
  <c r="I58" i="70"/>
  <c r="E68" i="70"/>
  <c r="Q79" i="70"/>
  <c r="O33" i="70"/>
  <c r="Q33" i="70" s="1"/>
  <c r="E33" i="70"/>
  <c r="J17" i="70"/>
  <c r="P27" i="70"/>
  <c r="Q27" i="70" s="1"/>
  <c r="F27" i="70"/>
  <c r="I27" i="70"/>
  <c r="N30" i="70"/>
  <c r="K36" i="70"/>
  <c r="M32" i="70"/>
  <c r="R33" i="70"/>
  <c r="J34" i="70"/>
  <c r="M39" i="70"/>
  <c r="P58" i="70"/>
  <c r="F58" i="70"/>
  <c r="P73" i="70"/>
  <c r="R73" i="70" s="1"/>
  <c r="F73" i="70"/>
  <c r="N61" i="70"/>
  <c r="M61" i="70"/>
  <c r="E67" i="70"/>
  <c r="F67" i="70"/>
  <c r="E13" i="70"/>
  <c r="I13" i="70"/>
  <c r="M13" i="70"/>
  <c r="Q14" i="70"/>
  <c r="P15" i="70"/>
  <c r="J15" i="70"/>
  <c r="P16" i="70"/>
  <c r="C26" i="70"/>
  <c r="O26" i="70" s="1"/>
  <c r="E27" i="70"/>
  <c r="J30" i="70"/>
  <c r="I30" i="70"/>
  <c r="G36" i="70"/>
  <c r="I32" i="70"/>
  <c r="F33" i="70"/>
  <c r="O50" i="70"/>
  <c r="P51" i="70"/>
  <c r="F51" i="70"/>
  <c r="M57" i="70"/>
  <c r="N57" i="70"/>
  <c r="O67" i="70"/>
  <c r="I73" i="70"/>
  <c r="Q78" i="70"/>
  <c r="J9" i="70"/>
  <c r="F13" i="70"/>
  <c r="M15" i="70"/>
  <c r="F16" i="70"/>
  <c r="F28" i="70"/>
  <c r="C36" i="70"/>
  <c r="E32" i="70"/>
  <c r="M38" i="70"/>
  <c r="M40" i="70"/>
  <c r="F41" i="70"/>
  <c r="N45" i="70"/>
  <c r="E59" i="70"/>
  <c r="F59" i="70"/>
  <c r="U80" i="70"/>
  <c r="J46" i="70"/>
  <c r="O47" i="70"/>
  <c r="E53" i="70"/>
  <c r="M54" i="70"/>
  <c r="M58" i="70"/>
  <c r="P59" i="70"/>
  <c r="I60" i="70"/>
  <c r="N62" i="70"/>
  <c r="J63" i="70"/>
  <c r="F64" i="70"/>
  <c r="N64" i="70"/>
  <c r="J65" i="70"/>
  <c r="P67" i="70"/>
  <c r="R67" i="70" s="1"/>
  <c r="J70" i="70"/>
  <c r="E73" i="70"/>
  <c r="P68" i="70"/>
  <c r="N71" i="70"/>
  <c r="I72" i="70"/>
  <c r="M83" i="70"/>
  <c r="M85" i="70"/>
  <c r="P17" i="70"/>
  <c r="O22" i="70"/>
  <c r="O24" i="70"/>
  <c r="O30" i="70"/>
  <c r="O34" i="70"/>
  <c r="Q34" i="70" s="1"/>
  <c r="P35" i="70"/>
  <c r="R35" i="70" s="1"/>
  <c r="L36" i="70"/>
  <c r="U36" i="70" s="1"/>
  <c r="G48" i="70"/>
  <c r="N44" i="70"/>
  <c r="O46" i="70"/>
  <c r="P53" i="70"/>
  <c r="I9" i="70"/>
  <c r="H18" i="70"/>
  <c r="L18" i="70"/>
  <c r="U18" i="70" s="1"/>
  <c r="E15" i="70"/>
  <c r="I16" i="70"/>
  <c r="F17" i="70"/>
  <c r="M17" i="70"/>
  <c r="L26" i="70"/>
  <c r="M26" i="70" s="1"/>
  <c r="I23" i="70"/>
  <c r="E24" i="70"/>
  <c r="N24" i="70"/>
  <c r="E28" i="70"/>
  <c r="F34" i="70"/>
  <c r="N34" i="70"/>
  <c r="J38" i="70"/>
  <c r="E41" i="70"/>
  <c r="C48" i="70"/>
  <c r="J44" i="70"/>
  <c r="O45" i="70"/>
  <c r="J45" i="70"/>
  <c r="F46" i="70"/>
  <c r="N46" i="70"/>
  <c r="N47" i="70"/>
  <c r="Q49" i="70"/>
  <c r="P50" i="70"/>
  <c r="E51" i="70"/>
  <c r="I53" i="70"/>
  <c r="E57" i="70"/>
  <c r="E58" i="70"/>
  <c r="O58" i="70"/>
  <c r="Q58" i="70" s="1"/>
  <c r="I59" i="70"/>
  <c r="E60" i="70"/>
  <c r="M60" i="70"/>
  <c r="J62" i="70"/>
  <c r="F63" i="70"/>
  <c r="N63" i="70"/>
  <c r="J64" i="70"/>
  <c r="F65" i="70"/>
  <c r="N65" i="70"/>
  <c r="I67" i="70"/>
  <c r="R13" i="71"/>
  <c r="Z11" i="71"/>
  <c r="C20" i="60"/>
  <c r="I18" i="83"/>
  <c r="F3" i="83"/>
  <c r="K75" i="86"/>
  <c r="Q65" i="86"/>
  <c r="Q66" i="86"/>
  <c r="P72" i="86"/>
  <c r="M73" i="86"/>
  <c r="Q83" i="86"/>
  <c r="Q84" i="86"/>
  <c r="K76" i="86"/>
  <c r="N55" i="86"/>
  <c r="L10" i="86"/>
  <c r="L18" i="86"/>
  <c r="Q23" i="86"/>
  <c r="M36" i="86"/>
  <c r="Q15" i="86"/>
  <c r="P39" i="86"/>
  <c r="O25" i="86"/>
  <c r="N48" i="86"/>
  <c r="O18" i="86"/>
  <c r="P33" i="86"/>
  <c r="P46" i="86"/>
  <c r="P50" i="86"/>
  <c r="L55" i="86"/>
  <c r="P60" i="86"/>
  <c r="P64" i="86"/>
  <c r="N73" i="86"/>
  <c r="P73" i="86" s="1"/>
  <c r="Q9" i="86"/>
  <c r="Q17" i="86"/>
  <c r="J75" i="86"/>
  <c r="N75" i="86" s="1"/>
  <c r="P27" i="86"/>
  <c r="Q34" i="86"/>
  <c r="P35" i="86"/>
  <c r="P61" i="86"/>
  <c r="P85" i="86"/>
  <c r="Z61" i="71"/>
  <c r="O19" i="86"/>
  <c r="P42" i="86"/>
  <c r="Q42" i="86"/>
  <c r="Q73" i="86"/>
  <c r="L19" i="86"/>
  <c r="M19" i="86"/>
  <c r="E75" i="86"/>
  <c r="D75" i="86"/>
  <c r="M75" i="86"/>
  <c r="F76" i="86"/>
  <c r="H19" i="86"/>
  <c r="I19" i="86"/>
  <c r="Q48" i="86"/>
  <c r="P48" i="86"/>
  <c r="P55" i="86"/>
  <c r="Q55" i="86"/>
  <c r="B76" i="86"/>
  <c r="N19" i="86"/>
  <c r="E19" i="86"/>
  <c r="D19" i="86"/>
  <c r="G76" i="86"/>
  <c r="G89" i="86" s="1"/>
  <c r="P18" i="86"/>
  <c r="Q18" i="86"/>
  <c r="I75" i="86"/>
  <c r="H75" i="86"/>
  <c r="O88" i="86"/>
  <c r="C75" i="86"/>
  <c r="O75" i="86" s="1"/>
  <c r="N87" i="86"/>
  <c r="F88" i="86"/>
  <c r="J88" i="86"/>
  <c r="E10" i="86"/>
  <c r="I10" i="86"/>
  <c r="M10" i="86"/>
  <c r="E18" i="86"/>
  <c r="P38" i="86"/>
  <c r="P40" i="86"/>
  <c r="P45" i="86"/>
  <c r="P47" i="86"/>
  <c r="D48" i="86"/>
  <c r="H48" i="86"/>
  <c r="L48" i="86"/>
  <c r="P57" i="86"/>
  <c r="P59" i="86"/>
  <c r="E73" i="86"/>
  <c r="P74" i="86"/>
  <c r="O87" i="86"/>
  <c r="P8" i="86"/>
  <c r="N10" i="86"/>
  <c r="P12" i="86"/>
  <c r="P14" i="86"/>
  <c r="P16" i="86"/>
  <c r="P22" i="86"/>
  <c r="P24" i="86"/>
  <c r="D25" i="86"/>
  <c r="H25" i="86"/>
  <c r="L25" i="86"/>
  <c r="P26" i="86"/>
  <c r="P28" i="86"/>
  <c r="P32" i="86"/>
  <c r="O36" i="86"/>
  <c r="P36" i="86" s="1"/>
  <c r="E48" i="86"/>
  <c r="P52" i="86"/>
  <c r="P62" i="86"/>
  <c r="P63" i="86"/>
  <c r="P65" i="86"/>
  <c r="P84" i="86"/>
  <c r="P86" i="86"/>
  <c r="D87" i="86"/>
  <c r="H87" i="86"/>
  <c r="L87" i="86"/>
  <c r="N25" i="86"/>
  <c r="B88" i="86"/>
  <c r="O10" i="86"/>
  <c r="E25" i="86"/>
  <c r="I25" i="86"/>
  <c r="M25" i="86"/>
  <c r="W27" i="67"/>
  <c r="S76" i="67"/>
  <c r="F20" i="67"/>
  <c r="L20" i="67"/>
  <c r="T20" i="67"/>
  <c r="J19" i="67"/>
  <c r="M19" i="67"/>
  <c r="Z17" i="67"/>
  <c r="Z18" i="67"/>
  <c r="X19" i="67"/>
  <c r="Y42" i="67"/>
  <c r="Y12" i="67"/>
  <c r="K76" i="67"/>
  <c r="M27" i="67"/>
  <c r="G20" i="67"/>
  <c r="G76" i="67"/>
  <c r="W23" i="67"/>
  <c r="W24" i="67"/>
  <c r="D27" i="67"/>
  <c r="E27" i="67" s="1"/>
  <c r="T27" i="67"/>
  <c r="X30" i="67"/>
  <c r="W48" i="67"/>
  <c r="Y48" i="67" s="1"/>
  <c r="G49" i="67"/>
  <c r="I49" i="67" s="1"/>
  <c r="C75" i="67"/>
  <c r="W58" i="67"/>
  <c r="Y58" i="67" s="1"/>
  <c r="E58" i="67"/>
  <c r="Q88" i="67"/>
  <c r="O89" i="67"/>
  <c r="Q89" i="67" s="1"/>
  <c r="W10" i="67"/>
  <c r="Y10" i="67" s="1"/>
  <c r="X12" i="67"/>
  <c r="Z12" i="67" s="1"/>
  <c r="I18" i="67"/>
  <c r="X24" i="67"/>
  <c r="Z24" i="67" s="1"/>
  <c r="Y26" i="67"/>
  <c r="O27" i="67"/>
  <c r="Y28" i="67"/>
  <c r="Y31" i="67"/>
  <c r="D43" i="67"/>
  <c r="I43" i="67"/>
  <c r="J49" i="67"/>
  <c r="X49" i="67"/>
  <c r="F54" i="67"/>
  <c r="X58" i="67"/>
  <c r="F58" i="67"/>
  <c r="D75" i="67"/>
  <c r="F86" i="67"/>
  <c r="E86" i="67"/>
  <c r="W86" i="67"/>
  <c r="Y86" i="67" s="1"/>
  <c r="E12" i="67"/>
  <c r="I12" i="67"/>
  <c r="M12" i="67"/>
  <c r="Q12" i="67"/>
  <c r="U12" i="67"/>
  <c r="X14" i="67"/>
  <c r="Z14" i="67" s="1"/>
  <c r="J17" i="67"/>
  <c r="O19" i="67"/>
  <c r="Q19" i="67" s="1"/>
  <c r="S19" i="67"/>
  <c r="U19" i="67" s="1"/>
  <c r="C20" i="67"/>
  <c r="E23" i="67"/>
  <c r="I23" i="67"/>
  <c r="M23" i="67"/>
  <c r="U23" i="67"/>
  <c r="E25" i="67"/>
  <c r="I26" i="67"/>
  <c r="H27" i="67"/>
  <c r="P27" i="67"/>
  <c r="X28" i="67"/>
  <c r="Z28" i="67" s="1"/>
  <c r="X29" i="67"/>
  <c r="Z29" i="67" s="1"/>
  <c r="E31" i="67"/>
  <c r="X35" i="67"/>
  <c r="Z35" i="67" s="1"/>
  <c r="W37" i="67"/>
  <c r="X41" i="67"/>
  <c r="Z41" i="67" s="1"/>
  <c r="E42" i="67"/>
  <c r="E43" i="67"/>
  <c r="U43" i="67"/>
  <c r="J46" i="67"/>
  <c r="I46" i="67"/>
  <c r="W46" i="67"/>
  <c r="Y46" i="67" s="1"/>
  <c r="F47" i="67"/>
  <c r="U48" i="67"/>
  <c r="C49" i="67"/>
  <c r="M49" i="67"/>
  <c r="S49" i="67"/>
  <c r="Y52" i="67"/>
  <c r="Z53" i="67"/>
  <c r="C56" i="67"/>
  <c r="Y64" i="67"/>
  <c r="Y74" i="67"/>
  <c r="Z86" i="67"/>
  <c r="F26" i="67"/>
  <c r="E26" i="67"/>
  <c r="V26" i="67"/>
  <c r="U26" i="67"/>
  <c r="L76" i="67"/>
  <c r="N76" i="67" s="1"/>
  <c r="N27" i="67"/>
  <c r="F34" i="67"/>
  <c r="D37" i="67"/>
  <c r="F36" i="67"/>
  <c r="X36" i="67"/>
  <c r="Z36" i="67" s="1"/>
  <c r="W16" i="67"/>
  <c r="Y16" i="67" s="1"/>
  <c r="I17" i="67"/>
  <c r="X23" i="67"/>
  <c r="Z23" i="67" s="1"/>
  <c r="X25" i="67"/>
  <c r="Z25" i="67" s="1"/>
  <c r="Y29" i="67"/>
  <c r="Y34" i="67"/>
  <c r="Y35" i="67"/>
  <c r="E41" i="67"/>
  <c r="E61" i="67"/>
  <c r="W61" i="67"/>
  <c r="Y61" i="67" s="1"/>
  <c r="F61" i="67"/>
  <c r="Y87" i="67"/>
  <c r="F12" i="67"/>
  <c r="J12" i="67"/>
  <c r="N12" i="67"/>
  <c r="R12" i="67"/>
  <c r="V12" i="67"/>
  <c r="F25" i="67"/>
  <c r="U25" i="67"/>
  <c r="E28" i="67"/>
  <c r="E29" i="67"/>
  <c r="E30" i="67"/>
  <c r="W30" i="67"/>
  <c r="Y30" i="67" s="1"/>
  <c r="E34" i="67"/>
  <c r="E35" i="67"/>
  <c r="E36" i="67"/>
  <c r="X42" i="67"/>
  <c r="Z42" i="67" s="1"/>
  <c r="W47" i="67"/>
  <c r="F48" i="67"/>
  <c r="T49" i="67"/>
  <c r="V49" i="67" s="1"/>
  <c r="H56" i="67"/>
  <c r="X55" i="67"/>
  <c r="Z55" i="67" s="1"/>
  <c r="J55" i="67"/>
  <c r="Y59" i="67"/>
  <c r="Z59" i="67"/>
  <c r="F62" i="67"/>
  <c r="E62" i="67"/>
  <c r="X62" i="67"/>
  <c r="Z62" i="67" s="1"/>
  <c r="F65" i="67"/>
  <c r="W65" i="67"/>
  <c r="Y65" i="67" s="1"/>
  <c r="E65" i="67"/>
  <c r="Y71" i="67"/>
  <c r="F85" i="67"/>
  <c r="E85" i="67"/>
  <c r="W85" i="67"/>
  <c r="Y85" i="67" s="1"/>
  <c r="I89" i="67"/>
  <c r="Y54" i="67"/>
  <c r="Y60" i="67"/>
  <c r="Z67" i="67"/>
  <c r="Y70" i="67"/>
  <c r="R75" i="67"/>
  <c r="F84" i="67"/>
  <c r="E84" i="67"/>
  <c r="Z85" i="67"/>
  <c r="C88" i="67"/>
  <c r="K89" i="67"/>
  <c r="M89" i="67" s="1"/>
  <c r="W39" i="67"/>
  <c r="Y39" i="67" s="1"/>
  <c r="D56" i="67"/>
  <c r="X51" i="67"/>
  <c r="Z51" i="67" s="1"/>
  <c r="E54" i="67"/>
  <c r="I58" i="67"/>
  <c r="Y63" i="67"/>
  <c r="F64" i="67"/>
  <c r="X64" i="67"/>
  <c r="Z64" i="67" s="1"/>
  <c r="Z66" i="67"/>
  <c r="Z68" i="67"/>
  <c r="Z72" i="67"/>
  <c r="F74" i="67"/>
  <c r="E74" i="67"/>
  <c r="X88" i="67"/>
  <c r="F87" i="67"/>
  <c r="E87" i="67"/>
  <c r="E63" i="67"/>
  <c r="F66" i="67"/>
  <c r="F70" i="67"/>
  <c r="F71" i="67"/>
  <c r="X73" i="67"/>
  <c r="Z73" i="67" s="1"/>
  <c r="C81" i="67"/>
  <c r="X84" i="67"/>
  <c r="Z84" i="67" s="1"/>
  <c r="D89" i="67"/>
  <c r="Y49" i="71"/>
  <c r="Y44" i="71"/>
  <c r="Y43" i="71"/>
  <c r="Y36" i="71"/>
  <c r="Z31" i="71"/>
  <c r="P21" i="71"/>
  <c r="M20" i="71"/>
  <c r="Y15" i="71"/>
  <c r="E44" i="71"/>
  <c r="S90" i="71"/>
  <c r="I13" i="71"/>
  <c r="M15" i="71"/>
  <c r="W16" i="71"/>
  <c r="Y16" i="71" s="1"/>
  <c r="Q16" i="71"/>
  <c r="U17" i="71"/>
  <c r="R18" i="71"/>
  <c r="O20" i="71"/>
  <c r="K77" i="71"/>
  <c r="M77" i="71" s="1"/>
  <c r="M28" i="71"/>
  <c r="U28" i="71"/>
  <c r="Z29" i="71"/>
  <c r="M31" i="71"/>
  <c r="F44" i="71"/>
  <c r="X46" i="71"/>
  <c r="F46" i="71"/>
  <c r="D50" i="71"/>
  <c r="E50" i="71" s="1"/>
  <c r="Z75" i="71"/>
  <c r="E87" i="71"/>
  <c r="W87" i="71"/>
  <c r="Y87" i="71" s="1"/>
  <c r="E13" i="71"/>
  <c r="U13" i="71"/>
  <c r="V15" i="71"/>
  <c r="M17" i="71"/>
  <c r="W17" i="71"/>
  <c r="Y17" i="71" s="1"/>
  <c r="R19" i="71"/>
  <c r="X19" i="71"/>
  <c r="H20" i="71"/>
  <c r="J27" i="71"/>
  <c r="I27" i="71"/>
  <c r="N28" i="71"/>
  <c r="V28" i="71"/>
  <c r="Z30" i="71"/>
  <c r="Y32" i="71"/>
  <c r="S38" i="71"/>
  <c r="U38" i="71" s="1"/>
  <c r="S50" i="71"/>
  <c r="U50" i="71" s="1"/>
  <c r="Z54" i="71"/>
  <c r="J56" i="71"/>
  <c r="H57" i="71"/>
  <c r="X56" i="71"/>
  <c r="D76" i="71"/>
  <c r="Z60" i="71"/>
  <c r="P76" i="71"/>
  <c r="R76" i="71" s="1"/>
  <c r="R60" i="71"/>
  <c r="Q82" i="71"/>
  <c r="O90" i="71"/>
  <c r="W82" i="71"/>
  <c r="Y82" i="71" s="1"/>
  <c r="F87" i="71"/>
  <c r="W13" i="71"/>
  <c r="Y13" i="71" s="1"/>
  <c r="W18" i="71"/>
  <c r="Y18" i="71" s="1"/>
  <c r="L20" i="71"/>
  <c r="T20" i="71"/>
  <c r="D21" i="71"/>
  <c r="W46" i="71"/>
  <c r="Y46" i="71" s="1"/>
  <c r="E46" i="71"/>
  <c r="J50" i="71"/>
  <c r="Z52" i="71"/>
  <c r="Y65" i="71"/>
  <c r="F72" i="71"/>
  <c r="X72" i="71"/>
  <c r="Z72" i="71" s="1"/>
  <c r="X15" i="71"/>
  <c r="Z15" i="71" s="1"/>
  <c r="R17" i="71"/>
  <c r="X18" i="71"/>
  <c r="W19" i="71"/>
  <c r="Y19" i="71" s="1"/>
  <c r="G20" i="71"/>
  <c r="G21" i="71" s="1"/>
  <c r="C77" i="71"/>
  <c r="Z37" i="71"/>
  <c r="X38" i="71"/>
  <c r="Z49" i="71"/>
  <c r="F57" i="71"/>
  <c r="Z69" i="71"/>
  <c r="R15" i="71"/>
  <c r="U15" i="71"/>
  <c r="V18" i="71"/>
  <c r="U19" i="71"/>
  <c r="C20" i="71"/>
  <c r="X27" i="71"/>
  <c r="Z27" i="71" s="1"/>
  <c r="I28" i="71"/>
  <c r="O77" i="71"/>
  <c r="Q28" i="71"/>
  <c r="W28" i="71"/>
  <c r="F29" i="71"/>
  <c r="F38" i="71"/>
  <c r="I46" i="71"/>
  <c r="V50" i="71"/>
  <c r="V49" i="71"/>
  <c r="E57" i="71"/>
  <c r="T57" i="71"/>
  <c r="V56" i="71"/>
  <c r="U56" i="71"/>
  <c r="G76" i="71"/>
  <c r="I76" i="71" s="1"/>
  <c r="I59" i="71"/>
  <c r="E84" i="71"/>
  <c r="C89" i="71"/>
  <c r="E86" i="71"/>
  <c r="W86" i="71"/>
  <c r="G90" i="71"/>
  <c r="I90" i="71" s="1"/>
  <c r="D28" i="71"/>
  <c r="E28" i="71" s="1"/>
  <c r="W40" i="71"/>
  <c r="Y40" i="71" s="1"/>
  <c r="Z63" i="71"/>
  <c r="F66" i="71"/>
  <c r="W66" i="71"/>
  <c r="Y66" i="71" s="1"/>
  <c r="E66" i="71"/>
  <c r="Y73" i="71"/>
  <c r="F86" i="71"/>
  <c r="K90" i="71"/>
  <c r="X40" i="71"/>
  <c r="M50" i="71"/>
  <c r="G57" i="71"/>
  <c r="W57" i="71" s="1"/>
  <c r="W56" i="71"/>
  <c r="Y56" i="71" s="1"/>
  <c r="I56" i="71"/>
  <c r="F59" i="71"/>
  <c r="C76" i="71"/>
  <c r="W59" i="71"/>
  <c r="Y59" i="71" s="1"/>
  <c r="E59" i="71"/>
  <c r="Y64" i="71"/>
  <c r="Z68" i="71"/>
  <c r="Y70" i="71"/>
  <c r="Z71" i="71"/>
  <c r="Z74" i="71"/>
  <c r="W52" i="71"/>
  <c r="Y52" i="71" s="1"/>
  <c r="F60" i="71"/>
  <c r="Q60" i="71"/>
  <c r="F61" i="71"/>
  <c r="F62" i="71"/>
  <c r="F67" i="71"/>
  <c r="E71" i="71"/>
  <c r="E72" i="71"/>
  <c r="F73" i="71"/>
  <c r="X82" i="71"/>
  <c r="Z82" i="71" s="1"/>
  <c r="X85" i="71"/>
  <c r="Z85" i="71" s="1"/>
  <c r="X86" i="71"/>
  <c r="Z86" i="71" s="1"/>
  <c r="X87" i="71"/>
  <c r="X88" i="71"/>
  <c r="Z88" i="71" s="1"/>
  <c r="D89" i="71"/>
  <c r="D90" i="71"/>
  <c r="H90" i="71"/>
  <c r="J90" i="71" s="1"/>
  <c r="L90" i="71"/>
  <c r="N90" i="71" s="1"/>
  <c r="P90" i="71"/>
  <c r="R90" i="71" s="1"/>
  <c r="T90" i="71"/>
  <c r="V90" i="71" s="1"/>
  <c r="H19" i="70"/>
  <c r="P11" i="70"/>
  <c r="R13" i="70"/>
  <c r="D26" i="70"/>
  <c r="P22" i="70"/>
  <c r="R22" i="70" s="1"/>
  <c r="F22" i="70"/>
  <c r="E22" i="70"/>
  <c r="E36" i="70"/>
  <c r="F36" i="70"/>
  <c r="O10" i="70"/>
  <c r="Q10" i="70" s="1"/>
  <c r="Q23" i="70"/>
  <c r="Q35" i="70"/>
  <c r="Q21" i="70"/>
  <c r="R21" i="70"/>
  <c r="I22" i="70"/>
  <c r="J22" i="70"/>
  <c r="H26" i="70"/>
  <c r="I26" i="70"/>
  <c r="I69" i="70"/>
  <c r="J69" i="70"/>
  <c r="E85" i="70"/>
  <c r="O85" i="70"/>
  <c r="O16" i="70"/>
  <c r="O17" i="70"/>
  <c r="Q17" i="70" s="1"/>
  <c r="C18" i="70"/>
  <c r="K18" i="70"/>
  <c r="M22" i="70"/>
  <c r="E23" i="70"/>
  <c r="M24" i="70"/>
  <c r="P25" i="70"/>
  <c r="R25" i="70" s="1"/>
  <c r="E35" i="70"/>
  <c r="I35" i="70"/>
  <c r="M35" i="70"/>
  <c r="P38" i="70"/>
  <c r="R38" i="70" s="1"/>
  <c r="F39" i="70"/>
  <c r="F40" i="70"/>
  <c r="K42" i="70"/>
  <c r="M42" i="70" s="1"/>
  <c r="Q43" i="70"/>
  <c r="P46" i="70"/>
  <c r="R46" i="70" s="1"/>
  <c r="K55" i="70"/>
  <c r="M50" i="70"/>
  <c r="I54" i="70"/>
  <c r="P54" i="70"/>
  <c r="R54" i="70" s="1"/>
  <c r="N83" i="70"/>
  <c r="F85" i="70"/>
  <c r="P85" i="70"/>
  <c r="R85" i="70" s="1"/>
  <c r="P9" i="70"/>
  <c r="E10" i="70"/>
  <c r="C11" i="70"/>
  <c r="G11" i="70"/>
  <c r="J11" i="70" s="1"/>
  <c r="K11" i="70"/>
  <c r="D18" i="70"/>
  <c r="N22" i="70"/>
  <c r="F23" i="70"/>
  <c r="J23" i="70"/>
  <c r="N23" i="70"/>
  <c r="F24" i="70"/>
  <c r="J24" i="70"/>
  <c r="M25" i="70"/>
  <c r="E26" i="70"/>
  <c r="E29" i="70"/>
  <c r="I29" i="70"/>
  <c r="M29" i="70"/>
  <c r="P30" i="70"/>
  <c r="R30" i="70" s="1"/>
  <c r="P32" i="70"/>
  <c r="R32" i="70" s="1"/>
  <c r="E34" i="70"/>
  <c r="I34" i="70"/>
  <c r="M34" i="70"/>
  <c r="F35" i="70"/>
  <c r="N35" i="70"/>
  <c r="I38" i="70"/>
  <c r="I39" i="70"/>
  <c r="I40" i="70"/>
  <c r="N41" i="70"/>
  <c r="F42" i="70"/>
  <c r="O48" i="70"/>
  <c r="M44" i="70"/>
  <c r="I45" i="70"/>
  <c r="P45" i="70"/>
  <c r="R45" i="70" s="1"/>
  <c r="E46" i="70"/>
  <c r="D48" i="70"/>
  <c r="L48" i="70"/>
  <c r="G55" i="70"/>
  <c r="I50" i="70"/>
  <c r="N51" i="70"/>
  <c r="J52" i="70"/>
  <c r="O52" i="70"/>
  <c r="F53" i="70"/>
  <c r="F57" i="70"/>
  <c r="N59" i="70"/>
  <c r="J60" i="70"/>
  <c r="O60" i="70"/>
  <c r="Q60" i="70" s="1"/>
  <c r="I61" i="70"/>
  <c r="I62" i="70"/>
  <c r="I63" i="70"/>
  <c r="O63" i="70"/>
  <c r="I64" i="70"/>
  <c r="O64" i="70"/>
  <c r="I65" i="70"/>
  <c r="O65" i="70"/>
  <c r="M67" i="70"/>
  <c r="N67" i="70"/>
  <c r="E69" i="70"/>
  <c r="F69" i="70"/>
  <c r="E84" i="70"/>
  <c r="O84" i="70"/>
  <c r="M84" i="70"/>
  <c r="E86" i="70"/>
  <c r="O86" i="70"/>
  <c r="M86" i="70"/>
  <c r="P24" i="70"/>
  <c r="O29" i="70"/>
  <c r="Q29" i="70" s="1"/>
  <c r="Q39" i="70"/>
  <c r="Q40" i="70"/>
  <c r="P47" i="70"/>
  <c r="H48" i="70"/>
  <c r="J48" i="70" s="1"/>
  <c r="P61" i="70"/>
  <c r="R61" i="70" s="1"/>
  <c r="F61" i="70"/>
  <c r="E61" i="70"/>
  <c r="E62" i="70"/>
  <c r="F62" i="70"/>
  <c r="P70" i="70"/>
  <c r="I80" i="70"/>
  <c r="E83" i="70"/>
  <c r="O83" i="70"/>
  <c r="O9" i="70"/>
  <c r="Q9" i="70" s="1"/>
  <c r="O15" i="70"/>
  <c r="Q15" i="70" s="1"/>
  <c r="G18" i="70"/>
  <c r="I18" i="70" s="1"/>
  <c r="O28" i="70"/>
  <c r="Q30" i="70"/>
  <c r="H36" i="70"/>
  <c r="J36" i="70" s="1"/>
  <c r="F38" i="70"/>
  <c r="E42" i="70"/>
  <c r="M45" i="70"/>
  <c r="I46" i="70"/>
  <c r="E47" i="70"/>
  <c r="O53" i="70"/>
  <c r="H55" i="70"/>
  <c r="J55" i="70" s="1"/>
  <c r="O57" i="70"/>
  <c r="I68" i="70"/>
  <c r="O68" i="70"/>
  <c r="J68" i="70"/>
  <c r="C74" i="70"/>
  <c r="E78" i="70"/>
  <c r="C80" i="70"/>
  <c r="M82" i="70"/>
  <c r="O82" i="70"/>
  <c r="Q82" i="70" s="1"/>
  <c r="F83" i="70"/>
  <c r="P83" i="70"/>
  <c r="R83" i="70" s="1"/>
  <c r="N85" i="70"/>
  <c r="D87" i="70"/>
  <c r="E38" i="70"/>
  <c r="N38" i="70"/>
  <c r="E39" i="70"/>
  <c r="N39" i="70"/>
  <c r="E40" i="70"/>
  <c r="N40" i="70"/>
  <c r="J41" i="70"/>
  <c r="O41" i="70"/>
  <c r="G42" i="70"/>
  <c r="O42" i="70" s="1"/>
  <c r="Q42" i="70" s="1"/>
  <c r="P44" i="70"/>
  <c r="C55" i="70"/>
  <c r="E50" i="70"/>
  <c r="N50" i="70"/>
  <c r="J51" i="70"/>
  <c r="O51" i="70"/>
  <c r="F52" i="70"/>
  <c r="F54" i="70"/>
  <c r="E54" i="70"/>
  <c r="D55" i="70"/>
  <c r="L55" i="70"/>
  <c r="G74" i="70"/>
  <c r="I57" i="70"/>
  <c r="N58" i="70"/>
  <c r="J59" i="70"/>
  <c r="O59" i="70"/>
  <c r="F60" i="70"/>
  <c r="P62" i="70"/>
  <c r="R62" i="70" s="1"/>
  <c r="P63" i="70"/>
  <c r="P64" i="70"/>
  <c r="P65" i="70"/>
  <c r="R65" i="70" s="1"/>
  <c r="M68" i="70"/>
  <c r="N68" i="70"/>
  <c r="O69" i="70"/>
  <c r="Q69" i="70" s="1"/>
  <c r="I70" i="70"/>
  <c r="O70" i="70"/>
  <c r="K74" i="70"/>
  <c r="F80" i="70"/>
  <c r="P80" i="70"/>
  <c r="R80" i="70" s="1"/>
  <c r="F84" i="70"/>
  <c r="P84" i="70"/>
  <c r="F86" i="70"/>
  <c r="P86" i="70"/>
  <c r="R86" i="70" s="1"/>
  <c r="L87" i="70"/>
  <c r="N87" i="70" s="1"/>
  <c r="L88" i="70"/>
  <c r="D74" i="70"/>
  <c r="H74" i="70"/>
  <c r="L74" i="70"/>
  <c r="U74" i="70" s="1"/>
  <c r="P57" i="70"/>
  <c r="R57" i="70" s="1"/>
  <c r="Q61" i="70"/>
  <c r="M62" i="70"/>
  <c r="E63" i="70"/>
  <c r="M63" i="70"/>
  <c r="E64" i="70"/>
  <c r="M64" i="70"/>
  <c r="E65" i="70"/>
  <c r="M65" i="70"/>
  <c r="P66" i="70"/>
  <c r="R66" i="70" s="1"/>
  <c r="F66" i="70"/>
  <c r="E70" i="70"/>
  <c r="M70" i="70"/>
  <c r="P71" i="70"/>
  <c r="R71" i="70" s="1"/>
  <c r="F71" i="70"/>
  <c r="I83" i="70"/>
  <c r="I84" i="70"/>
  <c r="I85" i="70"/>
  <c r="G87" i="70"/>
  <c r="O32" i="70"/>
  <c r="Q32" i="70" s="1"/>
  <c r="O44" i="70"/>
  <c r="N69" i="70"/>
  <c r="M69" i="70"/>
  <c r="P72" i="70"/>
  <c r="F72" i="70"/>
  <c r="E72" i="70"/>
  <c r="K80" i="70"/>
  <c r="H87" i="70"/>
  <c r="H88" i="70" s="1"/>
  <c r="K96" i="70"/>
  <c r="M93" i="70"/>
  <c r="K93" i="70"/>
  <c r="L93" i="70"/>
  <c r="L96" i="70"/>
  <c r="C41" i="60"/>
  <c r="C65" i="60"/>
  <c r="C72" i="60" s="1"/>
  <c r="C78" i="60" s="1"/>
  <c r="H55" i="30"/>
  <c r="G18" i="83"/>
  <c r="G4" i="83" s="1"/>
  <c r="J23" i="83"/>
  <c r="I45" i="83"/>
  <c r="I4" i="83" s="1"/>
  <c r="J4" i="83" s="1"/>
  <c r="R53" i="70" l="1"/>
  <c r="M96" i="70"/>
  <c r="Q50" i="70"/>
  <c r="Q45" i="70"/>
  <c r="R15" i="70"/>
  <c r="Q22" i="70"/>
  <c r="Q67" i="70"/>
  <c r="M36" i="70"/>
  <c r="Q44" i="70"/>
  <c r="R69" i="70"/>
  <c r="R24" i="70"/>
  <c r="R60" i="70"/>
  <c r="R27" i="70"/>
  <c r="Q70" i="70"/>
  <c r="R63" i="70"/>
  <c r="N55" i="70"/>
  <c r="U55" i="70"/>
  <c r="G75" i="70"/>
  <c r="Q84" i="70"/>
  <c r="Q64" i="70"/>
  <c r="N48" i="70"/>
  <c r="U48" i="70"/>
  <c r="Q16" i="70"/>
  <c r="L19" i="70"/>
  <c r="U19" i="70" s="1"/>
  <c r="P36" i="70"/>
  <c r="R36" i="70" s="1"/>
  <c r="N26" i="70"/>
  <c r="U26" i="70"/>
  <c r="Q53" i="70"/>
  <c r="Q73" i="70"/>
  <c r="I87" i="70"/>
  <c r="J74" i="70"/>
  <c r="Q66" i="70"/>
  <c r="T18" i="70"/>
  <c r="I36" i="70"/>
  <c r="N36" i="70"/>
  <c r="R50" i="70"/>
  <c r="O36" i="70"/>
  <c r="Q36" i="70" s="1"/>
  <c r="R34" i="70"/>
  <c r="R58" i="70"/>
  <c r="Z10" i="67"/>
  <c r="N11" i="70"/>
  <c r="T55" i="70"/>
  <c r="T42" i="70"/>
  <c r="T26" i="70"/>
  <c r="T48" i="70"/>
  <c r="T80" i="70"/>
  <c r="T36" i="70"/>
  <c r="Q36" i="86"/>
  <c r="J76" i="86"/>
  <c r="J92" i="86" s="1"/>
  <c r="K89" i="86"/>
  <c r="K92" i="86"/>
  <c r="K95" i="86" s="1"/>
  <c r="K98" i="86" s="1"/>
  <c r="K101" i="86" s="1"/>
  <c r="K104" i="86" s="1"/>
  <c r="L75" i="86"/>
  <c r="R19" i="67"/>
  <c r="M74" i="70"/>
  <c r="T74" i="70"/>
  <c r="K75" i="70"/>
  <c r="T75" i="70" s="1"/>
  <c r="I88" i="86"/>
  <c r="H88" i="86"/>
  <c r="E88" i="86"/>
  <c r="N88" i="86"/>
  <c r="D88" i="86"/>
  <c r="Q10" i="86"/>
  <c r="P10" i="86"/>
  <c r="Q87" i="86"/>
  <c r="P87" i="86"/>
  <c r="Q19" i="86"/>
  <c r="P19" i="86"/>
  <c r="F89" i="86"/>
  <c r="I76" i="86"/>
  <c r="H76" i="86"/>
  <c r="J89" i="86"/>
  <c r="Q25" i="86"/>
  <c r="P25" i="86"/>
  <c r="B89" i="86"/>
  <c r="Q75" i="86"/>
  <c r="P75" i="86"/>
  <c r="C76" i="86"/>
  <c r="M88" i="86"/>
  <c r="L88" i="86"/>
  <c r="E88" i="67"/>
  <c r="W88" i="67"/>
  <c r="Y88" i="67" s="1"/>
  <c r="E49" i="67"/>
  <c r="W49" i="67"/>
  <c r="Y49" i="67" s="1"/>
  <c r="J27" i="67"/>
  <c r="H76" i="67"/>
  <c r="I76" i="67" s="1"/>
  <c r="Z49" i="67"/>
  <c r="G77" i="67"/>
  <c r="I20" i="67"/>
  <c r="V19" i="67"/>
  <c r="U76" i="67"/>
  <c r="F88" i="67"/>
  <c r="X56" i="67"/>
  <c r="F56" i="67"/>
  <c r="J56" i="67"/>
  <c r="I56" i="67"/>
  <c r="Z48" i="67"/>
  <c r="F89" i="67"/>
  <c r="X89" i="67"/>
  <c r="Z39" i="67"/>
  <c r="Y84" i="67"/>
  <c r="Z61" i="67"/>
  <c r="U49" i="67"/>
  <c r="Z58" i="67"/>
  <c r="O76" i="67"/>
  <c r="Q76" i="67" s="1"/>
  <c r="Q27" i="67"/>
  <c r="Y62" i="67"/>
  <c r="Y55" i="67"/>
  <c r="Z30" i="67"/>
  <c r="Y23" i="67"/>
  <c r="Z16" i="67"/>
  <c r="M76" i="67"/>
  <c r="Y41" i="67"/>
  <c r="Y14" i="67"/>
  <c r="Y25" i="67"/>
  <c r="K77" i="67"/>
  <c r="E81" i="67"/>
  <c r="W81" i="67"/>
  <c r="Y81" i="67" s="1"/>
  <c r="C89" i="67"/>
  <c r="Z65" i="67"/>
  <c r="F75" i="67"/>
  <c r="X75" i="67"/>
  <c r="F27" i="67"/>
  <c r="D76" i="67"/>
  <c r="X27" i="67"/>
  <c r="Z27" i="67" s="1"/>
  <c r="I27" i="67"/>
  <c r="S20" i="67"/>
  <c r="T77" i="67"/>
  <c r="Y73" i="67"/>
  <c r="Y47" i="67"/>
  <c r="Z47" i="67"/>
  <c r="X37" i="67"/>
  <c r="Z37" i="67" s="1"/>
  <c r="F37" i="67"/>
  <c r="W75" i="67"/>
  <c r="Y75" i="67" s="1"/>
  <c r="E75" i="67"/>
  <c r="E37" i="67"/>
  <c r="Y24" i="67"/>
  <c r="L77" i="67"/>
  <c r="N20" i="67"/>
  <c r="Y27" i="67"/>
  <c r="M20" i="67"/>
  <c r="F49" i="67"/>
  <c r="W56" i="67"/>
  <c r="Y56" i="67" s="1"/>
  <c r="E56" i="67"/>
  <c r="R27" i="67"/>
  <c r="P76" i="67"/>
  <c r="C77" i="67"/>
  <c r="E20" i="67"/>
  <c r="F43" i="67"/>
  <c r="X43" i="67"/>
  <c r="V27" i="67"/>
  <c r="T76" i="67"/>
  <c r="V76" i="67" s="1"/>
  <c r="Y51" i="67"/>
  <c r="O20" i="67"/>
  <c r="W19" i="67"/>
  <c r="Y19" i="67" s="1"/>
  <c r="Y36" i="67"/>
  <c r="X20" i="67"/>
  <c r="U27" i="67"/>
  <c r="C76" i="67"/>
  <c r="Z46" i="67"/>
  <c r="J20" i="67"/>
  <c r="G77" i="71"/>
  <c r="J57" i="71"/>
  <c r="W38" i="71"/>
  <c r="Y38" i="71"/>
  <c r="J20" i="71"/>
  <c r="G78" i="71"/>
  <c r="F89" i="71"/>
  <c r="X89" i="71"/>
  <c r="Z89" i="71" s="1"/>
  <c r="Z40" i="71"/>
  <c r="Z59" i="71"/>
  <c r="Y86" i="71"/>
  <c r="Y72" i="71"/>
  <c r="E20" i="71"/>
  <c r="W20" i="71"/>
  <c r="X57" i="71"/>
  <c r="Z57" i="71" s="1"/>
  <c r="Z18" i="71"/>
  <c r="F21" i="71"/>
  <c r="Q90" i="71"/>
  <c r="N77" i="71"/>
  <c r="Z19" i="71"/>
  <c r="Z46" i="71"/>
  <c r="U90" i="71"/>
  <c r="H21" i="71"/>
  <c r="I21" i="71" s="1"/>
  <c r="X90" i="71"/>
  <c r="P77" i="71"/>
  <c r="R77" i="71" s="1"/>
  <c r="M90" i="71"/>
  <c r="V57" i="71"/>
  <c r="U57" i="71"/>
  <c r="Y88" i="71"/>
  <c r="Z66" i="71"/>
  <c r="V20" i="71"/>
  <c r="T21" i="71"/>
  <c r="X76" i="71"/>
  <c r="F76" i="71"/>
  <c r="H77" i="71"/>
  <c r="J77" i="71" s="1"/>
  <c r="S77" i="71"/>
  <c r="Q20" i="71"/>
  <c r="O21" i="71"/>
  <c r="K78" i="71"/>
  <c r="Q76" i="71"/>
  <c r="R20" i="71"/>
  <c r="R21" i="71"/>
  <c r="Z87" i="71"/>
  <c r="W76" i="71"/>
  <c r="Y76" i="71" s="1"/>
  <c r="E76" i="71"/>
  <c r="I57" i="71"/>
  <c r="D77" i="71"/>
  <c r="E77" i="71" s="1"/>
  <c r="X28" i="71"/>
  <c r="Z28" i="71" s="1"/>
  <c r="F28" i="71"/>
  <c r="E89" i="71"/>
  <c r="W89" i="71"/>
  <c r="C90" i="71"/>
  <c r="Y27" i="71"/>
  <c r="Z38" i="71"/>
  <c r="I20" i="71"/>
  <c r="N20" i="71"/>
  <c r="L21" i="71"/>
  <c r="Y85" i="71"/>
  <c r="Z56" i="71"/>
  <c r="T77" i="71"/>
  <c r="X20" i="71"/>
  <c r="F50" i="71"/>
  <c r="X50" i="71"/>
  <c r="U20" i="71"/>
  <c r="Z17" i="71"/>
  <c r="Z13" i="71"/>
  <c r="W50" i="71"/>
  <c r="Y50" i="71" s="1"/>
  <c r="C21" i="71"/>
  <c r="M18" i="70"/>
  <c r="Q51" i="70"/>
  <c r="R51" i="70"/>
  <c r="F87" i="70"/>
  <c r="P87" i="70"/>
  <c r="D88" i="70"/>
  <c r="P74" i="70"/>
  <c r="F74" i="70"/>
  <c r="R44" i="70"/>
  <c r="E74" i="70"/>
  <c r="O74" i="70"/>
  <c r="Q74" i="70" s="1"/>
  <c r="Q57" i="70"/>
  <c r="G88" i="70"/>
  <c r="I88" i="70" s="1"/>
  <c r="Q86" i="70"/>
  <c r="F48" i="70"/>
  <c r="E48" i="70"/>
  <c r="P48" i="70"/>
  <c r="R48" i="70" s="1"/>
  <c r="O11" i="70"/>
  <c r="Q11" i="70" s="1"/>
  <c r="C19" i="70"/>
  <c r="E11" i="70"/>
  <c r="Q85" i="70"/>
  <c r="R29" i="70"/>
  <c r="R42" i="70"/>
  <c r="I48" i="70"/>
  <c r="F11" i="70"/>
  <c r="Q46" i="70"/>
  <c r="N18" i="70"/>
  <c r="F55" i="70"/>
  <c r="P55" i="70"/>
  <c r="Q41" i="70"/>
  <c r="R41" i="70"/>
  <c r="R47" i="70"/>
  <c r="Q47" i="70"/>
  <c r="R84" i="70"/>
  <c r="R64" i="70"/>
  <c r="Q59" i="70"/>
  <c r="R59" i="70"/>
  <c r="I74" i="70"/>
  <c r="E80" i="70"/>
  <c r="O80" i="70"/>
  <c r="Q80" i="70" s="1"/>
  <c r="C88" i="70"/>
  <c r="Q65" i="70"/>
  <c r="Q63" i="70"/>
  <c r="P18" i="70"/>
  <c r="F18" i="70"/>
  <c r="M55" i="70"/>
  <c r="E18" i="70"/>
  <c r="O18" i="70"/>
  <c r="Q18" i="70" s="1"/>
  <c r="M48" i="70"/>
  <c r="O87" i="70"/>
  <c r="Q24" i="70"/>
  <c r="M87" i="70"/>
  <c r="D19" i="70"/>
  <c r="J18" i="70"/>
  <c r="O55" i="70"/>
  <c r="E55" i="70"/>
  <c r="C75" i="70"/>
  <c r="G19" i="70"/>
  <c r="I11" i="70"/>
  <c r="J87" i="70"/>
  <c r="M80" i="70"/>
  <c r="K88" i="70"/>
  <c r="M88" i="70" s="1"/>
  <c r="R72" i="70"/>
  <c r="Q72" i="70"/>
  <c r="N74" i="70"/>
  <c r="I42" i="70"/>
  <c r="J42" i="70"/>
  <c r="Q68" i="70"/>
  <c r="R68" i="70"/>
  <c r="R28" i="70"/>
  <c r="Q28" i="70"/>
  <c r="Q83" i="70"/>
  <c r="R70" i="70"/>
  <c r="Q38" i="70"/>
  <c r="L75" i="70"/>
  <c r="U75" i="70" s="1"/>
  <c r="Q52" i="70"/>
  <c r="R52" i="70"/>
  <c r="I55" i="70"/>
  <c r="K19" i="70"/>
  <c r="T19" i="70" s="1"/>
  <c r="M11" i="70"/>
  <c r="R9" i="70"/>
  <c r="Q71" i="70"/>
  <c r="N42" i="70"/>
  <c r="H75" i="70"/>
  <c r="J75" i="70" s="1"/>
  <c r="J26" i="70"/>
  <c r="E87" i="70"/>
  <c r="Q62" i="70"/>
  <c r="Q54" i="70"/>
  <c r="Q25" i="70"/>
  <c r="D75" i="70"/>
  <c r="P26" i="70"/>
  <c r="F26" i="70"/>
  <c r="R11" i="70"/>
  <c r="R16" i="70"/>
  <c r="R17" i="70"/>
  <c r="N96" i="70"/>
  <c r="N93" i="70"/>
  <c r="H18" i="79"/>
  <c r="E715" i="64"/>
  <c r="D11" i="24"/>
  <c r="E63" i="24"/>
  <c r="E47" i="62"/>
  <c r="E81" i="24"/>
  <c r="Q55" i="70" l="1"/>
  <c r="Q48" i="70"/>
  <c r="L76" i="70"/>
  <c r="U76" i="70" s="1"/>
  <c r="R87" i="70"/>
  <c r="N76" i="86"/>
  <c r="L76" i="86"/>
  <c r="L92" i="86" s="1"/>
  <c r="L95" i="86" s="1"/>
  <c r="L98" i="86" s="1"/>
  <c r="L101" i="86" s="1"/>
  <c r="M76" i="86"/>
  <c r="J95" i="86"/>
  <c r="M92" i="86"/>
  <c r="N75" i="70"/>
  <c r="I89" i="86"/>
  <c r="H89" i="86"/>
  <c r="Q88" i="86"/>
  <c r="P88" i="86"/>
  <c r="E89" i="86"/>
  <c r="D89" i="86"/>
  <c r="N89" i="86"/>
  <c r="C89" i="86"/>
  <c r="O89" i="86" s="1"/>
  <c r="O76" i="86"/>
  <c r="Q76" i="86" s="1"/>
  <c r="D76" i="86"/>
  <c r="E76" i="86"/>
  <c r="M89" i="86"/>
  <c r="L89" i="86"/>
  <c r="L104" i="86" s="1"/>
  <c r="O77" i="67"/>
  <c r="W77" i="67" s="1"/>
  <c r="Q20" i="67"/>
  <c r="R20" i="67"/>
  <c r="C90" i="67"/>
  <c r="F76" i="67"/>
  <c r="X76" i="67"/>
  <c r="D77" i="67"/>
  <c r="R76" i="67"/>
  <c r="P77" i="67"/>
  <c r="N77" i="67"/>
  <c r="L90" i="67"/>
  <c r="E89" i="67"/>
  <c r="W89" i="67"/>
  <c r="Y89" i="67" s="1"/>
  <c r="Z75" i="67"/>
  <c r="Y37" i="67"/>
  <c r="Z56" i="67"/>
  <c r="Z43" i="67"/>
  <c r="Y43" i="67"/>
  <c r="T90" i="67"/>
  <c r="M77" i="67"/>
  <c r="K90" i="67"/>
  <c r="M90" i="67" s="1"/>
  <c r="S77" i="67"/>
  <c r="U20" i="67"/>
  <c r="J76" i="67"/>
  <c r="H77" i="67"/>
  <c r="W76" i="67"/>
  <c r="E76" i="67"/>
  <c r="W20" i="67"/>
  <c r="Y20" i="67" s="1"/>
  <c r="V20" i="67"/>
  <c r="Z19" i="67"/>
  <c r="Z89" i="67"/>
  <c r="I77" i="67"/>
  <c r="G90" i="67"/>
  <c r="Z88" i="67"/>
  <c r="Y57" i="71"/>
  <c r="P78" i="71"/>
  <c r="V77" i="71"/>
  <c r="Z20" i="71"/>
  <c r="K91" i="71"/>
  <c r="L78" i="71"/>
  <c r="N21" i="71"/>
  <c r="M21" i="71"/>
  <c r="O78" i="71"/>
  <c r="Q21" i="71"/>
  <c r="Z90" i="71"/>
  <c r="X21" i="71"/>
  <c r="C78" i="71"/>
  <c r="E21" i="71"/>
  <c r="W21" i="71"/>
  <c r="E90" i="71"/>
  <c r="W90" i="71"/>
  <c r="Y90" i="71" s="1"/>
  <c r="Z76" i="71"/>
  <c r="Y28" i="71"/>
  <c r="F90" i="71"/>
  <c r="Y20" i="71"/>
  <c r="P91" i="71"/>
  <c r="I77" i="71"/>
  <c r="Z50" i="71"/>
  <c r="Y89" i="71"/>
  <c r="X77" i="71"/>
  <c r="F77" i="71"/>
  <c r="U77" i="71"/>
  <c r="S78" i="71"/>
  <c r="T78" i="71"/>
  <c r="V21" i="71"/>
  <c r="U21" i="71"/>
  <c r="W77" i="71"/>
  <c r="Q77" i="71"/>
  <c r="H78" i="71"/>
  <c r="I78" i="71" s="1"/>
  <c r="J21" i="71"/>
  <c r="D78" i="71"/>
  <c r="G91" i="71"/>
  <c r="I75" i="70"/>
  <c r="P75" i="70"/>
  <c r="F75" i="70"/>
  <c r="D76" i="70"/>
  <c r="P19" i="70"/>
  <c r="F19" i="70"/>
  <c r="E19" i="70"/>
  <c r="C76" i="70"/>
  <c r="O19" i="70"/>
  <c r="Q19" i="70" s="1"/>
  <c r="R74" i="70"/>
  <c r="G76" i="70"/>
  <c r="I19" i="70"/>
  <c r="R18" i="70"/>
  <c r="E88" i="70"/>
  <c r="O88" i="70"/>
  <c r="Q88" i="70" s="1"/>
  <c r="N88" i="70"/>
  <c r="F88" i="70"/>
  <c r="P88" i="70"/>
  <c r="E75" i="70"/>
  <c r="O75" i="70"/>
  <c r="Q75" i="70" s="1"/>
  <c r="J19" i="70"/>
  <c r="R55" i="70"/>
  <c r="R26" i="70"/>
  <c r="Q26" i="70"/>
  <c r="K76" i="70"/>
  <c r="T76" i="70" s="1"/>
  <c r="M19" i="70"/>
  <c r="M75" i="70"/>
  <c r="H76" i="70"/>
  <c r="Q87" i="70"/>
  <c r="N19" i="70"/>
  <c r="J88" i="70"/>
  <c r="L91" i="70"/>
  <c r="K13" i="28"/>
  <c r="L13" i="28"/>
  <c r="M13" i="28"/>
  <c r="N13" i="28"/>
  <c r="O13" i="28"/>
  <c r="P13" i="28"/>
  <c r="Q13" i="28"/>
  <c r="R13" i="28"/>
  <c r="S13" i="28"/>
  <c r="T13" i="28"/>
  <c r="K11" i="28"/>
  <c r="L11" i="28"/>
  <c r="M11" i="28"/>
  <c r="N11" i="28"/>
  <c r="J13" i="28"/>
  <c r="L15" i="28"/>
  <c r="J11" i="28"/>
  <c r="W13" i="28"/>
  <c r="W14" i="28"/>
  <c r="W15" i="28"/>
  <c r="J12" i="28"/>
  <c r="G97" i="86"/>
  <c r="F97" i="86"/>
  <c r="C97" i="86"/>
  <c r="B97" i="86"/>
  <c r="T98" i="71"/>
  <c r="S98" i="71"/>
  <c r="P98" i="71"/>
  <c r="O98" i="71"/>
  <c r="L98" i="71"/>
  <c r="K98" i="71"/>
  <c r="H98" i="71"/>
  <c r="T97" i="67"/>
  <c r="S97" i="67"/>
  <c r="P97" i="67"/>
  <c r="O97" i="67"/>
  <c r="L97" i="67"/>
  <c r="K97" i="67"/>
  <c r="H97" i="67"/>
  <c r="L89" i="70" l="1"/>
  <c r="J98" i="86"/>
  <c r="M95" i="86"/>
  <c r="Z76" i="67"/>
  <c r="P76" i="86"/>
  <c r="Q89" i="86"/>
  <c r="P89" i="86"/>
  <c r="R77" i="67"/>
  <c r="P90" i="67"/>
  <c r="Y76" i="67"/>
  <c r="U77" i="67"/>
  <c r="S90" i="67"/>
  <c r="U90" i="67" s="1"/>
  <c r="V90" i="67"/>
  <c r="J77" i="67"/>
  <c r="H90" i="67"/>
  <c r="J90" i="67" s="1"/>
  <c r="Z20" i="67"/>
  <c r="V77" i="67"/>
  <c r="N90" i="67"/>
  <c r="F77" i="67"/>
  <c r="D90" i="67"/>
  <c r="E90" i="67" s="1"/>
  <c r="X77" i="67"/>
  <c r="Z77" i="67" s="1"/>
  <c r="E77" i="67"/>
  <c r="Q77" i="67"/>
  <c r="O90" i="67"/>
  <c r="R78" i="71"/>
  <c r="Z77" i="71"/>
  <c r="Y21" i="71"/>
  <c r="X78" i="71"/>
  <c r="D91" i="71"/>
  <c r="F78" i="71"/>
  <c r="L91" i="71"/>
  <c r="N91" i="71" s="1"/>
  <c r="N78" i="71"/>
  <c r="W78" i="71"/>
  <c r="C91" i="71"/>
  <c r="E78" i="71"/>
  <c r="O91" i="71"/>
  <c r="Q91" i="71" s="1"/>
  <c r="Q78" i="71"/>
  <c r="M78" i="71"/>
  <c r="T91" i="71"/>
  <c r="V78" i="71"/>
  <c r="Y77" i="71"/>
  <c r="S91" i="71"/>
  <c r="U78" i="71"/>
  <c r="H91" i="71"/>
  <c r="J91" i="71" s="1"/>
  <c r="J78" i="71"/>
  <c r="Z21" i="71"/>
  <c r="M91" i="71"/>
  <c r="R19" i="70"/>
  <c r="L94" i="70"/>
  <c r="U91" i="70"/>
  <c r="P76" i="70"/>
  <c r="F76" i="70"/>
  <c r="D89" i="70"/>
  <c r="I76" i="70"/>
  <c r="G89" i="70"/>
  <c r="M76" i="70"/>
  <c r="M91" i="70" s="1"/>
  <c r="M94" i="70" s="1"/>
  <c r="M97" i="70" s="1"/>
  <c r="M100" i="70" s="1"/>
  <c r="K89" i="70"/>
  <c r="N76" i="70"/>
  <c r="R88" i="70"/>
  <c r="E76" i="70"/>
  <c r="O76" i="70"/>
  <c r="C89" i="70"/>
  <c r="H89" i="70"/>
  <c r="J89" i="70" s="1"/>
  <c r="J76" i="70"/>
  <c r="R75" i="70"/>
  <c r="K91" i="70"/>
  <c r="T91" i="70" s="1"/>
  <c r="W11" i="28"/>
  <c r="M13" i="87"/>
  <c r="M31" i="87"/>
  <c r="N31" i="87"/>
  <c r="O31" i="87"/>
  <c r="Q21" i="87"/>
  <c r="R21" i="87" s="1"/>
  <c r="Q22" i="87"/>
  <c r="Q23" i="87"/>
  <c r="R23" i="87" s="1"/>
  <c r="Q24" i="87"/>
  <c r="R24" i="87" s="1"/>
  <c r="Q25" i="87"/>
  <c r="R25" i="87" s="1"/>
  <c r="Q26" i="87"/>
  <c r="R26" i="87" s="1"/>
  <c r="Q27" i="87"/>
  <c r="R27" i="87" s="1"/>
  <c r="Q28" i="87"/>
  <c r="R28" i="87" s="1"/>
  <c r="Q29" i="87"/>
  <c r="R29" i="87" s="1"/>
  <c r="R22" i="87"/>
  <c r="P21" i="87"/>
  <c r="P22" i="87"/>
  <c r="P23" i="87"/>
  <c r="P24" i="87"/>
  <c r="P25" i="87"/>
  <c r="P26" i="87"/>
  <c r="P27" i="87"/>
  <c r="P28" i="87"/>
  <c r="P29" i="87"/>
  <c r="J21" i="87"/>
  <c r="K21" i="87" s="1"/>
  <c r="J22" i="87"/>
  <c r="K22" i="87" s="1"/>
  <c r="J23" i="87"/>
  <c r="K23" i="87" s="1"/>
  <c r="J24" i="87"/>
  <c r="K24" i="87" s="1"/>
  <c r="J25" i="87"/>
  <c r="K25" i="87" s="1"/>
  <c r="J26" i="87"/>
  <c r="K26" i="87" s="1"/>
  <c r="J27" i="87"/>
  <c r="K27" i="87" s="1"/>
  <c r="J28" i="87"/>
  <c r="K28" i="87" s="1"/>
  <c r="J29" i="87"/>
  <c r="K29" i="87" s="1"/>
  <c r="M89" i="70" l="1"/>
  <c r="J101" i="86"/>
  <c r="M98" i="86"/>
  <c r="R90" i="67"/>
  <c r="I90" i="67"/>
  <c r="Q90" i="67"/>
  <c r="F90" i="67"/>
  <c r="X90" i="67"/>
  <c r="W90" i="67"/>
  <c r="Y77" i="67"/>
  <c r="V91" i="71"/>
  <c r="R91" i="71"/>
  <c r="Y78" i="71"/>
  <c r="E91" i="71"/>
  <c r="W91" i="71"/>
  <c r="F91" i="71"/>
  <c r="X91" i="71"/>
  <c r="U91" i="71"/>
  <c r="I91" i="71"/>
  <c r="Z78" i="71"/>
  <c r="Q76" i="70"/>
  <c r="L97" i="70"/>
  <c r="U94" i="70"/>
  <c r="F89" i="70"/>
  <c r="P89" i="70"/>
  <c r="N89" i="70"/>
  <c r="E89" i="70"/>
  <c r="O89" i="70"/>
  <c r="I89" i="70"/>
  <c r="R76" i="70"/>
  <c r="M103" i="70"/>
  <c r="N91" i="70"/>
  <c r="K94" i="70"/>
  <c r="T94" i="70" s="1"/>
  <c r="M99" i="87"/>
  <c r="O97" i="87"/>
  <c r="P68" i="87"/>
  <c r="P69" i="87"/>
  <c r="P70" i="87"/>
  <c r="P71" i="87"/>
  <c r="P72" i="87"/>
  <c r="P73" i="87"/>
  <c r="P74" i="87"/>
  <c r="P75" i="87"/>
  <c r="P76" i="87"/>
  <c r="P77" i="87"/>
  <c r="P78" i="87"/>
  <c r="P79" i="87"/>
  <c r="P80" i="87"/>
  <c r="P81" i="87"/>
  <c r="P82" i="87"/>
  <c r="P83" i="87"/>
  <c r="P84" i="87"/>
  <c r="P85" i="87"/>
  <c r="P86" i="87"/>
  <c r="P87" i="87"/>
  <c r="P88" i="87"/>
  <c r="P89" i="87"/>
  <c r="P90" i="87"/>
  <c r="P91" i="87"/>
  <c r="P92" i="87"/>
  <c r="P93" i="87"/>
  <c r="P94" i="87"/>
  <c r="P95" i="87"/>
  <c r="P35" i="87"/>
  <c r="P17" i="87"/>
  <c r="P18" i="87"/>
  <c r="P19" i="87"/>
  <c r="P20" i="87"/>
  <c r="P16" i="87"/>
  <c r="P10" i="87"/>
  <c r="P9" i="87"/>
  <c r="O13" i="87"/>
  <c r="B4" i="87"/>
  <c r="J9" i="87"/>
  <c r="K9" i="87" s="1"/>
  <c r="M101" i="86" l="1"/>
  <c r="M104" i="86" s="1"/>
  <c r="J104" i="86"/>
  <c r="Z90" i="67"/>
  <c r="P31" i="87"/>
  <c r="P13" i="87"/>
  <c r="Y90" i="67"/>
  <c r="Z91" i="71"/>
  <c r="Y91" i="71"/>
  <c r="R89" i="70"/>
  <c r="L100" i="70"/>
  <c r="U97" i="70"/>
  <c r="Q89" i="70"/>
  <c r="N94" i="70"/>
  <c r="K97" i="70"/>
  <c r="T97" i="70" s="1"/>
  <c r="O99" i="87"/>
  <c r="P97" i="87"/>
  <c r="U100" i="70" l="1"/>
  <c r="L103" i="70"/>
  <c r="N97" i="70"/>
  <c r="K100" i="70"/>
  <c r="T100" i="70" s="1"/>
  <c r="P99" i="87"/>
  <c r="N100" i="70" l="1"/>
  <c r="N103" i="70" s="1"/>
  <c r="K103" i="70"/>
  <c r="Q100" i="86"/>
  <c r="Q99" i="86"/>
  <c r="Q96" i="86"/>
  <c r="G94" i="86"/>
  <c r="F94" i="86"/>
  <c r="C94" i="86"/>
  <c r="B94" i="86"/>
  <c r="N97" i="86" l="1"/>
  <c r="D97" i="86"/>
  <c r="E96" i="86"/>
  <c r="I96" i="86"/>
  <c r="E99" i="86"/>
  <c r="I99" i="86"/>
  <c r="E100" i="86"/>
  <c r="I100" i="86"/>
  <c r="G97" i="67"/>
  <c r="D98" i="71"/>
  <c r="G98" i="71"/>
  <c r="O97" i="86" l="1"/>
  <c r="Q97" i="86" s="1"/>
  <c r="O94" i="86"/>
  <c r="H97" i="86"/>
  <c r="H94" i="86"/>
  <c r="Q97" i="67"/>
  <c r="C97" i="67"/>
  <c r="M97" i="67"/>
  <c r="U97" i="67"/>
  <c r="I97" i="67"/>
  <c r="D97" i="67"/>
  <c r="I98" i="71"/>
  <c r="Q98" i="71"/>
  <c r="E98" i="71"/>
  <c r="C98" i="71"/>
  <c r="M98" i="71"/>
  <c r="U98" i="71"/>
  <c r="D94" i="86"/>
  <c r="N94" i="86"/>
  <c r="E94" i="86"/>
  <c r="I97" i="86"/>
  <c r="E97" i="86"/>
  <c r="I94" i="86"/>
  <c r="G92" i="86" l="1"/>
  <c r="G95" i="86" s="1"/>
  <c r="G98" i="86" s="1"/>
  <c r="G101" i="86" s="1"/>
  <c r="Q94" i="86"/>
  <c r="P97" i="86"/>
  <c r="W97" i="67"/>
  <c r="X97" i="67"/>
  <c r="Y97" i="67"/>
  <c r="E97" i="67"/>
  <c r="X98" i="71"/>
  <c r="W98" i="71"/>
  <c r="P94" i="86"/>
  <c r="F92" i="86"/>
  <c r="B92" i="86"/>
  <c r="C92" i="86"/>
  <c r="G104" i="86" l="1"/>
  <c r="Y98" i="71"/>
  <c r="C95" i="86"/>
  <c r="C98" i="86" s="1"/>
  <c r="C101" i="86" s="1"/>
  <c r="N92" i="86"/>
  <c r="D92" i="86"/>
  <c r="D95" i="86" s="1"/>
  <c r="D98" i="86" s="1"/>
  <c r="D101" i="86" s="1"/>
  <c r="O92" i="86" l="1"/>
  <c r="O95" i="86" s="1"/>
  <c r="O98" i="86" s="1"/>
  <c r="O101" i="86" s="1"/>
  <c r="O104" i="86" s="1"/>
  <c r="H92" i="86"/>
  <c r="H95" i="86" s="1"/>
  <c r="H98" i="86" s="1"/>
  <c r="H101" i="86" s="1"/>
  <c r="N95" i="86"/>
  <c r="C104" i="86"/>
  <c r="D104" i="86"/>
  <c r="B95" i="86"/>
  <c r="E92" i="86"/>
  <c r="Q92" i="86" l="1"/>
  <c r="H104" i="86"/>
  <c r="P92" i="86"/>
  <c r="P95" i="86" s="1"/>
  <c r="P98" i="86" s="1"/>
  <c r="P101" i="86" s="1"/>
  <c r="N98" i="86"/>
  <c r="Q95" i="86"/>
  <c r="E95" i="86"/>
  <c r="B98" i="86"/>
  <c r="F95" i="86"/>
  <c r="I92" i="86"/>
  <c r="P104" i="86" l="1"/>
  <c r="N101" i="86"/>
  <c r="Q98" i="86"/>
  <c r="I95" i="86"/>
  <c r="F98" i="86"/>
  <c r="E98" i="86"/>
  <c r="B101" i="86"/>
  <c r="B104" i="86" s="1"/>
  <c r="G93" i="70"/>
  <c r="H93" i="70" l="1"/>
  <c r="J93" i="70" s="1"/>
  <c r="C96" i="70"/>
  <c r="D96" i="70"/>
  <c r="G96" i="70"/>
  <c r="H96" i="70"/>
  <c r="Q101" i="86"/>
  <c r="Q104" i="86" s="1"/>
  <c r="N104" i="86"/>
  <c r="E101" i="86"/>
  <c r="E104" i="86" s="1"/>
  <c r="I98" i="86"/>
  <c r="F101" i="86"/>
  <c r="F104" i="86" s="1"/>
  <c r="I93" i="70"/>
  <c r="I96" i="70"/>
  <c r="J96" i="70" l="1"/>
  <c r="E96" i="70"/>
  <c r="O96" i="70"/>
  <c r="Q96" i="70"/>
  <c r="O93" i="70"/>
  <c r="F96" i="70"/>
  <c r="P96" i="70"/>
  <c r="P93" i="70"/>
  <c r="I101" i="86"/>
  <c r="I104" i="86" s="1"/>
  <c r="Q93" i="70" l="1"/>
  <c r="R96" i="70"/>
  <c r="R93" i="70"/>
  <c r="G91" i="70"/>
  <c r="G94" i="70" s="1"/>
  <c r="G97" i="70" s="1"/>
  <c r="G100" i="70" s="1"/>
  <c r="P91" i="70" l="1"/>
  <c r="P94" i="70" s="1"/>
  <c r="P97" i="70" s="1"/>
  <c r="P100" i="70" s="1"/>
  <c r="H91" i="70"/>
  <c r="I91" i="70"/>
  <c r="I94" i="70" s="1"/>
  <c r="I97" i="70" s="1"/>
  <c r="I100" i="70" s="1"/>
  <c r="G103" i="70"/>
  <c r="Q91" i="70" l="1"/>
  <c r="Q94" i="70" s="1"/>
  <c r="Q97" i="70" s="1"/>
  <c r="Q100" i="70" s="1"/>
  <c r="O91" i="70"/>
  <c r="P103" i="70"/>
  <c r="I103" i="70"/>
  <c r="H94" i="70"/>
  <c r="H97" i="70"/>
  <c r="J91" i="70"/>
  <c r="O94" i="70" l="1"/>
  <c r="R91" i="70"/>
  <c r="Q103" i="70"/>
  <c r="H100" i="70"/>
  <c r="J94" i="70"/>
  <c r="O97" i="70" l="1"/>
  <c r="R94" i="70"/>
  <c r="H103" i="70"/>
  <c r="J97" i="70"/>
  <c r="C8" i="24"/>
  <c r="O100" i="70" l="1"/>
  <c r="R97" i="70"/>
  <c r="J100" i="70"/>
  <c r="J103" i="70" s="1"/>
  <c r="E19" i="63"/>
  <c r="O103" i="70" l="1"/>
  <c r="R100" i="70"/>
  <c r="R103" i="70" s="1"/>
  <c r="L700" i="64"/>
  <c r="D16" i="62" l="1"/>
  <c r="E80" i="24" l="1"/>
  <c r="Q9" i="87"/>
  <c r="K10" i="87"/>
  <c r="Q10" i="87"/>
  <c r="R10" i="87" s="1"/>
  <c r="H13" i="87"/>
  <c r="I13" i="87"/>
  <c r="N13" i="87"/>
  <c r="J16" i="87"/>
  <c r="K16" i="87" s="1"/>
  <c r="Q16" i="87"/>
  <c r="R16" i="87" s="1"/>
  <c r="J17" i="87"/>
  <c r="K17" i="87" s="1"/>
  <c r="Q17" i="87"/>
  <c r="R17" i="87" s="1"/>
  <c r="J18" i="87"/>
  <c r="K18" i="87" s="1"/>
  <c r="Q18" i="87"/>
  <c r="J19" i="87"/>
  <c r="K19" i="87" s="1"/>
  <c r="Q19" i="87"/>
  <c r="R19" i="87" s="1"/>
  <c r="J20" i="87"/>
  <c r="K20" i="87" s="1"/>
  <c r="Q20" i="87"/>
  <c r="R20" i="87" s="1"/>
  <c r="H31" i="87"/>
  <c r="I31" i="87"/>
  <c r="J35" i="87"/>
  <c r="K35" i="87" s="1"/>
  <c r="Q35" i="87"/>
  <c r="R35" i="87" s="1"/>
  <c r="J68" i="87"/>
  <c r="K68" i="87" s="1"/>
  <c r="Q68" i="87"/>
  <c r="R68" i="87" s="1"/>
  <c r="J69" i="87"/>
  <c r="K69" i="87" s="1"/>
  <c r="Q69" i="87"/>
  <c r="R69" i="87" s="1"/>
  <c r="J70" i="87"/>
  <c r="K70" i="87" s="1"/>
  <c r="Q70" i="87"/>
  <c r="R70" i="87" s="1"/>
  <c r="J71" i="87"/>
  <c r="K71" i="87" s="1"/>
  <c r="Q71" i="87"/>
  <c r="R71" i="87" s="1"/>
  <c r="J72" i="87"/>
  <c r="K72" i="87" s="1"/>
  <c r="Q72" i="87"/>
  <c r="R72" i="87" s="1"/>
  <c r="J73" i="87"/>
  <c r="K73" i="87" s="1"/>
  <c r="Q73" i="87"/>
  <c r="R73" i="87" s="1"/>
  <c r="J74" i="87"/>
  <c r="K74" i="87" s="1"/>
  <c r="Q74" i="87"/>
  <c r="R74" i="87" s="1"/>
  <c r="J75" i="87"/>
  <c r="K75" i="87" s="1"/>
  <c r="Q75" i="87"/>
  <c r="R75" i="87" s="1"/>
  <c r="J76" i="87"/>
  <c r="K76" i="87" s="1"/>
  <c r="Q76" i="87"/>
  <c r="R76" i="87" s="1"/>
  <c r="J77" i="87"/>
  <c r="K77" i="87" s="1"/>
  <c r="Q77" i="87"/>
  <c r="R77" i="87" s="1"/>
  <c r="J78" i="87"/>
  <c r="K78" i="87" s="1"/>
  <c r="Q78" i="87"/>
  <c r="R78" i="87" s="1"/>
  <c r="J79" i="87"/>
  <c r="K79" i="87" s="1"/>
  <c r="Q79" i="87"/>
  <c r="R79" i="87" s="1"/>
  <c r="J80" i="87"/>
  <c r="K80" i="87" s="1"/>
  <c r="Q80" i="87"/>
  <c r="R80" i="87" s="1"/>
  <c r="J81" i="87"/>
  <c r="K81" i="87" s="1"/>
  <c r="Q81" i="87"/>
  <c r="R81" i="87" s="1"/>
  <c r="J82" i="87"/>
  <c r="K82" i="87" s="1"/>
  <c r="Q82" i="87"/>
  <c r="R82" i="87" s="1"/>
  <c r="J83" i="87"/>
  <c r="K83" i="87" s="1"/>
  <c r="Q83" i="87"/>
  <c r="R83" i="87" s="1"/>
  <c r="J84" i="87"/>
  <c r="K84" i="87" s="1"/>
  <c r="Q84" i="87"/>
  <c r="R84" i="87" s="1"/>
  <c r="J85" i="87"/>
  <c r="K85" i="87" s="1"/>
  <c r="Q85" i="87"/>
  <c r="R85" i="87" s="1"/>
  <c r="J86" i="87"/>
  <c r="K86" i="87" s="1"/>
  <c r="Q86" i="87"/>
  <c r="R86" i="87" s="1"/>
  <c r="J87" i="87"/>
  <c r="K87" i="87" s="1"/>
  <c r="Q87" i="87"/>
  <c r="R87" i="87" s="1"/>
  <c r="J88" i="87"/>
  <c r="K88" i="87" s="1"/>
  <c r="Q88" i="87"/>
  <c r="R88" i="87" s="1"/>
  <c r="J89" i="87"/>
  <c r="K89" i="87" s="1"/>
  <c r="Q89" i="87"/>
  <c r="R89" i="87" s="1"/>
  <c r="J90" i="87"/>
  <c r="K90" i="87" s="1"/>
  <c r="Q90" i="87"/>
  <c r="R90" i="87" s="1"/>
  <c r="J91" i="87"/>
  <c r="K91" i="87" s="1"/>
  <c r="Q91" i="87"/>
  <c r="R91" i="87" s="1"/>
  <c r="J92" i="87"/>
  <c r="K92" i="87" s="1"/>
  <c r="Q92" i="87"/>
  <c r="R92" i="87" s="1"/>
  <c r="J93" i="87"/>
  <c r="K93" i="87" s="1"/>
  <c r="Q93" i="87"/>
  <c r="R93" i="87" s="1"/>
  <c r="J94" i="87"/>
  <c r="K94" i="87" s="1"/>
  <c r="Q94" i="87"/>
  <c r="R94" i="87" s="1"/>
  <c r="J95" i="87"/>
  <c r="K95" i="87" s="1"/>
  <c r="Q95" i="87"/>
  <c r="R95" i="87" s="1"/>
  <c r="I97" i="87"/>
  <c r="N97" i="87"/>
  <c r="J105" i="87"/>
  <c r="K105" i="87" s="1"/>
  <c r="Q105" i="87"/>
  <c r="R105" i="87" s="1"/>
  <c r="N99" i="87" l="1"/>
  <c r="I99" i="87"/>
  <c r="S81" i="87"/>
  <c r="S74" i="87"/>
  <c r="S79" i="87"/>
  <c r="S88" i="87"/>
  <c r="S72" i="87"/>
  <c r="S17" i="87"/>
  <c r="S83" i="87"/>
  <c r="S84" i="87"/>
  <c r="S70" i="87"/>
  <c r="S86" i="87"/>
  <c r="S76" i="87"/>
  <c r="S68" i="87"/>
  <c r="S82" i="87"/>
  <c r="S80" i="87"/>
  <c r="S78" i="87"/>
  <c r="S35" i="87"/>
  <c r="S87" i="87"/>
  <c r="S73" i="87"/>
  <c r="S71" i="87"/>
  <c r="S16" i="87"/>
  <c r="J13" i="87"/>
  <c r="Q13" i="87"/>
  <c r="R13" i="87" s="1"/>
  <c r="S13" i="87" s="1"/>
  <c r="S105" i="87"/>
  <c r="S75" i="87"/>
  <c r="S20" i="87"/>
  <c r="S10" i="87"/>
  <c r="R18" i="87"/>
  <c r="Q31" i="87"/>
  <c r="H97" i="87"/>
  <c r="H99" i="87" s="1"/>
  <c r="Q97" i="87"/>
  <c r="R97" i="87" s="1"/>
  <c r="S97" i="87" s="1"/>
  <c r="S85" i="87"/>
  <c r="S77" i="87"/>
  <c r="S69" i="87"/>
  <c r="J31" i="87"/>
  <c r="R9" i="87"/>
  <c r="S9" i="87" s="1"/>
  <c r="S67" i="87" l="1"/>
  <c r="J97" i="87"/>
  <c r="J99" i="87" s="1"/>
  <c r="K99" i="87" s="1"/>
  <c r="Q99" i="87"/>
  <c r="R99" i="87" s="1"/>
  <c r="R31" i="87"/>
  <c r="S31" i="87" s="1"/>
  <c r="T95" i="71"/>
  <c r="S95" i="71"/>
  <c r="P95" i="71"/>
  <c r="O95" i="71"/>
  <c r="L95" i="71"/>
  <c r="K95" i="71"/>
  <c r="H95" i="71"/>
  <c r="G95" i="71"/>
  <c r="T94" i="67"/>
  <c r="S94" i="67"/>
  <c r="P94" i="67"/>
  <c r="O94" i="67"/>
  <c r="L94" i="67"/>
  <c r="K94" i="67"/>
  <c r="H94" i="67"/>
  <c r="G94" i="67"/>
  <c r="B2" i="84"/>
  <c r="F16" i="84"/>
  <c r="F15" i="84"/>
  <c r="F14" i="84"/>
  <c r="F13" i="84"/>
  <c r="F12" i="84"/>
  <c r="F11" i="84"/>
  <c r="F10" i="84"/>
  <c r="F9" i="84"/>
  <c r="F8" i="84"/>
  <c r="F7" i="84"/>
  <c r="F6" i="84"/>
  <c r="D17" i="84"/>
  <c r="D16" i="84"/>
  <c r="D15" i="84"/>
  <c r="D14" i="84"/>
  <c r="D13" i="84"/>
  <c r="D12" i="84"/>
  <c r="D11" i="84"/>
  <c r="D10" i="84"/>
  <c r="D9" i="84"/>
  <c r="D8" i="84"/>
  <c r="D7" i="84"/>
  <c r="D6" i="84"/>
  <c r="C7" i="84"/>
  <c r="C6" i="84"/>
  <c r="H19" i="84"/>
  <c r="G6" i="84"/>
  <c r="E17" i="84"/>
  <c r="E16" i="84"/>
  <c r="E15" i="84"/>
  <c r="E14" i="84"/>
  <c r="E13" i="84"/>
  <c r="E12" i="84"/>
  <c r="E11" i="84"/>
  <c r="E10" i="84"/>
  <c r="E9" i="84"/>
  <c r="E8" i="84"/>
  <c r="E6" i="84"/>
  <c r="E7" i="84"/>
  <c r="I7" i="84" s="1"/>
  <c r="J7" i="84" s="1"/>
  <c r="C17" i="84"/>
  <c r="C16" i="84"/>
  <c r="C15" i="84"/>
  <c r="C14" i="84"/>
  <c r="C13" i="84"/>
  <c r="C12" i="84"/>
  <c r="C11" i="84"/>
  <c r="C8" i="84"/>
  <c r="C10" i="84"/>
  <c r="C9" i="84"/>
  <c r="D9" i="85"/>
  <c r="E9" i="85"/>
  <c r="F9" i="85"/>
  <c r="F22" i="85" s="1"/>
  <c r="G9" i="85"/>
  <c r="G22" i="85" s="1"/>
  <c r="G85" i="85" s="1"/>
  <c r="G96" i="85" s="1"/>
  <c r="H9" i="85"/>
  <c r="I9" i="85"/>
  <c r="J9" i="85"/>
  <c r="J22" i="85" s="1"/>
  <c r="K9" i="85"/>
  <c r="K22" i="85" s="1"/>
  <c r="K85" i="85" s="1"/>
  <c r="K96" i="85" s="1"/>
  <c r="L9" i="85"/>
  <c r="M9" i="85"/>
  <c r="N9" i="85"/>
  <c r="N22" i="85" s="1"/>
  <c r="O9" i="85"/>
  <c r="O22" i="85" s="1"/>
  <c r="O85" i="85" s="1"/>
  <c r="O96" i="85" s="1"/>
  <c r="P9" i="85"/>
  <c r="Q9" i="85"/>
  <c r="R9" i="85"/>
  <c r="R22" i="85" s="1"/>
  <c r="S9" i="85"/>
  <c r="S22" i="85" s="1"/>
  <c r="S85" i="85" s="1"/>
  <c r="S96" i="85" s="1"/>
  <c r="T9" i="85"/>
  <c r="U9" i="85"/>
  <c r="V9" i="85"/>
  <c r="V22" i="85" s="1"/>
  <c r="W9" i="85"/>
  <c r="W22" i="85" s="1"/>
  <c r="W85" i="85" s="1"/>
  <c r="W96" i="85" s="1"/>
  <c r="X9" i="85"/>
  <c r="Y9" i="85"/>
  <c r="Z9" i="85"/>
  <c r="Z22" i="85" s="1"/>
  <c r="D21" i="85"/>
  <c r="D22" i="85" s="1"/>
  <c r="D85" i="85" s="1"/>
  <c r="D96" i="85" s="1"/>
  <c r="E21" i="85"/>
  <c r="F21" i="85"/>
  <c r="G21" i="85"/>
  <c r="H21" i="85"/>
  <c r="H22" i="85" s="1"/>
  <c r="H85" i="85" s="1"/>
  <c r="H96" i="85" s="1"/>
  <c r="I21" i="85"/>
  <c r="J21" i="85"/>
  <c r="K21" i="85"/>
  <c r="L21" i="85"/>
  <c r="L22" i="85" s="1"/>
  <c r="L85" i="85" s="1"/>
  <c r="L96" i="85" s="1"/>
  <c r="M21" i="85"/>
  <c r="N21" i="85"/>
  <c r="O21" i="85"/>
  <c r="P21" i="85"/>
  <c r="P22" i="85" s="1"/>
  <c r="P85" i="85" s="1"/>
  <c r="P96" i="85" s="1"/>
  <c r="Q21" i="85"/>
  <c r="R21" i="85"/>
  <c r="S21" i="85"/>
  <c r="T21" i="85"/>
  <c r="T22" i="85" s="1"/>
  <c r="T85" i="85" s="1"/>
  <c r="T96" i="85" s="1"/>
  <c r="U21" i="85"/>
  <c r="V21" i="85"/>
  <c r="W21" i="85"/>
  <c r="X21" i="85"/>
  <c r="X22" i="85" s="1"/>
  <c r="X85" i="85" s="1"/>
  <c r="X96" i="85" s="1"/>
  <c r="Y21" i="85"/>
  <c r="Z21" i="85"/>
  <c r="E22" i="85"/>
  <c r="I22" i="85"/>
  <c r="M22" i="85"/>
  <c r="Q22" i="85"/>
  <c r="U22" i="85"/>
  <c r="Y22" i="85"/>
  <c r="D30" i="85"/>
  <c r="E30" i="85"/>
  <c r="E84" i="85" s="1"/>
  <c r="E85" i="85" s="1"/>
  <c r="E96" i="85" s="1"/>
  <c r="F30" i="85"/>
  <c r="F84" i="85" s="1"/>
  <c r="G30" i="85"/>
  <c r="H30" i="85"/>
  <c r="I30" i="85"/>
  <c r="I84" i="85" s="1"/>
  <c r="I85" i="85" s="1"/>
  <c r="I96" i="85" s="1"/>
  <c r="J30" i="85"/>
  <c r="J84" i="85" s="1"/>
  <c r="K30" i="85"/>
  <c r="L30" i="85"/>
  <c r="M30" i="85"/>
  <c r="M84" i="85" s="1"/>
  <c r="M85" i="85" s="1"/>
  <c r="M96" i="85" s="1"/>
  <c r="N30" i="85"/>
  <c r="N84" i="85" s="1"/>
  <c r="O30" i="85"/>
  <c r="P30" i="85"/>
  <c r="Q30" i="85"/>
  <c r="Q84" i="85" s="1"/>
  <c r="Q85" i="85" s="1"/>
  <c r="Q96" i="85" s="1"/>
  <c r="R30" i="85"/>
  <c r="R84" i="85" s="1"/>
  <c r="S30" i="85"/>
  <c r="T30" i="85"/>
  <c r="U30" i="85"/>
  <c r="U84" i="85" s="1"/>
  <c r="U85" i="85" s="1"/>
  <c r="U96" i="85" s="1"/>
  <c r="V30" i="85"/>
  <c r="V84" i="85" s="1"/>
  <c r="W30" i="85"/>
  <c r="X30" i="85"/>
  <c r="Y30" i="85"/>
  <c r="Y84" i="85" s="1"/>
  <c r="Y85" i="85" s="1"/>
  <c r="Y96" i="85" s="1"/>
  <c r="Z30" i="85"/>
  <c r="Z84" i="85" s="1"/>
  <c r="D42" i="85"/>
  <c r="E42" i="85"/>
  <c r="F42" i="85"/>
  <c r="G42" i="85"/>
  <c r="G84" i="85" s="1"/>
  <c r="H42" i="85"/>
  <c r="I42" i="85"/>
  <c r="J42" i="85"/>
  <c r="K42" i="85"/>
  <c r="K84" i="85" s="1"/>
  <c r="L42" i="85"/>
  <c r="M42" i="85"/>
  <c r="N42" i="85"/>
  <c r="O42" i="85"/>
  <c r="O84" i="85" s="1"/>
  <c r="P42" i="85"/>
  <c r="Q42" i="85"/>
  <c r="R42" i="85"/>
  <c r="S42" i="85"/>
  <c r="S84" i="85" s="1"/>
  <c r="T42" i="85"/>
  <c r="U42" i="85"/>
  <c r="V42" i="85"/>
  <c r="W42" i="85"/>
  <c r="W84" i="85" s="1"/>
  <c r="X42" i="85"/>
  <c r="Y42" i="85"/>
  <c r="Z42" i="85"/>
  <c r="D48" i="85"/>
  <c r="E48" i="85"/>
  <c r="F48" i="85"/>
  <c r="G48" i="85"/>
  <c r="H48" i="85"/>
  <c r="I48" i="85"/>
  <c r="J48" i="85"/>
  <c r="K48" i="85"/>
  <c r="L48" i="85"/>
  <c r="M48" i="85"/>
  <c r="N48" i="85"/>
  <c r="O48" i="85"/>
  <c r="P48" i="85"/>
  <c r="Q48" i="85"/>
  <c r="R48" i="85"/>
  <c r="S48" i="85"/>
  <c r="T48" i="85"/>
  <c r="U48" i="85"/>
  <c r="V48" i="85"/>
  <c r="W48" i="85"/>
  <c r="X48" i="85"/>
  <c r="Y48" i="85"/>
  <c r="Z48" i="85"/>
  <c r="D55" i="85"/>
  <c r="E55" i="85"/>
  <c r="F55" i="85"/>
  <c r="G55" i="85"/>
  <c r="H55" i="85"/>
  <c r="I55" i="85"/>
  <c r="J55" i="85"/>
  <c r="K55" i="85"/>
  <c r="L55" i="85"/>
  <c r="M55" i="85"/>
  <c r="N55" i="85"/>
  <c r="O55" i="85"/>
  <c r="P55" i="85"/>
  <c r="Q55" i="85"/>
  <c r="R55" i="85"/>
  <c r="S55" i="85"/>
  <c r="T55" i="85"/>
  <c r="U55" i="85"/>
  <c r="V55" i="85"/>
  <c r="W55" i="85"/>
  <c r="X55" i="85"/>
  <c r="Y55" i="85"/>
  <c r="Z55" i="85"/>
  <c r="D61" i="85"/>
  <c r="E61" i="85"/>
  <c r="F61" i="85"/>
  <c r="G61" i="85"/>
  <c r="H61" i="85"/>
  <c r="I61" i="85"/>
  <c r="J61" i="85"/>
  <c r="K61" i="85"/>
  <c r="L61" i="85"/>
  <c r="M61" i="85"/>
  <c r="N61" i="85"/>
  <c r="O61" i="85"/>
  <c r="P61" i="85"/>
  <c r="Q61" i="85"/>
  <c r="R61" i="85"/>
  <c r="S61" i="85"/>
  <c r="T61" i="85"/>
  <c r="U61" i="85"/>
  <c r="V61" i="85"/>
  <c r="W61" i="85"/>
  <c r="X61" i="85"/>
  <c r="Y61" i="85"/>
  <c r="Z61" i="85"/>
  <c r="D82" i="85"/>
  <c r="E82" i="85"/>
  <c r="F82" i="85"/>
  <c r="G82" i="85"/>
  <c r="H82" i="85"/>
  <c r="I82" i="85"/>
  <c r="J82" i="85"/>
  <c r="K82" i="85"/>
  <c r="L82" i="85"/>
  <c r="M82" i="85"/>
  <c r="N82" i="85"/>
  <c r="O82" i="85"/>
  <c r="P82" i="85"/>
  <c r="Q82" i="85"/>
  <c r="R82" i="85"/>
  <c r="S82" i="85"/>
  <c r="T82" i="85"/>
  <c r="U82" i="85"/>
  <c r="V82" i="85"/>
  <c r="W82" i="85"/>
  <c r="X82" i="85"/>
  <c r="Y82" i="85"/>
  <c r="Z82" i="85"/>
  <c r="D84" i="85"/>
  <c r="H84" i="85"/>
  <c r="L84" i="85"/>
  <c r="P84" i="85"/>
  <c r="T84" i="85"/>
  <c r="X84" i="85"/>
  <c r="R88" i="85"/>
  <c r="X88" i="85"/>
  <c r="X95" i="85" s="1"/>
  <c r="Z88" i="85"/>
  <c r="E94" i="85"/>
  <c r="F94" i="85"/>
  <c r="G94" i="85"/>
  <c r="G95" i="85" s="1"/>
  <c r="H94" i="85"/>
  <c r="H95" i="85" s="1"/>
  <c r="I94" i="85"/>
  <c r="J94" i="85"/>
  <c r="K94" i="85"/>
  <c r="K95" i="85" s="1"/>
  <c r="L94" i="85"/>
  <c r="L95" i="85" s="1"/>
  <c r="M94" i="85"/>
  <c r="N94" i="85"/>
  <c r="O94" i="85"/>
  <c r="O95" i="85" s="1"/>
  <c r="P94" i="85"/>
  <c r="P95" i="85" s="1"/>
  <c r="Q94" i="85"/>
  <c r="R94" i="85"/>
  <c r="S94" i="85"/>
  <c r="S95" i="85" s="1"/>
  <c r="T94" i="85"/>
  <c r="T95" i="85" s="1"/>
  <c r="U94" i="85"/>
  <c r="V94" i="85"/>
  <c r="W94" i="85"/>
  <c r="W95" i="85" s="1"/>
  <c r="X94" i="85"/>
  <c r="Y94" i="85"/>
  <c r="Z94" i="85"/>
  <c r="E95" i="85"/>
  <c r="F95" i="85"/>
  <c r="I95" i="85"/>
  <c r="J95" i="85"/>
  <c r="M95" i="85"/>
  <c r="N95" i="85"/>
  <c r="Q95" i="85"/>
  <c r="R95" i="85"/>
  <c r="U95" i="85"/>
  <c r="V95" i="85"/>
  <c r="Y95" i="85"/>
  <c r="Z95" i="85"/>
  <c r="Q95" i="71"/>
  <c r="I95" i="71"/>
  <c r="U94" i="67"/>
  <c r="G19" i="84" l="1"/>
  <c r="I6" i="84"/>
  <c r="K6" i="84"/>
  <c r="L6" i="84"/>
  <c r="L7" i="84"/>
  <c r="K7" i="84"/>
  <c r="M94" i="67"/>
  <c r="C94" i="67"/>
  <c r="D94" i="67"/>
  <c r="I94" i="67"/>
  <c r="Q94" i="67"/>
  <c r="W94" i="67"/>
  <c r="U95" i="71"/>
  <c r="X95" i="71"/>
  <c r="M95" i="71"/>
  <c r="W95" i="71"/>
  <c r="C95" i="71"/>
  <c r="D95" i="71"/>
  <c r="S99" i="87"/>
  <c r="C19" i="84"/>
  <c r="F19" i="84"/>
  <c r="D19" i="84"/>
  <c r="E19" i="84"/>
  <c r="Z85" i="85"/>
  <c r="Z96" i="85" s="1"/>
  <c r="V85" i="85"/>
  <c r="V96" i="85" s="1"/>
  <c r="R85" i="85"/>
  <c r="R96" i="85" s="1"/>
  <c r="N85" i="85"/>
  <c r="N96" i="85" s="1"/>
  <c r="J85" i="85"/>
  <c r="J96" i="85" s="1"/>
  <c r="F85" i="85"/>
  <c r="F96" i="85" s="1"/>
  <c r="K19" i="84" l="1"/>
  <c r="L19" i="84"/>
  <c r="J6" i="84"/>
  <c r="J19" i="84" s="1"/>
  <c r="I19" i="84"/>
  <c r="P92" i="67"/>
  <c r="P95" i="67" s="1"/>
  <c r="P98" i="67" s="1"/>
  <c r="P101" i="67" s="1"/>
  <c r="F97" i="67"/>
  <c r="S92" i="67"/>
  <c r="F94" i="67"/>
  <c r="E94" i="67"/>
  <c r="X94" i="67"/>
  <c r="Y95" i="71"/>
  <c r="P93" i="71"/>
  <c r="P96" i="71" s="1"/>
  <c r="P99" i="71" s="1"/>
  <c r="P102" i="71" s="1"/>
  <c r="H93" i="71"/>
  <c r="H96" i="71" s="1"/>
  <c r="H99" i="71" s="1"/>
  <c r="H102" i="71" s="1"/>
  <c r="E95" i="71"/>
  <c r="F98" i="71"/>
  <c r="F95" i="71"/>
  <c r="O92" i="67"/>
  <c r="L92" i="67"/>
  <c r="L95" i="67" s="1"/>
  <c r="L98" i="67" s="1"/>
  <c r="L101" i="67" s="1"/>
  <c r="D92" i="67" l="1"/>
  <c r="D95" i="67" s="1"/>
  <c r="D98" i="67" s="1"/>
  <c r="D101" i="67" s="1"/>
  <c r="Y94" i="67"/>
  <c r="P104" i="67"/>
  <c r="O95" i="67"/>
  <c r="R92" i="67"/>
  <c r="S95" i="67"/>
  <c r="K92" i="67"/>
  <c r="O93" i="71"/>
  <c r="S93" i="71"/>
  <c r="H105" i="71"/>
  <c r="D93" i="71"/>
  <c r="D96" i="71" s="1"/>
  <c r="D99" i="71" s="1"/>
  <c r="D102" i="71" s="1"/>
  <c r="L93" i="71"/>
  <c r="L96" i="71" s="1"/>
  <c r="L99" i="71" s="1"/>
  <c r="L102" i="71" s="1"/>
  <c r="K93" i="71"/>
  <c r="T93" i="71"/>
  <c r="T96" i="71" s="1"/>
  <c r="T99" i="71" s="1"/>
  <c r="T102" i="71" s="1"/>
  <c r="G93" i="71"/>
  <c r="C93" i="71"/>
  <c r="L104" i="67"/>
  <c r="H92" i="67"/>
  <c r="H95" i="67" s="1"/>
  <c r="H98" i="67" s="1"/>
  <c r="H101" i="67" s="1"/>
  <c r="C92" i="67"/>
  <c r="T92" i="67"/>
  <c r="T95" i="67" s="1"/>
  <c r="T98" i="67" s="1"/>
  <c r="T101" i="67" s="1"/>
  <c r="Q92" i="67"/>
  <c r="Q95" i="67" s="1"/>
  <c r="Q98" i="67" s="1"/>
  <c r="Q101" i="67" s="1"/>
  <c r="G92" i="67"/>
  <c r="M92" i="67"/>
  <c r="M95" i="67" s="1"/>
  <c r="M98" i="67" s="1"/>
  <c r="M101" i="67" s="1"/>
  <c r="D104" i="67" l="1"/>
  <c r="Q104" i="67"/>
  <c r="G95" i="67"/>
  <c r="J92" i="67"/>
  <c r="M104" i="67"/>
  <c r="O98" i="67"/>
  <c r="R95" i="67"/>
  <c r="X92" i="67"/>
  <c r="X95" i="67" s="1"/>
  <c r="X98" i="67" s="1"/>
  <c r="X101" i="67" s="1"/>
  <c r="V92" i="67"/>
  <c r="N92" i="67"/>
  <c r="K95" i="67"/>
  <c r="U92" i="67"/>
  <c r="U95" i="67" s="1"/>
  <c r="U98" i="67" s="1"/>
  <c r="U101" i="67" s="1"/>
  <c r="S98" i="67"/>
  <c r="V95" i="67"/>
  <c r="O96" i="71"/>
  <c r="R93" i="71"/>
  <c r="K96" i="71"/>
  <c r="N93" i="71"/>
  <c r="S96" i="71"/>
  <c r="V93" i="71"/>
  <c r="Q93" i="71"/>
  <c r="Q96" i="71" s="1"/>
  <c r="Q99" i="71" s="1"/>
  <c r="Q102" i="71" s="1"/>
  <c r="F93" i="71"/>
  <c r="C96" i="71"/>
  <c r="G96" i="71"/>
  <c r="J93" i="71"/>
  <c r="P105" i="71"/>
  <c r="X93" i="71"/>
  <c r="X96" i="71" s="1"/>
  <c r="X99" i="71" s="1"/>
  <c r="X102" i="71" s="1"/>
  <c r="D105" i="71"/>
  <c r="M93" i="71"/>
  <c r="M96" i="71" s="1"/>
  <c r="M99" i="71" s="1"/>
  <c r="M102" i="71" s="1"/>
  <c r="E93" i="71"/>
  <c r="E96" i="71" s="1"/>
  <c r="E99" i="71" s="1"/>
  <c r="E102" i="71" s="1"/>
  <c r="I93" i="71"/>
  <c r="I96" i="71" s="1"/>
  <c r="I99" i="71" s="1"/>
  <c r="I102" i="71" s="1"/>
  <c r="I105" i="71" s="1"/>
  <c r="T105" i="71"/>
  <c r="U93" i="71"/>
  <c r="U96" i="71" s="1"/>
  <c r="U99" i="71" s="1"/>
  <c r="U102" i="71" s="1"/>
  <c r="L105" i="71"/>
  <c r="I92" i="67"/>
  <c r="I95" i="67" s="1"/>
  <c r="I98" i="67" s="1"/>
  <c r="I101" i="67" s="1"/>
  <c r="H104" i="67"/>
  <c r="E92" i="67" l="1"/>
  <c r="E95" i="67" s="1"/>
  <c r="E98" i="67" s="1"/>
  <c r="E101" i="67" s="1"/>
  <c r="T104" i="67"/>
  <c r="U104" i="67"/>
  <c r="Y92" i="67"/>
  <c r="Y95" i="67" s="1"/>
  <c r="Y98" i="67" s="1"/>
  <c r="Y101" i="67" s="1"/>
  <c r="W92" i="67"/>
  <c r="K98" i="67"/>
  <c r="N95" i="67"/>
  <c r="C95" i="67"/>
  <c r="F92" i="67"/>
  <c r="I104" i="67"/>
  <c r="S101" i="67"/>
  <c r="V98" i="67"/>
  <c r="O101" i="67"/>
  <c r="R98" i="67"/>
  <c r="G98" i="67"/>
  <c r="J95" i="67"/>
  <c r="F96" i="71"/>
  <c r="C99" i="71"/>
  <c r="S99" i="71"/>
  <c r="V96" i="71"/>
  <c r="U105" i="71"/>
  <c r="Y93" i="71"/>
  <c r="Y96" i="71" s="1"/>
  <c r="Y99" i="71" s="1"/>
  <c r="Y102" i="71" s="1"/>
  <c r="W93" i="71"/>
  <c r="Q105" i="71"/>
  <c r="R96" i="71"/>
  <c r="O99" i="71"/>
  <c r="K99" i="71"/>
  <c r="N96" i="71"/>
  <c r="M105" i="71"/>
  <c r="J96" i="71"/>
  <c r="G99" i="71"/>
  <c r="C91" i="70"/>
  <c r="E105" i="71"/>
  <c r="E91" i="70"/>
  <c r="E104" i="67" l="1"/>
  <c r="S104" i="67"/>
  <c r="V101" i="67"/>
  <c r="V104" i="67" s="1"/>
  <c r="W95" i="67"/>
  <c r="Z92" i="67"/>
  <c r="F95" i="67"/>
  <c r="C98" i="67"/>
  <c r="K101" i="67"/>
  <c r="N98" i="67"/>
  <c r="G101" i="67"/>
  <c r="J98" i="67"/>
  <c r="O104" i="67"/>
  <c r="R101" i="67"/>
  <c r="R104" i="67" s="1"/>
  <c r="X104" i="67"/>
  <c r="R99" i="71"/>
  <c r="O102" i="71"/>
  <c r="Y105" i="71"/>
  <c r="C102" i="71"/>
  <c r="F99" i="71"/>
  <c r="J99" i="71"/>
  <c r="G102" i="71"/>
  <c r="K102" i="71"/>
  <c r="N99" i="71"/>
  <c r="X105" i="71"/>
  <c r="W96" i="71"/>
  <c r="Z93" i="71"/>
  <c r="S102" i="71"/>
  <c r="V99" i="71"/>
  <c r="Y104" i="67"/>
  <c r="K104" i="67" l="1"/>
  <c r="N101" i="67"/>
  <c r="N104" i="67" s="1"/>
  <c r="W98" i="67"/>
  <c r="Z95" i="67"/>
  <c r="G104" i="67"/>
  <c r="J101" i="67"/>
  <c r="J104" i="67" s="1"/>
  <c r="F98" i="67"/>
  <c r="C101" i="67"/>
  <c r="K105" i="71"/>
  <c r="N102" i="71"/>
  <c r="N105" i="71" s="1"/>
  <c r="C105" i="71"/>
  <c r="F102" i="71"/>
  <c r="F105" i="71" s="1"/>
  <c r="W99" i="71"/>
  <c r="Z96" i="71"/>
  <c r="J102" i="71"/>
  <c r="J105" i="71" s="1"/>
  <c r="G105" i="71"/>
  <c r="R102" i="71"/>
  <c r="R105" i="71" s="1"/>
  <c r="O105" i="71"/>
  <c r="S105" i="71"/>
  <c r="V102" i="71"/>
  <c r="V105" i="71" s="1"/>
  <c r="E93" i="70"/>
  <c r="E94" i="70" s="1"/>
  <c r="F101" i="67" l="1"/>
  <c r="F104" i="67" s="1"/>
  <c r="C104" i="67"/>
  <c r="W101" i="67"/>
  <c r="Z98" i="67"/>
  <c r="W102" i="71"/>
  <c r="Z99" i="71"/>
  <c r="E97" i="70"/>
  <c r="I10" i="28"/>
  <c r="O10" i="28" l="1"/>
  <c r="S10" i="28"/>
  <c r="J10" i="28"/>
  <c r="W10" i="28" s="1"/>
  <c r="N10" i="28"/>
  <c r="R10" i="28"/>
  <c r="L10" i="28"/>
  <c r="P10" i="28"/>
  <c r="T10" i="28"/>
  <c r="M10" i="28"/>
  <c r="Q10" i="28"/>
  <c r="U10" i="28"/>
  <c r="K10" i="28"/>
  <c r="W104" i="67"/>
  <c r="Z101" i="67"/>
  <c r="Z104" i="67" s="1"/>
  <c r="Z102" i="71"/>
  <c r="Z105" i="71" s="1"/>
  <c r="W105" i="71"/>
  <c r="E100" i="70"/>
  <c r="E103" i="70" s="1"/>
  <c r="D15" i="62"/>
  <c r="C15" i="62"/>
  <c r="E15" i="62" s="1"/>
  <c r="D93" i="70" l="1"/>
  <c r="E18" i="63" l="1"/>
  <c r="E25" i="63" s="1"/>
  <c r="F74" i="65"/>
  <c r="L689" i="64"/>
  <c r="L690" i="64"/>
  <c r="L691" i="64"/>
  <c r="L692" i="64"/>
  <c r="L693" i="64"/>
  <c r="L694" i="64"/>
  <c r="L695" i="64"/>
  <c r="L696" i="64"/>
  <c r="L697" i="64"/>
  <c r="L698" i="64"/>
  <c r="L699" i="64"/>
  <c r="L701" i="64"/>
  <c r="L702" i="64"/>
  <c r="L703" i="64"/>
  <c r="L704" i="64"/>
  <c r="L705" i="64"/>
  <c r="L706" i="64"/>
  <c r="L707" i="64"/>
  <c r="L708" i="64"/>
  <c r="L709" i="64"/>
  <c r="L710" i="64"/>
  <c r="L711" i="64"/>
  <c r="L712" i="64"/>
  <c r="L713" i="64"/>
  <c r="L714" i="64"/>
  <c r="L715" i="64"/>
  <c r="L716" i="64"/>
  <c r="L717" i="64"/>
  <c r="L718" i="64"/>
  <c r="L719" i="64"/>
  <c r="L720" i="64"/>
  <c r="L721" i="64"/>
  <c r="L722" i="64"/>
  <c r="L723" i="64"/>
  <c r="L724" i="64"/>
  <c r="L725" i="64"/>
  <c r="L726" i="64"/>
  <c r="L727" i="64"/>
  <c r="L728" i="64"/>
  <c r="L729" i="64"/>
  <c r="L730" i="64"/>
  <c r="L731" i="64"/>
  <c r="L732" i="64"/>
  <c r="L733" i="64"/>
  <c r="L734" i="64"/>
  <c r="L735" i="64"/>
  <c r="L736" i="64"/>
  <c r="L737" i="64"/>
  <c r="L738" i="64"/>
  <c r="L739" i="64"/>
  <c r="L740" i="64"/>
  <c r="L741" i="64"/>
  <c r="L742" i="64"/>
  <c r="L743" i="64"/>
  <c r="L744" i="64"/>
  <c r="L745" i="64"/>
  <c r="L746" i="64"/>
  <c r="L747" i="64"/>
  <c r="L748" i="64"/>
  <c r="L749" i="64"/>
  <c r="L750" i="64"/>
  <c r="L751" i="64"/>
  <c r="L752" i="64"/>
  <c r="L753" i="64"/>
  <c r="L754" i="64"/>
  <c r="L755" i="64"/>
  <c r="L756" i="64"/>
  <c r="L757" i="64"/>
  <c r="L758" i="64"/>
  <c r="L759" i="64"/>
  <c r="L760" i="64"/>
  <c r="L761" i="64"/>
  <c r="L762" i="64"/>
  <c r="L763" i="64"/>
  <c r="L764" i="64"/>
  <c r="L765" i="64"/>
  <c r="L766" i="64"/>
  <c r="L767" i="64"/>
  <c r="L768" i="64"/>
  <c r="L769" i="64"/>
  <c r="L770" i="64"/>
  <c r="L771" i="64"/>
  <c r="L772" i="64"/>
  <c r="L773" i="64"/>
  <c r="L774" i="64"/>
  <c r="L775" i="64"/>
  <c r="L776" i="64"/>
  <c r="L777" i="64"/>
  <c r="L778" i="64"/>
  <c r="L779" i="64"/>
  <c r="L780" i="64"/>
  <c r="L781" i="64"/>
  <c r="L782" i="64"/>
  <c r="L783" i="64"/>
  <c r="L784" i="64"/>
  <c r="L785" i="64"/>
  <c r="L786" i="64"/>
  <c r="L787" i="64"/>
  <c r="L788" i="64"/>
  <c r="L789" i="64"/>
  <c r="L790" i="64"/>
  <c r="L791" i="64"/>
  <c r="L792" i="64"/>
  <c r="L793" i="64"/>
  <c r="L794" i="64"/>
  <c r="L795" i="64"/>
  <c r="L796" i="64"/>
  <c r="L797" i="64"/>
  <c r="L798" i="64"/>
  <c r="L799" i="64"/>
  <c r="L800" i="64"/>
  <c r="L801" i="64"/>
  <c r="L802" i="64"/>
  <c r="L803" i="64"/>
  <c r="L804" i="64"/>
  <c r="L805" i="64"/>
  <c r="L806" i="64"/>
  <c r="L807" i="64"/>
  <c r="L808" i="64"/>
  <c r="L809" i="64"/>
  <c r="L810" i="64"/>
  <c r="L811" i="64"/>
  <c r="L812" i="64"/>
  <c r="L813" i="64"/>
  <c r="L814" i="64"/>
  <c r="L815" i="64"/>
  <c r="L816" i="64"/>
  <c r="L817" i="64"/>
  <c r="L818" i="64"/>
  <c r="L819" i="64"/>
  <c r="L820" i="64"/>
  <c r="L821" i="64"/>
  <c r="L822" i="64"/>
  <c r="L823" i="64"/>
  <c r="L824" i="64"/>
  <c r="L825" i="64"/>
  <c r="L826" i="64"/>
  <c r="L827" i="64"/>
  <c r="L828" i="64"/>
  <c r="L829" i="64"/>
  <c r="L830" i="64"/>
  <c r="L831" i="64"/>
  <c r="L832" i="64"/>
  <c r="L833" i="64"/>
  <c r="L834" i="64"/>
  <c r="L835" i="64"/>
  <c r="L836" i="64"/>
  <c r="L837" i="64"/>
  <c r="L838" i="64"/>
  <c r="L839" i="64"/>
  <c r="L840" i="64"/>
  <c r="L841" i="64"/>
  <c r="L842" i="64"/>
  <c r="L843" i="64"/>
  <c r="L844" i="64"/>
  <c r="L845" i="64"/>
  <c r="L846" i="64"/>
  <c r="L847" i="64"/>
  <c r="L848" i="64"/>
  <c r="L849" i="64"/>
  <c r="L850" i="64"/>
  <c r="L851" i="64"/>
  <c r="L852" i="64"/>
  <c r="L853" i="64"/>
  <c r="L854" i="64"/>
  <c r="L855" i="64"/>
  <c r="L856" i="64"/>
  <c r="L857" i="64"/>
  <c r="L858" i="64"/>
  <c r="L859" i="64"/>
  <c r="L860" i="64"/>
  <c r="L861" i="64"/>
  <c r="L862" i="64"/>
  <c r="L863" i="64"/>
  <c r="L864" i="64"/>
  <c r="L865" i="64"/>
  <c r="L866" i="64"/>
  <c r="L867" i="64"/>
  <c r="L868" i="64"/>
  <c r="L869" i="64"/>
  <c r="L870" i="64"/>
  <c r="L871" i="64"/>
  <c r="L872" i="64"/>
  <c r="L873" i="64"/>
  <c r="L874" i="64"/>
  <c r="L875" i="64"/>
  <c r="L876" i="64"/>
  <c r="L877" i="64"/>
  <c r="L878" i="64"/>
  <c r="L879" i="64"/>
  <c r="L880" i="64"/>
  <c r="L881" i="64"/>
  <c r="L882" i="64"/>
  <c r="L883" i="64"/>
  <c r="L884" i="64"/>
  <c r="L885" i="64"/>
  <c r="L886" i="64"/>
  <c r="L887" i="64"/>
  <c r="L888" i="64"/>
  <c r="L889" i="64"/>
  <c r="L890" i="64"/>
  <c r="L891" i="64"/>
  <c r="L892" i="64"/>
  <c r="L893" i="64"/>
  <c r="L894" i="64"/>
  <c r="L895" i="64"/>
  <c r="L896" i="64"/>
  <c r="L897" i="64"/>
  <c r="L898" i="64"/>
  <c r="L899" i="64"/>
  <c r="L900" i="64"/>
  <c r="L901" i="64"/>
  <c r="L902" i="64"/>
  <c r="L903" i="64"/>
  <c r="L904" i="64"/>
  <c r="L905" i="64"/>
  <c r="L906" i="64"/>
  <c r="L907" i="64"/>
  <c r="L908" i="64"/>
  <c r="L909" i="64"/>
  <c r="L910" i="64"/>
  <c r="L911" i="64"/>
  <c r="L912" i="64"/>
  <c r="L913" i="64"/>
  <c r="L914" i="64"/>
  <c r="L915" i="64"/>
  <c r="L916" i="64"/>
  <c r="L917" i="64"/>
  <c r="L918" i="64"/>
  <c r="L919" i="64"/>
  <c r="L920" i="64"/>
  <c r="L921" i="64"/>
  <c r="L922" i="64"/>
  <c r="L923" i="64"/>
  <c r="L924" i="64"/>
  <c r="L925" i="64"/>
  <c r="L926" i="64"/>
  <c r="L927" i="64"/>
  <c r="L928" i="64"/>
  <c r="L929" i="64"/>
  <c r="L930" i="64"/>
  <c r="L931" i="64"/>
  <c r="L932" i="64"/>
  <c r="L933" i="64"/>
  <c r="L934" i="64"/>
  <c r="L935" i="64"/>
  <c r="L936" i="64"/>
  <c r="L937" i="64"/>
  <c r="L938" i="64"/>
  <c r="L939" i="64"/>
  <c r="L940" i="64"/>
  <c r="L941" i="64"/>
  <c r="L942" i="64"/>
  <c r="L943" i="64"/>
  <c r="L944" i="64"/>
  <c r="L945" i="64"/>
  <c r="L946" i="64"/>
  <c r="L947" i="64"/>
  <c r="L948" i="64"/>
  <c r="L949" i="64"/>
  <c r="L950" i="64"/>
  <c r="L951" i="64"/>
  <c r="L952" i="64"/>
  <c r="L953" i="64"/>
  <c r="L954" i="64"/>
  <c r="L955" i="64"/>
  <c r="L956" i="64"/>
  <c r="L957" i="64"/>
  <c r="L958" i="64"/>
  <c r="L959" i="64"/>
  <c r="L960" i="64"/>
  <c r="L961" i="64"/>
  <c r="L962" i="64"/>
  <c r="L963" i="64"/>
  <c r="L964" i="64"/>
  <c r="L965" i="64"/>
  <c r="L966" i="64"/>
  <c r="L967" i="64"/>
  <c r="L968" i="64"/>
  <c r="L969" i="64"/>
  <c r="L970" i="64"/>
  <c r="L971" i="64"/>
  <c r="L972" i="64"/>
  <c r="L973" i="64"/>
  <c r="L974" i="64"/>
  <c r="L975" i="64"/>
  <c r="L976" i="64"/>
  <c r="L977" i="64"/>
  <c r="L978" i="64"/>
  <c r="L979" i="64"/>
  <c r="L980" i="64"/>
  <c r="L981" i="64"/>
  <c r="L982" i="64"/>
  <c r="L983" i="64"/>
  <c r="L984" i="64"/>
  <c r="L985" i="64"/>
  <c r="L986" i="64"/>
  <c r="L987" i="64"/>
  <c r="L988" i="64"/>
  <c r="L989" i="64"/>
  <c r="L990" i="64"/>
  <c r="L991" i="64"/>
  <c r="L992" i="64"/>
  <c r="L993" i="64"/>
  <c r="L994" i="64"/>
  <c r="L995" i="64"/>
  <c r="L996" i="64"/>
  <c r="L997" i="64"/>
  <c r="L998" i="64"/>
  <c r="L999" i="64"/>
  <c r="L1000" i="64"/>
  <c r="L1001" i="64"/>
  <c r="L1002" i="64"/>
  <c r="L1003" i="64"/>
  <c r="L1004" i="64"/>
  <c r="L1005" i="64"/>
  <c r="L1006" i="64"/>
  <c r="L1007" i="64"/>
  <c r="L1008" i="64"/>
  <c r="L1009" i="64"/>
  <c r="L1010" i="64"/>
  <c r="L1011" i="64"/>
  <c r="L1012" i="64"/>
  <c r="L1013" i="64"/>
  <c r="L1014" i="64"/>
  <c r="L1015" i="64"/>
  <c r="L1016" i="64"/>
  <c r="L1017" i="64"/>
  <c r="L1018" i="64"/>
  <c r="L1019" i="64"/>
  <c r="L1020" i="64"/>
  <c r="L1021" i="64"/>
  <c r="L1022" i="64"/>
  <c r="L1023" i="64"/>
  <c r="L1024" i="64"/>
  <c r="L1025" i="64"/>
  <c r="L1026" i="64"/>
  <c r="L1027" i="64"/>
  <c r="L1028" i="64"/>
  <c r="L1029" i="64"/>
  <c r="L1030" i="64"/>
  <c r="L1031" i="64"/>
  <c r="L1032" i="64"/>
  <c r="L1033" i="64"/>
  <c r="B1032" i="64"/>
  <c r="U13" i="66"/>
  <c r="AL13" i="66"/>
  <c r="AA12" i="66"/>
  <c r="AB12" i="66" s="1"/>
  <c r="AC12" i="66" s="1"/>
  <c r="AD12" i="66" s="1"/>
  <c r="AE12" i="66" s="1"/>
  <c r="AF12" i="66" s="1"/>
  <c r="AG12" i="66" s="1"/>
  <c r="AH12" i="66" s="1"/>
  <c r="AI12" i="66" s="1"/>
  <c r="AJ12" i="66" s="1"/>
  <c r="AK12" i="66" s="1"/>
  <c r="E668" i="64"/>
  <c r="L656" i="64"/>
  <c r="L657" i="64"/>
  <c r="L658" i="64"/>
  <c r="L659" i="64"/>
  <c r="L660" i="64"/>
  <c r="L661" i="64"/>
  <c r="L662" i="64"/>
  <c r="L663" i="64"/>
  <c r="L664" i="64"/>
  <c r="L665" i="64"/>
  <c r="L666" i="64"/>
  <c r="L667" i="64"/>
  <c r="L668" i="64"/>
  <c r="L669" i="64"/>
  <c r="L670" i="64"/>
  <c r="L671" i="64"/>
  <c r="L672" i="64"/>
  <c r="L673" i="64"/>
  <c r="L674" i="64"/>
  <c r="L675" i="64"/>
  <c r="L676" i="64"/>
  <c r="L677" i="64"/>
  <c r="L678" i="64"/>
  <c r="L679" i="64"/>
  <c r="L680" i="64"/>
  <c r="L681" i="64"/>
  <c r="L682" i="64"/>
  <c r="L683" i="64"/>
  <c r="L684" i="64"/>
  <c r="L685" i="64"/>
  <c r="L686" i="64"/>
  <c r="L687" i="64"/>
  <c r="C16" i="62"/>
  <c r="E16" i="62" s="1"/>
  <c r="C11" i="24"/>
  <c r="C11" i="62"/>
  <c r="E79" i="24"/>
  <c r="L12" i="28" l="1"/>
  <c r="W12" i="28" s="1"/>
  <c r="M12" i="28"/>
  <c r="N12" i="28"/>
  <c r="O12" i="28"/>
  <c r="P12" i="28"/>
  <c r="Q12" i="28"/>
  <c r="R12" i="28"/>
  <c r="S12" i="28"/>
  <c r="T12" i="28"/>
  <c r="U17" i="28"/>
  <c r="K9" i="28"/>
  <c r="L9" i="28" s="1"/>
  <c r="M9" i="28" s="1"/>
  <c r="N9" i="28" s="1"/>
  <c r="O9" i="28" s="1"/>
  <c r="P9" i="28" s="1"/>
  <c r="Q9" i="28" s="1"/>
  <c r="R9" i="28" s="1"/>
  <c r="S9" i="28" s="1"/>
  <c r="T9" i="28" s="1"/>
  <c r="U9" i="28" s="1"/>
  <c r="W17" i="28" l="1"/>
  <c r="N17" i="28"/>
  <c r="J17" i="28"/>
  <c r="Q17" i="28"/>
  <c r="M17" i="28"/>
  <c r="P17" i="28"/>
  <c r="T17" i="28"/>
  <c r="L17" i="28"/>
  <c r="S17" i="28"/>
  <c r="O17" i="28"/>
  <c r="K17" i="28"/>
  <c r="D91" i="70"/>
  <c r="R17" i="28"/>
  <c r="D94" i="70" l="1"/>
  <c r="F91" i="70"/>
  <c r="B3" i="81"/>
  <c r="C8" i="81"/>
  <c r="D97" i="70" l="1"/>
  <c r="D100" i="70" l="1"/>
  <c r="E78" i="24"/>
  <c r="D103" i="70" l="1"/>
  <c r="E140" i="62"/>
  <c r="E17" i="62" s="1"/>
  <c r="E128" i="62"/>
  <c r="E86" i="62"/>
  <c r="W15" i="66"/>
  <c r="L625" i="64"/>
  <c r="L626" i="64"/>
  <c r="L627" i="64"/>
  <c r="L628" i="64"/>
  <c r="L629" i="64"/>
  <c r="L630" i="64"/>
  <c r="L631" i="64"/>
  <c r="L632" i="64"/>
  <c r="L633" i="64"/>
  <c r="L634" i="64"/>
  <c r="L635" i="64"/>
  <c r="L636" i="64"/>
  <c r="L637" i="64"/>
  <c r="L638" i="64"/>
  <c r="L639" i="64"/>
  <c r="L640" i="64"/>
  <c r="L641" i="64"/>
  <c r="L642" i="64"/>
  <c r="L643" i="64"/>
  <c r="L644" i="64"/>
  <c r="L645" i="64"/>
  <c r="L646" i="64"/>
  <c r="L647" i="64"/>
  <c r="L648" i="64"/>
  <c r="L649" i="64"/>
  <c r="L650" i="64"/>
  <c r="L651" i="64"/>
  <c r="L652" i="64"/>
  <c r="L653" i="64"/>
  <c r="L654" i="64"/>
  <c r="L655" i="64"/>
  <c r="B5" i="81" l="1"/>
  <c r="H12" i="80" l="1"/>
  <c r="H13" i="80" s="1"/>
  <c r="H14" i="80" s="1"/>
  <c r="H15" i="80" s="1"/>
  <c r="H16" i="80" s="1"/>
  <c r="H17" i="80" s="1"/>
  <c r="H18" i="80" s="1"/>
  <c r="H19" i="80" s="1"/>
  <c r="G21" i="80"/>
  <c r="E77" i="24"/>
  <c r="G20" i="79"/>
  <c r="H12" i="79"/>
  <c r="H13" i="79" s="1"/>
  <c r="H14" i="79" s="1"/>
  <c r="H15" i="79" s="1"/>
  <c r="H16" i="79" s="1"/>
  <c r="H17" i="79" s="1"/>
  <c r="V15" i="66"/>
  <c r="L595" i="64"/>
  <c r="L596" i="64"/>
  <c r="L597" i="64"/>
  <c r="L598" i="64"/>
  <c r="L599" i="64"/>
  <c r="L600" i="64"/>
  <c r="L601" i="64"/>
  <c r="L602" i="64"/>
  <c r="L603" i="64"/>
  <c r="L604" i="64"/>
  <c r="L605" i="64"/>
  <c r="L606" i="64"/>
  <c r="L607" i="64"/>
  <c r="L608" i="64"/>
  <c r="L609" i="64"/>
  <c r="L610" i="64"/>
  <c r="L611" i="64"/>
  <c r="L612" i="64"/>
  <c r="L613" i="64"/>
  <c r="L614" i="64"/>
  <c r="L615" i="64"/>
  <c r="L616" i="64"/>
  <c r="L617" i="64"/>
  <c r="L618" i="64"/>
  <c r="L619" i="64"/>
  <c r="L620" i="64"/>
  <c r="L621" i="64"/>
  <c r="L622" i="64"/>
  <c r="L623" i="64"/>
  <c r="L624" i="64"/>
  <c r="L2" i="76" l="1"/>
  <c r="L3" i="76"/>
  <c r="L4" i="76"/>
  <c r="L5" i="76"/>
  <c r="L6" i="76"/>
  <c r="L7" i="76"/>
  <c r="L8" i="76"/>
  <c r="L9" i="76"/>
  <c r="L10" i="76"/>
  <c r="L11" i="76"/>
  <c r="L12" i="76"/>
  <c r="L13" i="76"/>
  <c r="L14" i="76"/>
  <c r="L15" i="76"/>
  <c r="L16" i="76"/>
  <c r="L17" i="76"/>
  <c r="L18" i="76"/>
  <c r="L19" i="76"/>
  <c r="L20" i="76"/>
  <c r="L21" i="76"/>
  <c r="L22" i="76"/>
  <c r="L23" i="76"/>
  <c r="L24" i="76"/>
  <c r="L25" i="76"/>
  <c r="L26" i="76"/>
  <c r="L27" i="76"/>
  <c r="L28" i="76"/>
  <c r="L29" i="76"/>
  <c r="L30" i="76"/>
  <c r="L31" i="76"/>
  <c r="L32" i="76"/>
  <c r="L33" i="76"/>
  <c r="L34" i="76"/>
  <c r="L35" i="76"/>
  <c r="L36" i="76"/>
  <c r="L37" i="76"/>
  <c r="L38" i="76"/>
  <c r="L39" i="76"/>
  <c r="L40" i="76"/>
  <c r="L41" i="76"/>
  <c r="L42" i="76"/>
  <c r="L43" i="76"/>
  <c r="L44" i="76"/>
  <c r="L45" i="76"/>
  <c r="L46" i="76"/>
  <c r="L47" i="76"/>
  <c r="L48" i="76"/>
  <c r="L49" i="76"/>
  <c r="L50" i="76"/>
  <c r="L51" i="76"/>
  <c r="L52" i="76"/>
  <c r="L53" i="76"/>
  <c r="L54" i="76"/>
  <c r="L55" i="76"/>
  <c r="L56" i="76"/>
  <c r="L57" i="76"/>
  <c r="L58" i="76"/>
  <c r="L59" i="76"/>
  <c r="L60" i="76"/>
  <c r="L61" i="76"/>
  <c r="L62" i="76"/>
  <c r="L63" i="76"/>
  <c r="L64" i="76"/>
  <c r="L65" i="76"/>
  <c r="L66" i="76"/>
  <c r="L67" i="76"/>
  <c r="L68" i="76"/>
  <c r="L69" i="76"/>
  <c r="L70" i="76"/>
  <c r="L71" i="76"/>
  <c r="L72" i="76"/>
  <c r="L73" i="76"/>
  <c r="L74" i="76"/>
  <c r="L75" i="76"/>
  <c r="L76" i="76"/>
  <c r="L77" i="76"/>
  <c r="L78" i="76"/>
  <c r="L79" i="76"/>
  <c r="L80" i="76"/>
  <c r="L81" i="76"/>
  <c r="L82" i="76"/>
  <c r="L83" i="76"/>
  <c r="L84" i="76"/>
  <c r="L85" i="76"/>
  <c r="L86" i="76"/>
  <c r="L87" i="76"/>
  <c r="L88" i="76"/>
  <c r="L89" i="76"/>
  <c r="L90" i="76"/>
  <c r="L91" i="76"/>
  <c r="L92" i="76"/>
  <c r="L93" i="76"/>
  <c r="L94" i="76"/>
  <c r="L95" i="76"/>
  <c r="L96" i="76"/>
  <c r="L97" i="76"/>
  <c r="L98" i="76"/>
  <c r="L99" i="76"/>
  <c r="L100" i="76"/>
  <c r="L101" i="76"/>
  <c r="L102" i="76"/>
  <c r="L103" i="76"/>
  <c r="L104" i="76"/>
  <c r="L105" i="76"/>
  <c r="L106" i="76"/>
  <c r="L107" i="76"/>
  <c r="L108" i="76"/>
  <c r="L109" i="76"/>
  <c r="L110" i="76"/>
  <c r="L111" i="76"/>
  <c r="L112" i="76"/>
  <c r="L113" i="76"/>
  <c r="L114" i="76"/>
  <c r="L115" i="76"/>
  <c r="L116" i="76"/>
  <c r="L117" i="76"/>
  <c r="L118" i="76"/>
  <c r="L119" i="76"/>
  <c r="L120" i="76"/>
  <c r="X13" i="66"/>
  <c r="L564" i="64"/>
  <c r="L565" i="64"/>
  <c r="L566" i="64"/>
  <c r="L567" i="64"/>
  <c r="L568" i="64"/>
  <c r="L569" i="64"/>
  <c r="L570" i="64"/>
  <c r="L571" i="64"/>
  <c r="L572" i="64"/>
  <c r="L573" i="64"/>
  <c r="L574" i="64"/>
  <c r="L575" i="64"/>
  <c r="L576" i="64"/>
  <c r="L577" i="64"/>
  <c r="L578" i="64"/>
  <c r="L579" i="64"/>
  <c r="L580" i="64"/>
  <c r="L581" i="64"/>
  <c r="L582" i="64"/>
  <c r="L583" i="64"/>
  <c r="L584" i="64"/>
  <c r="L585" i="64"/>
  <c r="L586" i="64"/>
  <c r="L587" i="64"/>
  <c r="L588" i="64"/>
  <c r="L589" i="64"/>
  <c r="L590" i="64"/>
  <c r="L591" i="64"/>
  <c r="L592" i="64"/>
  <c r="L593" i="64"/>
  <c r="L594" i="64"/>
  <c r="X15" i="66" l="1"/>
  <c r="U15" i="66"/>
  <c r="C80" i="60" l="1"/>
  <c r="E109" i="24" l="1"/>
  <c r="E84" i="24"/>
  <c r="B3" i="64" l="1"/>
  <c r="B5" i="63"/>
  <c r="M2" i="64"/>
  <c r="D8" i="63"/>
  <c r="C8" i="62" l="1"/>
  <c r="D64" i="72"/>
  <c r="D65" i="72"/>
  <c r="D66" i="72"/>
  <c r="D67" i="72"/>
  <c r="K16" i="72"/>
  <c r="J16" i="72"/>
  <c r="I16" i="72"/>
  <c r="H16" i="72"/>
  <c r="G16" i="72"/>
  <c r="F16" i="72"/>
  <c r="E16" i="72"/>
  <c r="D16" i="72"/>
  <c r="K14" i="72"/>
  <c r="J14" i="72"/>
  <c r="I14" i="72"/>
  <c r="H14" i="72"/>
  <c r="G14" i="72"/>
  <c r="F14" i="72"/>
  <c r="E14" i="72"/>
  <c r="D14" i="72"/>
  <c r="K12" i="72"/>
  <c r="J12" i="72"/>
  <c r="I12" i="72"/>
  <c r="H12" i="72"/>
  <c r="G12" i="72"/>
  <c r="F12" i="72"/>
  <c r="E12" i="72"/>
  <c r="D12" i="72"/>
  <c r="L13" i="72"/>
  <c r="C16" i="72"/>
  <c r="C14" i="72"/>
  <c r="C12" i="72"/>
  <c r="L15" i="72"/>
  <c r="L4" i="72"/>
  <c r="L6" i="72"/>
  <c r="L8" i="72"/>
  <c r="L11" i="72"/>
  <c r="K10" i="72"/>
  <c r="J10" i="72"/>
  <c r="I10" i="72"/>
  <c r="H10" i="72"/>
  <c r="G10" i="72"/>
  <c r="F10" i="72"/>
  <c r="E10" i="72"/>
  <c r="D10" i="72"/>
  <c r="C10" i="72"/>
  <c r="L9" i="72"/>
  <c r="K7" i="72"/>
  <c r="J7" i="72"/>
  <c r="I7" i="72"/>
  <c r="H7" i="72"/>
  <c r="G7" i="72"/>
  <c r="F7" i="72"/>
  <c r="E7" i="72"/>
  <c r="D7" i="72"/>
  <c r="K5" i="72"/>
  <c r="J5" i="72"/>
  <c r="I5" i="72"/>
  <c r="H5" i="72"/>
  <c r="G5" i="72"/>
  <c r="F5" i="72"/>
  <c r="E5" i="72"/>
  <c r="D5" i="72"/>
  <c r="K3" i="72"/>
  <c r="J3" i="72"/>
  <c r="I3" i="72"/>
  <c r="H3" i="72"/>
  <c r="G3" i="72"/>
  <c r="F3" i="72"/>
  <c r="E3" i="72"/>
  <c r="D3" i="72"/>
  <c r="F57" i="65"/>
  <c r="B2" i="67"/>
  <c r="B2" i="71"/>
  <c r="C93" i="70"/>
  <c r="F93" i="70" s="1"/>
  <c r="E76" i="62"/>
  <c r="E12" i="24"/>
  <c r="L14" i="72" l="1"/>
  <c r="L16" i="72"/>
  <c r="L12" i="72"/>
  <c r="L10" i="72"/>
  <c r="L534" i="64"/>
  <c r="L535" i="64"/>
  <c r="L536" i="64"/>
  <c r="L537" i="64"/>
  <c r="L538" i="64"/>
  <c r="L539" i="64"/>
  <c r="L540" i="64"/>
  <c r="L541" i="64"/>
  <c r="L542" i="64"/>
  <c r="L543" i="64"/>
  <c r="L544" i="64"/>
  <c r="L545" i="64"/>
  <c r="L546" i="64"/>
  <c r="L547" i="64"/>
  <c r="L548" i="64"/>
  <c r="L549" i="64"/>
  <c r="L550" i="64"/>
  <c r="L551" i="64"/>
  <c r="L552" i="64"/>
  <c r="L553" i="64"/>
  <c r="L554" i="64"/>
  <c r="L555" i="64"/>
  <c r="L556" i="64"/>
  <c r="L557" i="64"/>
  <c r="L558" i="64"/>
  <c r="L559" i="64"/>
  <c r="L560" i="64"/>
  <c r="L561" i="64"/>
  <c r="L562" i="64"/>
  <c r="L563" i="64"/>
  <c r="T15" i="66"/>
  <c r="C94" i="72" l="1"/>
  <c r="C95" i="72"/>
  <c r="C97" i="72"/>
  <c r="C98" i="72"/>
  <c r="C96" i="72"/>
  <c r="B2" i="68"/>
  <c r="C99" i="72" l="1"/>
  <c r="D99" i="72" s="1"/>
  <c r="C93" i="72"/>
  <c r="S15" i="66"/>
  <c r="R15" i="66"/>
  <c r="Q15" i="66"/>
  <c r="P15" i="66"/>
  <c r="O15" i="66"/>
  <c r="N15" i="66"/>
  <c r="M15" i="66"/>
  <c r="L15" i="66"/>
  <c r="K15" i="66"/>
  <c r="J13" i="66"/>
  <c r="AI15" i="66" l="1"/>
  <c r="AE15" i="66"/>
  <c r="AA15" i="66"/>
  <c r="AH15" i="66"/>
  <c r="AD15" i="66"/>
  <c r="Z15" i="66"/>
  <c r="AF15" i="66"/>
  <c r="AB15" i="66"/>
  <c r="AK15" i="66"/>
  <c r="AG15" i="66"/>
  <c r="AC15" i="66"/>
  <c r="AJ15" i="66"/>
  <c r="AN13" i="66"/>
  <c r="D95" i="72"/>
  <c r="D96" i="72"/>
  <c r="D98" i="72"/>
  <c r="D97" i="72"/>
  <c r="D94" i="72"/>
  <c r="C100" i="72"/>
  <c r="E93" i="72" s="1"/>
  <c r="D93" i="72"/>
  <c r="C94" i="70"/>
  <c r="AN15" i="66"/>
  <c r="F24" i="65"/>
  <c r="F77" i="65" s="1"/>
  <c r="C97" i="70" l="1"/>
  <c r="F94" i="70"/>
  <c r="E98" i="72"/>
  <c r="E95" i="72"/>
  <c r="E96" i="72"/>
  <c r="E94" i="72"/>
  <c r="E97" i="72"/>
  <c r="E1035" i="64"/>
  <c r="L533" i="64"/>
  <c r="L532" i="64"/>
  <c r="L531" i="64"/>
  <c r="L530" i="64"/>
  <c r="L529" i="64"/>
  <c r="L528" i="64"/>
  <c r="L527" i="64"/>
  <c r="L526" i="64"/>
  <c r="L525" i="64"/>
  <c r="L524" i="64"/>
  <c r="L523" i="64"/>
  <c r="L522" i="64"/>
  <c r="L521" i="64"/>
  <c r="L520" i="64"/>
  <c r="L519" i="64"/>
  <c r="L518" i="64"/>
  <c r="L517" i="64"/>
  <c r="L516" i="64"/>
  <c r="L515" i="64"/>
  <c r="L514" i="64"/>
  <c r="L513" i="64"/>
  <c r="L512" i="64"/>
  <c r="L511" i="64"/>
  <c r="L510" i="64"/>
  <c r="L509" i="64"/>
  <c r="L508" i="64"/>
  <c r="L507" i="64"/>
  <c r="L506" i="64"/>
  <c r="L505" i="64"/>
  <c r="L504" i="64"/>
  <c r="L503" i="64"/>
  <c r="L502" i="64"/>
  <c r="L501" i="64"/>
  <c r="L500" i="64"/>
  <c r="L499" i="64"/>
  <c r="L498" i="64"/>
  <c r="L497" i="64"/>
  <c r="L496" i="64"/>
  <c r="L495" i="64"/>
  <c r="L494" i="64"/>
  <c r="L493" i="64"/>
  <c r="L492" i="64"/>
  <c r="L491" i="64"/>
  <c r="L490" i="64"/>
  <c r="L489" i="64"/>
  <c r="L488" i="64"/>
  <c r="L487" i="64"/>
  <c r="L486" i="64"/>
  <c r="L485" i="64"/>
  <c r="L484" i="64"/>
  <c r="L483" i="64"/>
  <c r="L482" i="64"/>
  <c r="L481" i="64"/>
  <c r="L480" i="64"/>
  <c r="L479" i="64"/>
  <c r="L478" i="64"/>
  <c r="L477" i="64"/>
  <c r="L476" i="64"/>
  <c r="L475" i="64"/>
  <c r="L474" i="64"/>
  <c r="L473" i="64"/>
  <c r="L472" i="64"/>
  <c r="L471" i="64"/>
  <c r="L470" i="64"/>
  <c r="L469" i="64"/>
  <c r="L468" i="64"/>
  <c r="L467" i="64"/>
  <c r="L466" i="64"/>
  <c r="L465" i="64"/>
  <c r="L464" i="64"/>
  <c r="L463" i="64"/>
  <c r="L462" i="64"/>
  <c r="L461" i="64"/>
  <c r="L460" i="64"/>
  <c r="L459" i="64"/>
  <c r="L458" i="64"/>
  <c r="L457" i="64"/>
  <c r="L456" i="64"/>
  <c r="L455" i="64"/>
  <c r="L454" i="64"/>
  <c r="L453" i="64"/>
  <c r="L452" i="64"/>
  <c r="L451" i="64"/>
  <c r="L450" i="64"/>
  <c r="L449" i="64"/>
  <c r="L448" i="64"/>
  <c r="L447" i="64"/>
  <c r="L446" i="64"/>
  <c r="L445" i="64"/>
  <c r="L444" i="64"/>
  <c r="L443" i="64"/>
  <c r="L442" i="64"/>
  <c r="L441" i="64"/>
  <c r="L440" i="64"/>
  <c r="L439" i="64"/>
  <c r="L438" i="64"/>
  <c r="L437" i="64"/>
  <c r="L436" i="64"/>
  <c r="L435" i="64"/>
  <c r="L434" i="64"/>
  <c r="L433" i="64"/>
  <c r="L432" i="64"/>
  <c r="L431" i="64"/>
  <c r="L430" i="64"/>
  <c r="L429" i="64"/>
  <c r="L428" i="64"/>
  <c r="L427" i="64"/>
  <c r="L426" i="64"/>
  <c r="L425" i="64"/>
  <c r="L424" i="64"/>
  <c r="L423" i="64"/>
  <c r="L422" i="64"/>
  <c r="L421" i="64"/>
  <c r="L420" i="64"/>
  <c r="L419" i="64"/>
  <c r="L418" i="64"/>
  <c r="L417" i="64"/>
  <c r="L416" i="64"/>
  <c r="L415" i="64"/>
  <c r="L414" i="64"/>
  <c r="L413" i="64"/>
  <c r="L412" i="64"/>
  <c r="L411" i="64"/>
  <c r="L410" i="64"/>
  <c r="L409" i="64"/>
  <c r="L408" i="64"/>
  <c r="L407" i="64"/>
  <c r="L406" i="64"/>
  <c r="L405" i="64"/>
  <c r="L404" i="64"/>
  <c r="L403" i="64"/>
  <c r="L402" i="64"/>
  <c r="L401" i="64"/>
  <c r="L400" i="64"/>
  <c r="L399" i="64"/>
  <c r="L398" i="64"/>
  <c r="L397" i="64"/>
  <c r="L396" i="64"/>
  <c r="L395" i="64"/>
  <c r="L394" i="64"/>
  <c r="L393" i="64"/>
  <c r="L392" i="64"/>
  <c r="L391" i="64"/>
  <c r="L390" i="64"/>
  <c r="L389" i="64"/>
  <c r="L388" i="64"/>
  <c r="L387" i="64"/>
  <c r="L386" i="64"/>
  <c r="L385" i="64"/>
  <c r="L384" i="64"/>
  <c r="L383" i="64"/>
  <c r="L382" i="64"/>
  <c r="L381" i="64"/>
  <c r="L380" i="64"/>
  <c r="L379" i="64"/>
  <c r="L378" i="64"/>
  <c r="L377" i="64"/>
  <c r="L376" i="64"/>
  <c r="L375" i="64"/>
  <c r="L374" i="64"/>
  <c r="L373" i="64"/>
  <c r="L372" i="64"/>
  <c r="L371" i="64"/>
  <c r="L370" i="64"/>
  <c r="L369" i="64"/>
  <c r="L368" i="64"/>
  <c r="L367" i="64"/>
  <c r="L366" i="64"/>
  <c r="L365" i="64"/>
  <c r="L364" i="64"/>
  <c r="L363" i="64"/>
  <c r="L362" i="64"/>
  <c r="L361" i="64"/>
  <c r="L360" i="64"/>
  <c r="L359" i="64"/>
  <c r="L358" i="64"/>
  <c r="L357" i="64"/>
  <c r="L356" i="64"/>
  <c r="L355" i="64"/>
  <c r="L354" i="64"/>
  <c r="L353" i="64"/>
  <c r="L352" i="64"/>
  <c r="L351" i="64"/>
  <c r="L350" i="64"/>
  <c r="L349" i="64"/>
  <c r="L348" i="64"/>
  <c r="L347" i="64"/>
  <c r="L346" i="64"/>
  <c r="L345" i="64"/>
  <c r="L344" i="64"/>
  <c r="L343" i="64"/>
  <c r="L342" i="64"/>
  <c r="L341" i="64"/>
  <c r="L340" i="64"/>
  <c r="L339" i="64"/>
  <c r="L338" i="64"/>
  <c r="L337" i="64"/>
  <c r="L336" i="64"/>
  <c r="L335" i="64"/>
  <c r="L334" i="64"/>
  <c r="L333" i="64"/>
  <c r="L332" i="64"/>
  <c r="L331" i="64"/>
  <c r="L330" i="64"/>
  <c r="L329" i="64"/>
  <c r="L328" i="64"/>
  <c r="L327" i="64"/>
  <c r="L326" i="64"/>
  <c r="L325" i="64"/>
  <c r="L324" i="64"/>
  <c r="L323" i="64"/>
  <c r="L322" i="64"/>
  <c r="L321" i="64"/>
  <c r="L320" i="64"/>
  <c r="L319" i="64"/>
  <c r="L318" i="64"/>
  <c r="L317" i="64"/>
  <c r="L316" i="64"/>
  <c r="L315" i="64"/>
  <c r="L314" i="64"/>
  <c r="L313" i="64"/>
  <c r="L312" i="64"/>
  <c r="L311" i="64"/>
  <c r="L310" i="64"/>
  <c r="L309" i="64"/>
  <c r="L308" i="64"/>
  <c r="L307" i="64"/>
  <c r="L306" i="64"/>
  <c r="L305" i="64"/>
  <c r="L304" i="64"/>
  <c r="L303" i="64"/>
  <c r="L302" i="64"/>
  <c r="L301" i="64"/>
  <c r="L300" i="64"/>
  <c r="L299" i="64"/>
  <c r="L298" i="64"/>
  <c r="L297" i="64"/>
  <c r="L296" i="64"/>
  <c r="L295" i="64"/>
  <c r="L294" i="64"/>
  <c r="L293" i="64"/>
  <c r="L292" i="64"/>
  <c r="L291" i="64"/>
  <c r="L290" i="64"/>
  <c r="L289" i="64"/>
  <c r="L288" i="64"/>
  <c r="L287" i="64"/>
  <c r="L286" i="64"/>
  <c r="L285" i="64"/>
  <c r="L284" i="64"/>
  <c r="L283" i="64"/>
  <c r="L282" i="64"/>
  <c r="L281" i="64"/>
  <c r="L280" i="64"/>
  <c r="L279" i="64"/>
  <c r="L278" i="64"/>
  <c r="L277" i="64"/>
  <c r="L276" i="64"/>
  <c r="L275" i="64"/>
  <c r="L274" i="64"/>
  <c r="L273" i="64"/>
  <c r="L272" i="64"/>
  <c r="L271" i="64"/>
  <c r="L270" i="64"/>
  <c r="L269" i="64"/>
  <c r="L268" i="64"/>
  <c r="L267" i="64"/>
  <c r="L266" i="64"/>
  <c r="L265" i="64"/>
  <c r="L264" i="64"/>
  <c r="L263" i="64"/>
  <c r="L262" i="64"/>
  <c r="L261" i="64"/>
  <c r="L260" i="64"/>
  <c r="L259" i="64"/>
  <c r="L258" i="64"/>
  <c r="L257" i="64"/>
  <c r="L256" i="64"/>
  <c r="L255" i="64"/>
  <c r="L254" i="64"/>
  <c r="L253" i="64"/>
  <c r="L252" i="64"/>
  <c r="L251" i="64"/>
  <c r="L250" i="64"/>
  <c r="L249" i="64"/>
  <c r="L248" i="64"/>
  <c r="L247" i="64"/>
  <c r="L246" i="64"/>
  <c r="L245" i="64"/>
  <c r="L244" i="64"/>
  <c r="L243" i="64"/>
  <c r="L242" i="64"/>
  <c r="L241" i="64"/>
  <c r="L240" i="64"/>
  <c r="L239" i="64"/>
  <c r="L238" i="64"/>
  <c r="L237" i="64"/>
  <c r="L236" i="64"/>
  <c r="L235" i="64"/>
  <c r="L234" i="64"/>
  <c r="L233" i="64"/>
  <c r="L232" i="64"/>
  <c r="L231" i="64"/>
  <c r="L230" i="64"/>
  <c r="L229" i="64"/>
  <c r="L228" i="64"/>
  <c r="L227" i="64"/>
  <c r="L226" i="64"/>
  <c r="L225" i="64"/>
  <c r="L224" i="64"/>
  <c r="L223" i="64"/>
  <c r="L222" i="64"/>
  <c r="L221" i="64"/>
  <c r="L220" i="64"/>
  <c r="L219" i="64"/>
  <c r="L218" i="64"/>
  <c r="L217" i="64"/>
  <c r="L216" i="64"/>
  <c r="L215" i="64"/>
  <c r="L214" i="64"/>
  <c r="L213" i="64"/>
  <c r="L212" i="64"/>
  <c r="L211" i="64"/>
  <c r="L210" i="64"/>
  <c r="L209" i="64"/>
  <c r="L208" i="64"/>
  <c r="L207" i="64"/>
  <c r="L206" i="64"/>
  <c r="L205" i="64"/>
  <c r="L204" i="64"/>
  <c r="L203" i="64"/>
  <c r="L202" i="64"/>
  <c r="L201" i="64"/>
  <c r="L200" i="64"/>
  <c r="L199" i="64"/>
  <c r="L198" i="64"/>
  <c r="L197" i="64"/>
  <c r="L196" i="64"/>
  <c r="L195" i="64"/>
  <c r="L194" i="64"/>
  <c r="L193" i="64"/>
  <c r="L192" i="64"/>
  <c r="L191" i="64"/>
  <c r="L190" i="64"/>
  <c r="L189" i="64"/>
  <c r="L188" i="64"/>
  <c r="L187" i="64"/>
  <c r="L186" i="64"/>
  <c r="L185" i="64"/>
  <c r="L184" i="64"/>
  <c r="L183" i="64"/>
  <c r="L182" i="64"/>
  <c r="L181" i="64"/>
  <c r="L180" i="64"/>
  <c r="L179" i="64"/>
  <c r="L178" i="64"/>
  <c r="L177" i="64"/>
  <c r="L176" i="64"/>
  <c r="L175" i="64"/>
  <c r="L174" i="64"/>
  <c r="L173" i="64"/>
  <c r="L172" i="64"/>
  <c r="L171" i="64"/>
  <c r="L170" i="64"/>
  <c r="L169" i="64"/>
  <c r="L168" i="64"/>
  <c r="L167" i="64"/>
  <c r="L166" i="64"/>
  <c r="L165" i="64"/>
  <c r="L164" i="64"/>
  <c r="L163" i="64"/>
  <c r="L162" i="64"/>
  <c r="L161" i="64"/>
  <c r="L160" i="64"/>
  <c r="L159" i="64"/>
  <c r="L158" i="64"/>
  <c r="L157" i="64"/>
  <c r="L156" i="64"/>
  <c r="L155" i="64"/>
  <c r="L154" i="64"/>
  <c r="L153" i="64"/>
  <c r="L152" i="64"/>
  <c r="L151" i="64"/>
  <c r="L150" i="64"/>
  <c r="L149" i="64"/>
  <c r="L148" i="64"/>
  <c r="L147" i="64"/>
  <c r="L146" i="64"/>
  <c r="L145" i="64"/>
  <c r="L144" i="64"/>
  <c r="L143" i="64"/>
  <c r="L142" i="64"/>
  <c r="L141" i="64"/>
  <c r="L140" i="64"/>
  <c r="L139" i="64"/>
  <c r="L138" i="64"/>
  <c r="L137" i="64"/>
  <c r="L136" i="64"/>
  <c r="L135" i="64"/>
  <c r="L134" i="64"/>
  <c r="L133" i="64"/>
  <c r="L132" i="64"/>
  <c r="L131" i="64"/>
  <c r="L130" i="64"/>
  <c r="L129" i="64"/>
  <c r="L128" i="64"/>
  <c r="L127" i="64"/>
  <c r="L126" i="64"/>
  <c r="L125" i="64"/>
  <c r="L124" i="64"/>
  <c r="L123" i="64"/>
  <c r="L122" i="64"/>
  <c r="L121" i="64"/>
  <c r="L120" i="64"/>
  <c r="L119" i="64"/>
  <c r="L118" i="64"/>
  <c r="L117" i="64"/>
  <c r="L116" i="64"/>
  <c r="L115" i="64"/>
  <c r="L114" i="64"/>
  <c r="L113" i="64"/>
  <c r="L112" i="64"/>
  <c r="L111" i="64"/>
  <c r="L110" i="64"/>
  <c r="L109" i="64"/>
  <c r="L108" i="64"/>
  <c r="L107" i="64"/>
  <c r="L106" i="64"/>
  <c r="L105" i="64"/>
  <c r="L104" i="64"/>
  <c r="L103" i="64"/>
  <c r="L102" i="64"/>
  <c r="L101" i="64"/>
  <c r="L100" i="64"/>
  <c r="L99" i="64"/>
  <c r="L98" i="64"/>
  <c r="L97" i="64"/>
  <c r="L96" i="64"/>
  <c r="L95" i="64"/>
  <c r="L94" i="64"/>
  <c r="L93" i="64"/>
  <c r="L92" i="64"/>
  <c r="L91" i="64"/>
  <c r="L90" i="64"/>
  <c r="L89" i="64"/>
  <c r="L88" i="64"/>
  <c r="L87" i="64"/>
  <c r="L86" i="64"/>
  <c r="L85" i="64"/>
  <c r="L84" i="64"/>
  <c r="L83" i="64"/>
  <c r="L82" i="64"/>
  <c r="L81" i="64"/>
  <c r="L80" i="64"/>
  <c r="L79" i="64"/>
  <c r="L78" i="64"/>
  <c r="L77" i="64"/>
  <c r="L76" i="64"/>
  <c r="L75" i="64"/>
  <c r="L74" i="64"/>
  <c r="L73" i="64"/>
  <c r="L72" i="64"/>
  <c r="L71" i="64"/>
  <c r="L70" i="64"/>
  <c r="L69" i="64"/>
  <c r="L68" i="64"/>
  <c r="L67" i="64"/>
  <c r="L66" i="64"/>
  <c r="L65" i="64"/>
  <c r="L64" i="64"/>
  <c r="L63" i="64"/>
  <c r="L62" i="64"/>
  <c r="L61" i="64"/>
  <c r="L60" i="64"/>
  <c r="L59" i="64"/>
  <c r="L58" i="64"/>
  <c r="L57" i="64"/>
  <c r="L56" i="64"/>
  <c r="L55" i="64"/>
  <c r="L54" i="64"/>
  <c r="L53" i="64"/>
  <c r="L52" i="64"/>
  <c r="L51" i="64"/>
  <c r="L50" i="64"/>
  <c r="L49" i="64"/>
  <c r="L48" i="64"/>
  <c r="L47" i="64"/>
  <c r="L46" i="64"/>
  <c r="L45" i="64"/>
  <c r="L44" i="64"/>
  <c r="L43" i="64"/>
  <c r="L42" i="64"/>
  <c r="L41" i="64"/>
  <c r="L40" i="64"/>
  <c r="L39" i="64"/>
  <c r="L38" i="64"/>
  <c r="L37" i="64"/>
  <c r="L36" i="64"/>
  <c r="L35" i="64"/>
  <c r="L34" i="64"/>
  <c r="L33" i="64"/>
  <c r="L32" i="64"/>
  <c r="L31" i="64"/>
  <c r="L30" i="64"/>
  <c r="L29" i="64"/>
  <c r="L28" i="64"/>
  <c r="L27" i="64"/>
  <c r="L26" i="64"/>
  <c r="L25" i="64"/>
  <c r="L24" i="64"/>
  <c r="L23" i="64"/>
  <c r="L22" i="64"/>
  <c r="L21" i="64"/>
  <c r="L20" i="64"/>
  <c r="L19" i="64"/>
  <c r="L18" i="64"/>
  <c r="L17" i="64"/>
  <c r="L16" i="64"/>
  <c r="L15" i="64"/>
  <c r="L14" i="64"/>
  <c r="L13" i="64"/>
  <c r="L12" i="64"/>
  <c r="L11" i="64"/>
  <c r="L10" i="64"/>
  <c r="B10" i="64"/>
  <c r="B11" i="64" s="1"/>
  <c r="L9" i="64"/>
  <c r="D9" i="64"/>
  <c r="C9" i="64"/>
  <c r="L8" i="64"/>
  <c r="D8" i="64"/>
  <c r="C8" i="64"/>
  <c r="L7" i="64"/>
  <c r="K7" i="64"/>
  <c r="D7" i="64"/>
  <c r="C7" i="64"/>
  <c r="C100" i="70" l="1"/>
  <c r="F97" i="70"/>
  <c r="M7" i="64"/>
  <c r="K8" i="64"/>
  <c r="M8" i="64" s="1"/>
  <c r="C11" i="64"/>
  <c r="B12" i="64"/>
  <c r="D11" i="64"/>
  <c r="C10" i="64"/>
  <c r="D10" i="64"/>
  <c r="F100" i="70" l="1"/>
  <c r="F103" i="70" s="1"/>
  <c r="C103" i="70"/>
  <c r="K9" i="64"/>
  <c r="K10" i="64" s="1"/>
  <c r="B13" i="64"/>
  <c r="D12" i="64"/>
  <c r="C12" i="64"/>
  <c r="M9" i="64" l="1"/>
  <c r="K11" i="64"/>
  <c r="M10" i="64"/>
  <c r="C13" i="64"/>
  <c r="B14" i="64"/>
  <c r="D13" i="64"/>
  <c r="B15" i="64" l="1"/>
  <c r="D14" i="64"/>
  <c r="C14" i="64"/>
  <c r="K12" i="64"/>
  <c r="M11" i="64"/>
  <c r="K13" i="64" l="1"/>
  <c r="M12" i="64"/>
  <c r="C15" i="64"/>
  <c r="B16" i="64"/>
  <c r="D15" i="64"/>
  <c r="B17" i="64" l="1"/>
  <c r="D16" i="64"/>
  <c r="C16" i="64"/>
  <c r="K14" i="64"/>
  <c r="M13" i="64"/>
  <c r="K15" i="64" l="1"/>
  <c r="M14" i="64"/>
  <c r="C17" i="64"/>
  <c r="B18" i="64"/>
  <c r="D17" i="64"/>
  <c r="B19" i="64" l="1"/>
  <c r="D18" i="64"/>
  <c r="C18" i="64"/>
  <c r="K16" i="64"/>
  <c r="M15" i="64"/>
  <c r="K17" i="64" l="1"/>
  <c r="M16" i="64"/>
  <c r="C19" i="64"/>
  <c r="B20" i="64"/>
  <c r="D19" i="64"/>
  <c r="B21" i="64" l="1"/>
  <c r="D20" i="64"/>
  <c r="C20" i="64"/>
  <c r="K18" i="64"/>
  <c r="M17" i="64"/>
  <c r="K19" i="64" l="1"/>
  <c r="M18" i="64"/>
  <c r="C21" i="64"/>
  <c r="B22" i="64"/>
  <c r="D21" i="64"/>
  <c r="B23" i="64" l="1"/>
  <c r="D22" i="64"/>
  <c r="C22" i="64"/>
  <c r="K20" i="64"/>
  <c r="M19" i="64"/>
  <c r="K21" i="64" l="1"/>
  <c r="M20" i="64"/>
  <c r="C23" i="64"/>
  <c r="B24" i="64"/>
  <c r="D23" i="64"/>
  <c r="B25" i="64" l="1"/>
  <c r="D24" i="64"/>
  <c r="C24" i="64"/>
  <c r="K22" i="64"/>
  <c r="M21" i="64"/>
  <c r="K23" i="64" l="1"/>
  <c r="M22" i="64"/>
  <c r="C25" i="64"/>
  <c r="B26" i="64"/>
  <c r="D25" i="64"/>
  <c r="B27" i="64" l="1"/>
  <c r="D26" i="64"/>
  <c r="C26" i="64"/>
  <c r="K24" i="64"/>
  <c r="M23" i="64"/>
  <c r="K25" i="64" l="1"/>
  <c r="M24" i="64"/>
  <c r="C27" i="64"/>
  <c r="B28" i="64"/>
  <c r="D27" i="64"/>
  <c r="B29" i="64" l="1"/>
  <c r="D28" i="64"/>
  <c r="C28" i="64"/>
  <c r="K26" i="64"/>
  <c r="M25" i="64"/>
  <c r="K27" i="64" l="1"/>
  <c r="M26" i="64"/>
  <c r="C29" i="64"/>
  <c r="B30" i="64"/>
  <c r="D29" i="64"/>
  <c r="B31" i="64" l="1"/>
  <c r="D30" i="64"/>
  <c r="C30" i="64"/>
  <c r="K28" i="64"/>
  <c r="M27" i="64"/>
  <c r="K29" i="64" l="1"/>
  <c r="M28" i="64"/>
  <c r="C31" i="64"/>
  <c r="B32" i="64"/>
  <c r="D31" i="64"/>
  <c r="B33" i="64" l="1"/>
  <c r="D32" i="64"/>
  <c r="C32" i="64"/>
  <c r="K30" i="64"/>
  <c r="M29" i="64"/>
  <c r="K31" i="64" l="1"/>
  <c r="M30" i="64"/>
  <c r="C33" i="64"/>
  <c r="B34" i="64"/>
  <c r="D33" i="64"/>
  <c r="B35" i="64" l="1"/>
  <c r="D34" i="64"/>
  <c r="C34" i="64"/>
  <c r="K32" i="64"/>
  <c r="M31" i="64"/>
  <c r="K33" i="64" l="1"/>
  <c r="M32" i="64"/>
  <c r="C35" i="64"/>
  <c r="B36" i="64"/>
  <c r="D35" i="64"/>
  <c r="B37" i="64" l="1"/>
  <c r="D36" i="64"/>
  <c r="C36" i="64"/>
  <c r="K34" i="64"/>
  <c r="M33" i="64"/>
  <c r="K35" i="64" l="1"/>
  <c r="M34" i="64"/>
  <c r="C37" i="64"/>
  <c r="B38" i="64"/>
  <c r="D37" i="64"/>
  <c r="B39" i="64" l="1"/>
  <c r="D38" i="64"/>
  <c r="C38" i="64"/>
  <c r="K36" i="64"/>
  <c r="M35" i="64"/>
  <c r="K37" i="64" l="1"/>
  <c r="M36" i="64"/>
  <c r="C39" i="64"/>
  <c r="B40" i="64"/>
  <c r="D39" i="64"/>
  <c r="B41" i="64" l="1"/>
  <c r="D40" i="64"/>
  <c r="C40" i="64"/>
  <c r="K38" i="64"/>
  <c r="M37" i="64"/>
  <c r="K39" i="64" l="1"/>
  <c r="M38" i="64"/>
  <c r="C41" i="64"/>
  <c r="B42" i="64"/>
  <c r="D41" i="64"/>
  <c r="K40" i="64" l="1"/>
  <c r="M39" i="64"/>
  <c r="B43" i="64"/>
  <c r="D42" i="64"/>
  <c r="C42" i="64"/>
  <c r="K41" i="64" l="1"/>
  <c r="M40" i="64"/>
  <c r="C43" i="64"/>
  <c r="B44" i="64"/>
  <c r="D43" i="64"/>
  <c r="K42" i="64" l="1"/>
  <c r="M41" i="64"/>
  <c r="B45" i="64"/>
  <c r="D44" i="64"/>
  <c r="C44" i="64"/>
  <c r="C45" i="64" l="1"/>
  <c r="B46" i="64"/>
  <c r="D45" i="64"/>
  <c r="K43" i="64"/>
  <c r="M42" i="64"/>
  <c r="M43" i="64" l="1"/>
  <c r="K44" i="64"/>
  <c r="B47" i="64"/>
  <c r="D46" i="64"/>
  <c r="C46" i="64"/>
  <c r="C47" i="64" l="1"/>
  <c r="B48" i="64"/>
  <c r="D47" i="64"/>
  <c r="M44" i="64"/>
  <c r="K45" i="64"/>
  <c r="B49" i="64" l="1"/>
  <c r="D48" i="64"/>
  <c r="C48" i="64"/>
  <c r="K46" i="64"/>
  <c r="M45" i="64"/>
  <c r="M46" i="64" l="1"/>
  <c r="K47" i="64"/>
  <c r="C49" i="64"/>
  <c r="D49" i="64"/>
  <c r="B50" i="64"/>
  <c r="K48" i="64" l="1"/>
  <c r="M47" i="64"/>
  <c r="B51" i="64"/>
  <c r="D50" i="64"/>
  <c r="C50" i="64"/>
  <c r="C51" i="64" l="1"/>
  <c r="D51" i="64"/>
  <c r="B52" i="64"/>
  <c r="K49" i="64"/>
  <c r="M48" i="64"/>
  <c r="K50" i="64" l="1"/>
  <c r="M49" i="64"/>
  <c r="B53" i="64"/>
  <c r="D52" i="64"/>
  <c r="C52" i="64"/>
  <c r="C53" i="64" l="1"/>
  <c r="B54" i="64"/>
  <c r="D53" i="64"/>
  <c r="K51" i="64"/>
  <c r="M50" i="64"/>
  <c r="K52" i="64" l="1"/>
  <c r="M51" i="64"/>
  <c r="B55" i="64"/>
  <c r="D54" i="64"/>
  <c r="C54" i="64"/>
  <c r="C55" i="64" l="1"/>
  <c r="B56" i="64"/>
  <c r="D55" i="64"/>
  <c r="M52" i="64"/>
  <c r="K53" i="64"/>
  <c r="B57" i="64" l="1"/>
  <c r="D56" i="64"/>
  <c r="C56" i="64"/>
  <c r="K54" i="64"/>
  <c r="M53" i="64"/>
  <c r="M54" i="64" l="1"/>
  <c r="K55" i="64"/>
  <c r="C57" i="64"/>
  <c r="D57" i="64"/>
  <c r="B58" i="64"/>
  <c r="K56" i="64" l="1"/>
  <c r="M55" i="64"/>
  <c r="B59" i="64"/>
  <c r="D58" i="64"/>
  <c r="C58" i="64"/>
  <c r="C59" i="64" l="1"/>
  <c r="D59" i="64"/>
  <c r="B60" i="64"/>
  <c r="K57" i="64"/>
  <c r="M56" i="64"/>
  <c r="K58" i="64" l="1"/>
  <c r="M57" i="64"/>
  <c r="B61" i="64"/>
  <c r="D60" i="64"/>
  <c r="C60" i="64"/>
  <c r="K59" i="64" l="1"/>
  <c r="M58" i="64"/>
  <c r="C61" i="64"/>
  <c r="B62" i="64"/>
  <c r="D61" i="64"/>
  <c r="B63" i="64" l="1"/>
  <c r="D62" i="64"/>
  <c r="C62" i="64"/>
  <c r="K60" i="64"/>
  <c r="M59" i="64"/>
  <c r="M60" i="64" l="1"/>
  <c r="K61" i="64"/>
  <c r="C63" i="64"/>
  <c r="B64" i="64"/>
  <c r="D63" i="64"/>
  <c r="B65" i="64" l="1"/>
  <c r="D64" i="64"/>
  <c r="C64" i="64"/>
  <c r="K62" i="64"/>
  <c r="M61" i="64"/>
  <c r="M62" i="64" l="1"/>
  <c r="K63" i="64"/>
  <c r="C65" i="64"/>
  <c r="D65" i="64"/>
  <c r="B66" i="64"/>
  <c r="K64" i="64" l="1"/>
  <c r="M63" i="64"/>
  <c r="B67" i="64"/>
  <c r="D66" i="64"/>
  <c r="C66" i="64"/>
  <c r="C67" i="64" l="1"/>
  <c r="D67" i="64"/>
  <c r="B68" i="64"/>
  <c r="K65" i="64"/>
  <c r="M64" i="64"/>
  <c r="K66" i="64" l="1"/>
  <c r="M65" i="64"/>
  <c r="B69" i="64"/>
  <c r="D68" i="64"/>
  <c r="C68" i="64"/>
  <c r="C69" i="64" l="1"/>
  <c r="B70" i="64"/>
  <c r="D69" i="64"/>
  <c r="K67" i="64"/>
  <c r="M66" i="64"/>
  <c r="B71" i="64" l="1"/>
  <c r="D70" i="64"/>
  <c r="C70" i="64"/>
  <c r="K68" i="64"/>
  <c r="M67" i="64"/>
  <c r="M68" i="64" l="1"/>
  <c r="K69" i="64"/>
  <c r="C71" i="64"/>
  <c r="B72" i="64"/>
  <c r="D71" i="64"/>
  <c r="B73" i="64" l="1"/>
  <c r="D72" i="64"/>
  <c r="C72" i="64"/>
  <c r="K70" i="64"/>
  <c r="M69" i="64"/>
  <c r="M70" i="64" l="1"/>
  <c r="K71" i="64"/>
  <c r="C73" i="64"/>
  <c r="D73" i="64"/>
  <c r="B74" i="64"/>
  <c r="K72" i="64" l="1"/>
  <c r="M71" i="64"/>
  <c r="B75" i="64"/>
  <c r="D74" i="64"/>
  <c r="C74" i="64"/>
  <c r="C75" i="64" l="1"/>
  <c r="D75" i="64"/>
  <c r="B76" i="64"/>
  <c r="K73" i="64"/>
  <c r="M72" i="64"/>
  <c r="B77" i="64" l="1"/>
  <c r="D76" i="64"/>
  <c r="C76" i="64"/>
  <c r="K74" i="64"/>
  <c r="M73" i="64"/>
  <c r="K75" i="64" l="1"/>
  <c r="M74" i="64"/>
  <c r="C77" i="64"/>
  <c r="B78" i="64"/>
  <c r="D77" i="64"/>
  <c r="B79" i="64" l="1"/>
  <c r="D78" i="64"/>
  <c r="C78" i="64"/>
  <c r="K76" i="64"/>
  <c r="M75" i="64"/>
  <c r="M76" i="64" l="1"/>
  <c r="K77" i="64"/>
  <c r="C79" i="64"/>
  <c r="B80" i="64"/>
  <c r="D79" i="64"/>
  <c r="K78" i="64" l="1"/>
  <c r="M77" i="64"/>
  <c r="B81" i="64"/>
  <c r="D80" i="64"/>
  <c r="C80" i="64"/>
  <c r="C81" i="64" l="1"/>
  <c r="D81" i="64"/>
  <c r="B82" i="64"/>
  <c r="M78" i="64"/>
  <c r="K79" i="64"/>
  <c r="B83" i="64" l="1"/>
  <c r="D82" i="64"/>
  <c r="C82" i="64"/>
  <c r="K80" i="64"/>
  <c r="M79" i="64"/>
  <c r="K81" i="64" l="1"/>
  <c r="M80" i="64"/>
  <c r="C83" i="64"/>
  <c r="D83" i="64"/>
  <c r="B84" i="64"/>
  <c r="B85" i="64" l="1"/>
  <c r="D84" i="64"/>
  <c r="C84" i="64"/>
  <c r="K82" i="64"/>
  <c r="M81" i="64"/>
  <c r="C85" i="64" l="1"/>
  <c r="B86" i="64"/>
  <c r="D85" i="64"/>
  <c r="K83" i="64"/>
  <c r="M82" i="64"/>
  <c r="K84" i="64" l="1"/>
  <c r="M83" i="64"/>
  <c r="B87" i="64"/>
  <c r="D86" i="64"/>
  <c r="C86" i="64"/>
  <c r="C87" i="64" l="1"/>
  <c r="B88" i="64"/>
  <c r="D87" i="64"/>
  <c r="M84" i="64"/>
  <c r="K85" i="64"/>
  <c r="B89" i="64" l="1"/>
  <c r="D88" i="64"/>
  <c r="C88" i="64"/>
  <c r="K86" i="64"/>
  <c r="M85" i="64"/>
  <c r="M86" i="64" l="1"/>
  <c r="K87" i="64"/>
  <c r="C89" i="64"/>
  <c r="D89" i="64"/>
  <c r="B90" i="64"/>
  <c r="K88" i="64" l="1"/>
  <c r="M87" i="64"/>
  <c r="B91" i="64"/>
  <c r="D90" i="64"/>
  <c r="C90" i="64"/>
  <c r="C91" i="64" l="1"/>
  <c r="D91" i="64"/>
  <c r="B92" i="64"/>
  <c r="K89" i="64"/>
  <c r="M88" i="64"/>
  <c r="K90" i="64" l="1"/>
  <c r="M89" i="64"/>
  <c r="B93" i="64"/>
  <c r="D92" i="64"/>
  <c r="C92" i="64"/>
  <c r="C93" i="64" l="1"/>
  <c r="B94" i="64"/>
  <c r="D93" i="64"/>
  <c r="K91" i="64"/>
  <c r="M90" i="64"/>
  <c r="K92" i="64" l="1"/>
  <c r="M91" i="64"/>
  <c r="B95" i="64"/>
  <c r="D94" i="64"/>
  <c r="C94" i="64"/>
  <c r="C95" i="64" l="1"/>
  <c r="B96" i="64"/>
  <c r="D95" i="64"/>
  <c r="M92" i="64"/>
  <c r="K93" i="64"/>
  <c r="B97" i="64" l="1"/>
  <c r="D96" i="64"/>
  <c r="C96" i="64"/>
  <c r="K94" i="64"/>
  <c r="M93" i="64"/>
  <c r="M94" i="64" l="1"/>
  <c r="K95" i="64"/>
  <c r="C97" i="64"/>
  <c r="D97" i="64"/>
  <c r="B98" i="64"/>
  <c r="K96" i="64" l="1"/>
  <c r="M95" i="64"/>
  <c r="B99" i="64"/>
  <c r="D98" i="64"/>
  <c r="C98" i="64"/>
  <c r="C99" i="64" l="1"/>
  <c r="D99" i="64"/>
  <c r="B100" i="64"/>
  <c r="K97" i="64"/>
  <c r="M96" i="64"/>
  <c r="B101" i="64" l="1"/>
  <c r="D100" i="64"/>
  <c r="C100" i="64"/>
  <c r="K98" i="64"/>
  <c r="M97" i="64"/>
  <c r="K99" i="64" l="1"/>
  <c r="M98" i="64"/>
  <c r="C101" i="64"/>
  <c r="B102" i="64"/>
  <c r="D101" i="64"/>
  <c r="B103" i="64" l="1"/>
  <c r="D102" i="64"/>
  <c r="C102" i="64"/>
  <c r="K100" i="64"/>
  <c r="M99" i="64"/>
  <c r="M100" i="64" l="1"/>
  <c r="K101" i="64"/>
  <c r="C103" i="64"/>
  <c r="B104" i="64"/>
  <c r="D103" i="64"/>
  <c r="K102" i="64" l="1"/>
  <c r="M101" i="64"/>
  <c r="B105" i="64"/>
  <c r="D104" i="64"/>
  <c r="C104" i="64"/>
  <c r="C105" i="64" l="1"/>
  <c r="D105" i="64"/>
  <c r="B106" i="64"/>
  <c r="M102" i="64"/>
  <c r="K103" i="64"/>
  <c r="B107" i="64" l="1"/>
  <c r="D106" i="64"/>
  <c r="C106" i="64"/>
  <c r="K104" i="64"/>
  <c r="M103" i="64"/>
  <c r="K105" i="64" l="1"/>
  <c r="M104" i="64"/>
  <c r="C107" i="64"/>
  <c r="D107" i="64"/>
  <c r="B108" i="64"/>
  <c r="B109" i="64" l="1"/>
  <c r="D108" i="64"/>
  <c r="C108" i="64"/>
  <c r="K106" i="64"/>
  <c r="M105" i="64"/>
  <c r="K107" i="64" l="1"/>
  <c r="M106" i="64"/>
  <c r="C109" i="64"/>
  <c r="B110" i="64"/>
  <c r="D109" i="64"/>
  <c r="B111" i="64" l="1"/>
  <c r="D110" i="64"/>
  <c r="C110" i="64"/>
  <c r="K108" i="64"/>
  <c r="M107" i="64"/>
  <c r="M108" i="64" l="1"/>
  <c r="K109" i="64"/>
  <c r="C111" i="64"/>
  <c r="B112" i="64"/>
  <c r="D111" i="64"/>
  <c r="B113" i="64" l="1"/>
  <c r="D112" i="64"/>
  <c r="C112" i="64"/>
  <c r="K110" i="64"/>
  <c r="M109" i="64"/>
  <c r="M110" i="64" l="1"/>
  <c r="K111" i="64"/>
  <c r="C113" i="64"/>
  <c r="D113" i="64"/>
  <c r="B114" i="64"/>
  <c r="K112" i="64" l="1"/>
  <c r="M111" i="64"/>
  <c r="B115" i="64"/>
  <c r="D114" i="64"/>
  <c r="C114" i="64"/>
  <c r="C115" i="64" l="1"/>
  <c r="D115" i="64"/>
  <c r="B116" i="64"/>
  <c r="K113" i="64"/>
  <c r="M112" i="64"/>
  <c r="K114" i="64" l="1"/>
  <c r="M113" i="64"/>
  <c r="B117" i="64"/>
  <c r="D116" i="64"/>
  <c r="C116" i="64"/>
  <c r="C117" i="64" l="1"/>
  <c r="B118" i="64"/>
  <c r="D117" i="64"/>
  <c r="K115" i="64"/>
  <c r="M114" i="64"/>
  <c r="K116" i="64" l="1"/>
  <c r="M115" i="64"/>
  <c r="B119" i="64"/>
  <c r="D118" i="64"/>
  <c r="C118" i="64"/>
  <c r="C119" i="64" l="1"/>
  <c r="B120" i="64"/>
  <c r="D119" i="64"/>
  <c r="M116" i="64"/>
  <c r="K117" i="64"/>
  <c r="B121" i="64" l="1"/>
  <c r="D120" i="64"/>
  <c r="C120" i="64"/>
  <c r="K118" i="64"/>
  <c r="M117" i="64"/>
  <c r="M118" i="64" l="1"/>
  <c r="K119" i="64"/>
  <c r="C121" i="64"/>
  <c r="D121" i="64"/>
  <c r="B122" i="64"/>
  <c r="K120" i="64" l="1"/>
  <c r="M119" i="64"/>
  <c r="B123" i="64"/>
  <c r="D122" i="64"/>
  <c r="C122" i="64"/>
  <c r="C123" i="64" l="1"/>
  <c r="D123" i="64"/>
  <c r="B124" i="64"/>
  <c r="K121" i="64"/>
  <c r="M120" i="64"/>
  <c r="K122" i="64" l="1"/>
  <c r="M121" i="64"/>
  <c r="B125" i="64"/>
  <c r="D124" i="64"/>
  <c r="C124" i="64"/>
  <c r="C125" i="64" l="1"/>
  <c r="B126" i="64"/>
  <c r="D125" i="64"/>
  <c r="K123" i="64"/>
  <c r="M122" i="64"/>
  <c r="B127" i="64" l="1"/>
  <c r="D126" i="64"/>
  <c r="C126" i="64"/>
  <c r="K124" i="64"/>
  <c r="M123" i="64"/>
  <c r="M124" i="64" l="1"/>
  <c r="K125" i="64"/>
  <c r="C127" i="64"/>
  <c r="B128" i="64"/>
  <c r="D127" i="64"/>
  <c r="B129" i="64" l="1"/>
  <c r="D128" i="64"/>
  <c r="C128" i="64"/>
  <c r="K126" i="64"/>
  <c r="M125" i="64"/>
  <c r="M126" i="64" l="1"/>
  <c r="K127" i="64"/>
  <c r="C129" i="64"/>
  <c r="D129" i="64"/>
  <c r="B130" i="64"/>
  <c r="K128" i="64" l="1"/>
  <c r="M127" i="64"/>
  <c r="B131" i="64"/>
  <c r="D130" i="64"/>
  <c r="C130" i="64"/>
  <c r="C131" i="64" l="1"/>
  <c r="D131" i="64"/>
  <c r="B132" i="64"/>
  <c r="K129" i="64"/>
  <c r="M128" i="64"/>
  <c r="B133" i="64" l="1"/>
  <c r="D132" i="64"/>
  <c r="C132" i="64"/>
  <c r="K130" i="64"/>
  <c r="M129" i="64"/>
  <c r="K131" i="64" l="1"/>
  <c r="M130" i="64"/>
  <c r="C133" i="64"/>
  <c r="B134" i="64"/>
  <c r="D133" i="64"/>
  <c r="B135" i="64" l="1"/>
  <c r="D134" i="64"/>
  <c r="C134" i="64"/>
  <c r="K132" i="64"/>
  <c r="M131" i="64"/>
  <c r="M132" i="64" l="1"/>
  <c r="K133" i="64"/>
  <c r="C135" i="64"/>
  <c r="B136" i="64"/>
  <c r="D135" i="64"/>
  <c r="B137" i="64" l="1"/>
  <c r="D136" i="64"/>
  <c r="C136" i="64"/>
  <c r="K134" i="64"/>
  <c r="M133" i="64"/>
  <c r="M134" i="64" l="1"/>
  <c r="K135" i="64"/>
  <c r="C137" i="64"/>
  <c r="D137" i="64"/>
  <c r="B138" i="64"/>
  <c r="K136" i="64" l="1"/>
  <c r="M135" i="64"/>
  <c r="B139" i="64"/>
  <c r="D138" i="64"/>
  <c r="C138" i="64"/>
  <c r="C139" i="64" l="1"/>
  <c r="D139" i="64"/>
  <c r="B140" i="64"/>
  <c r="K137" i="64"/>
  <c r="M136" i="64"/>
  <c r="K138" i="64" l="1"/>
  <c r="M137" i="64"/>
  <c r="B141" i="64"/>
  <c r="D140" i="64"/>
  <c r="C140" i="64"/>
  <c r="C141" i="64" l="1"/>
  <c r="B142" i="64"/>
  <c r="D141" i="64"/>
  <c r="K139" i="64"/>
  <c r="M138" i="64"/>
  <c r="K140" i="64" l="1"/>
  <c r="M139" i="64"/>
  <c r="B143" i="64"/>
  <c r="D142" i="64"/>
  <c r="C142" i="64"/>
  <c r="C143" i="64" l="1"/>
  <c r="B144" i="64"/>
  <c r="D143" i="64"/>
  <c r="M140" i="64"/>
  <c r="K141" i="64"/>
  <c r="B145" i="64" l="1"/>
  <c r="D144" i="64"/>
  <c r="C144" i="64"/>
  <c r="K142" i="64"/>
  <c r="M141" i="64"/>
  <c r="M142" i="64" l="1"/>
  <c r="K143" i="64"/>
  <c r="C145" i="64"/>
  <c r="D145" i="64"/>
  <c r="B146" i="64"/>
  <c r="K144" i="64" l="1"/>
  <c r="M143" i="64"/>
  <c r="B147" i="64"/>
  <c r="D146" i="64"/>
  <c r="C146" i="64"/>
  <c r="C147" i="64" l="1"/>
  <c r="D147" i="64"/>
  <c r="B148" i="64"/>
  <c r="K145" i="64"/>
  <c r="M144" i="64"/>
  <c r="K146" i="64" l="1"/>
  <c r="M145" i="64"/>
  <c r="B149" i="64"/>
  <c r="D148" i="64"/>
  <c r="C148" i="64"/>
  <c r="C149" i="64" l="1"/>
  <c r="B150" i="64"/>
  <c r="D149" i="64"/>
  <c r="K147" i="64"/>
  <c r="M146" i="64"/>
  <c r="K148" i="64" l="1"/>
  <c r="M147" i="64"/>
  <c r="B151" i="64"/>
  <c r="D150" i="64"/>
  <c r="C150" i="64"/>
  <c r="C151" i="64" l="1"/>
  <c r="B152" i="64"/>
  <c r="D151" i="64"/>
  <c r="M148" i="64"/>
  <c r="K149" i="64"/>
  <c r="B153" i="64" l="1"/>
  <c r="D152" i="64"/>
  <c r="C152" i="64"/>
  <c r="K150" i="64"/>
  <c r="M149" i="64"/>
  <c r="M150" i="64" l="1"/>
  <c r="K151" i="64"/>
  <c r="C153" i="64"/>
  <c r="D153" i="64"/>
  <c r="B154" i="64"/>
  <c r="K152" i="64" l="1"/>
  <c r="M151" i="64"/>
  <c r="B155" i="64"/>
  <c r="D154" i="64"/>
  <c r="C154" i="64"/>
  <c r="C155" i="64" l="1"/>
  <c r="D155" i="64"/>
  <c r="B156" i="64"/>
  <c r="K153" i="64"/>
  <c r="M152" i="64"/>
  <c r="K154" i="64" l="1"/>
  <c r="M153" i="64"/>
  <c r="B157" i="64"/>
  <c r="D156" i="64"/>
  <c r="C156" i="64"/>
  <c r="C157" i="64" l="1"/>
  <c r="B158" i="64"/>
  <c r="D157" i="64"/>
  <c r="K155" i="64"/>
  <c r="M154" i="64"/>
  <c r="K156" i="64" l="1"/>
  <c r="M155" i="64"/>
  <c r="B159" i="64"/>
  <c r="D158" i="64"/>
  <c r="C158" i="64"/>
  <c r="C159" i="64" l="1"/>
  <c r="B160" i="64"/>
  <c r="D159" i="64"/>
  <c r="M156" i="64"/>
  <c r="K157" i="64"/>
  <c r="K158" i="64" l="1"/>
  <c r="M157" i="64"/>
  <c r="B161" i="64"/>
  <c r="D160" i="64"/>
  <c r="C160" i="64"/>
  <c r="C161" i="64" l="1"/>
  <c r="D161" i="64"/>
  <c r="B162" i="64"/>
  <c r="M158" i="64"/>
  <c r="K159" i="64"/>
  <c r="B163" i="64" l="1"/>
  <c r="D162" i="64"/>
  <c r="C162" i="64"/>
  <c r="K160" i="64"/>
  <c r="M159" i="64"/>
  <c r="K161" i="64" l="1"/>
  <c r="M160" i="64"/>
  <c r="C163" i="64"/>
  <c r="D163" i="64"/>
  <c r="B164" i="64"/>
  <c r="B165" i="64" l="1"/>
  <c r="D164" i="64"/>
  <c r="C164" i="64"/>
  <c r="K162" i="64"/>
  <c r="M161" i="64"/>
  <c r="K163" i="64" l="1"/>
  <c r="M162" i="64"/>
  <c r="C165" i="64"/>
  <c r="B166" i="64"/>
  <c r="D165" i="64"/>
  <c r="B167" i="64" l="1"/>
  <c r="D166" i="64"/>
  <c r="C166" i="64"/>
  <c r="K164" i="64"/>
  <c r="M163" i="64"/>
  <c r="M164" i="64" l="1"/>
  <c r="K165" i="64"/>
  <c r="C167" i="64"/>
  <c r="B168" i="64"/>
  <c r="D167" i="64"/>
  <c r="B169" i="64" l="1"/>
  <c r="D168" i="64"/>
  <c r="C168" i="64"/>
  <c r="K166" i="64"/>
  <c r="M165" i="64"/>
  <c r="K167" i="64" l="1"/>
  <c r="M166" i="64"/>
  <c r="C169" i="64"/>
  <c r="B170" i="64"/>
  <c r="D169" i="64"/>
  <c r="B171" i="64" l="1"/>
  <c r="D170" i="64"/>
  <c r="C170" i="64"/>
  <c r="K168" i="64"/>
  <c r="M167" i="64"/>
  <c r="K169" i="64" l="1"/>
  <c r="M168" i="64"/>
  <c r="C171" i="64"/>
  <c r="B172" i="64"/>
  <c r="D171" i="64"/>
  <c r="B173" i="64" l="1"/>
  <c r="D172" i="64"/>
  <c r="C172" i="64"/>
  <c r="K170" i="64"/>
  <c r="M169" i="64"/>
  <c r="K171" i="64" l="1"/>
  <c r="M170" i="64"/>
  <c r="C173" i="64"/>
  <c r="B174" i="64"/>
  <c r="D173" i="64"/>
  <c r="B175" i="64" l="1"/>
  <c r="D174" i="64"/>
  <c r="C174" i="64"/>
  <c r="K172" i="64"/>
  <c r="M171" i="64"/>
  <c r="K173" i="64" l="1"/>
  <c r="M172" i="64"/>
  <c r="C175" i="64"/>
  <c r="B176" i="64"/>
  <c r="D175" i="64"/>
  <c r="B177" i="64" l="1"/>
  <c r="D176" i="64"/>
  <c r="C176" i="64"/>
  <c r="K174" i="64"/>
  <c r="M173" i="64"/>
  <c r="K175" i="64" l="1"/>
  <c r="M174" i="64"/>
  <c r="C177" i="64"/>
  <c r="B178" i="64"/>
  <c r="D177" i="64"/>
  <c r="B179" i="64" l="1"/>
  <c r="D178" i="64"/>
  <c r="C178" i="64"/>
  <c r="K176" i="64"/>
  <c r="M175" i="64"/>
  <c r="K177" i="64" l="1"/>
  <c r="M176" i="64"/>
  <c r="C179" i="64"/>
  <c r="B180" i="64"/>
  <c r="D179" i="64"/>
  <c r="B181" i="64" l="1"/>
  <c r="D180" i="64"/>
  <c r="C180" i="64"/>
  <c r="K178" i="64"/>
  <c r="M177" i="64"/>
  <c r="K179" i="64" l="1"/>
  <c r="M178" i="64"/>
  <c r="C181" i="64"/>
  <c r="B182" i="64"/>
  <c r="D181" i="64"/>
  <c r="B183" i="64" l="1"/>
  <c r="D182" i="64"/>
  <c r="C182" i="64"/>
  <c r="K180" i="64"/>
  <c r="M179" i="64"/>
  <c r="K181" i="64" l="1"/>
  <c r="M180" i="64"/>
  <c r="C183" i="64"/>
  <c r="B184" i="64"/>
  <c r="D183" i="64"/>
  <c r="B185" i="64" l="1"/>
  <c r="D184" i="64"/>
  <c r="C184" i="64"/>
  <c r="K182" i="64"/>
  <c r="M181" i="64"/>
  <c r="K183" i="64" l="1"/>
  <c r="M182" i="64"/>
  <c r="C185" i="64"/>
  <c r="B186" i="64"/>
  <c r="D185" i="64"/>
  <c r="B187" i="64" l="1"/>
  <c r="D186" i="64"/>
  <c r="C186" i="64"/>
  <c r="K184" i="64"/>
  <c r="M183" i="64"/>
  <c r="K185" i="64" l="1"/>
  <c r="M184" i="64"/>
  <c r="C187" i="64"/>
  <c r="B188" i="64"/>
  <c r="D187" i="64"/>
  <c r="B189" i="64" l="1"/>
  <c r="D188" i="64"/>
  <c r="C188" i="64"/>
  <c r="K186" i="64"/>
  <c r="M185" i="64"/>
  <c r="K187" i="64" l="1"/>
  <c r="M186" i="64"/>
  <c r="C189" i="64"/>
  <c r="B190" i="64"/>
  <c r="D189" i="64"/>
  <c r="B191" i="64" l="1"/>
  <c r="D190" i="64"/>
  <c r="C190" i="64"/>
  <c r="K188" i="64"/>
  <c r="M187" i="64"/>
  <c r="K189" i="64" l="1"/>
  <c r="M188" i="64"/>
  <c r="C191" i="64"/>
  <c r="B192" i="64"/>
  <c r="D191" i="64"/>
  <c r="B193" i="64" l="1"/>
  <c r="D192" i="64"/>
  <c r="C192" i="64"/>
  <c r="K190" i="64"/>
  <c r="M189" i="64"/>
  <c r="K191" i="64" l="1"/>
  <c r="M190" i="64"/>
  <c r="C193" i="64"/>
  <c r="B194" i="64"/>
  <c r="D193" i="64"/>
  <c r="B195" i="64" l="1"/>
  <c r="D194" i="64"/>
  <c r="C194" i="64"/>
  <c r="K192" i="64"/>
  <c r="M191" i="64"/>
  <c r="K193" i="64" l="1"/>
  <c r="M192" i="64"/>
  <c r="C195" i="64"/>
  <c r="B196" i="64"/>
  <c r="D195" i="64"/>
  <c r="B197" i="64" l="1"/>
  <c r="D196" i="64"/>
  <c r="C196" i="64"/>
  <c r="K194" i="64"/>
  <c r="M193" i="64"/>
  <c r="K195" i="64" l="1"/>
  <c r="M194" i="64"/>
  <c r="C197" i="64"/>
  <c r="B198" i="64"/>
  <c r="D197" i="64"/>
  <c r="B199" i="64" l="1"/>
  <c r="D198" i="64"/>
  <c r="C198" i="64"/>
  <c r="K196" i="64"/>
  <c r="M195" i="64"/>
  <c r="K197" i="64" l="1"/>
  <c r="M196" i="64"/>
  <c r="C199" i="64"/>
  <c r="B200" i="64"/>
  <c r="D199" i="64"/>
  <c r="B201" i="64" l="1"/>
  <c r="D200" i="64"/>
  <c r="C200" i="64"/>
  <c r="K198" i="64"/>
  <c r="M197" i="64"/>
  <c r="K199" i="64" l="1"/>
  <c r="M198" i="64"/>
  <c r="C201" i="64"/>
  <c r="B202" i="64"/>
  <c r="D201" i="64"/>
  <c r="B203" i="64" l="1"/>
  <c r="D202" i="64"/>
  <c r="C202" i="64"/>
  <c r="K200" i="64"/>
  <c r="M199" i="64"/>
  <c r="K201" i="64" l="1"/>
  <c r="M200" i="64"/>
  <c r="C203" i="64"/>
  <c r="B204" i="64"/>
  <c r="D203" i="64"/>
  <c r="B205" i="64" l="1"/>
  <c r="D204" i="64"/>
  <c r="C204" i="64"/>
  <c r="K202" i="64"/>
  <c r="M201" i="64"/>
  <c r="K203" i="64" l="1"/>
  <c r="M202" i="64"/>
  <c r="C205" i="64"/>
  <c r="B206" i="64"/>
  <c r="D205" i="64"/>
  <c r="B207" i="64" l="1"/>
  <c r="D206" i="64"/>
  <c r="C206" i="64"/>
  <c r="K204" i="64"/>
  <c r="M203" i="64"/>
  <c r="K205" i="64" l="1"/>
  <c r="M204" i="64"/>
  <c r="C207" i="64"/>
  <c r="B208" i="64"/>
  <c r="D207" i="64"/>
  <c r="B209" i="64" l="1"/>
  <c r="D208" i="64"/>
  <c r="C208" i="64"/>
  <c r="K206" i="64"/>
  <c r="M205" i="64"/>
  <c r="K207" i="64" l="1"/>
  <c r="M206" i="64"/>
  <c r="C209" i="64"/>
  <c r="B210" i="64"/>
  <c r="D209" i="64"/>
  <c r="B211" i="64" l="1"/>
  <c r="D210" i="64"/>
  <c r="C210" i="64"/>
  <c r="K208" i="64"/>
  <c r="M207" i="64"/>
  <c r="K209" i="64" l="1"/>
  <c r="M208" i="64"/>
  <c r="C211" i="64"/>
  <c r="B212" i="64"/>
  <c r="D211" i="64"/>
  <c r="B213" i="64" l="1"/>
  <c r="D212" i="64"/>
  <c r="C212" i="64"/>
  <c r="K210" i="64"/>
  <c r="M209" i="64"/>
  <c r="K211" i="64" l="1"/>
  <c r="M210" i="64"/>
  <c r="C213" i="64"/>
  <c r="B214" i="64"/>
  <c r="D213" i="64"/>
  <c r="B215" i="64" l="1"/>
  <c r="D214" i="64"/>
  <c r="C214" i="64"/>
  <c r="K212" i="64"/>
  <c r="M211" i="64"/>
  <c r="K213" i="64" l="1"/>
  <c r="M212" i="64"/>
  <c r="C215" i="64"/>
  <c r="B216" i="64"/>
  <c r="D215" i="64"/>
  <c r="B217" i="64" l="1"/>
  <c r="D216" i="64"/>
  <c r="C216" i="64"/>
  <c r="K214" i="64"/>
  <c r="M213" i="64"/>
  <c r="K215" i="64" l="1"/>
  <c r="M214" i="64"/>
  <c r="C217" i="64"/>
  <c r="B218" i="64"/>
  <c r="D217" i="64"/>
  <c r="B219" i="64" l="1"/>
  <c r="D218" i="64"/>
  <c r="C218" i="64"/>
  <c r="K216" i="64"/>
  <c r="M215" i="64"/>
  <c r="K217" i="64" l="1"/>
  <c r="M216" i="64"/>
  <c r="C219" i="64"/>
  <c r="B220" i="64"/>
  <c r="D219" i="64"/>
  <c r="B221" i="64" l="1"/>
  <c r="D220" i="64"/>
  <c r="C220" i="64"/>
  <c r="K218" i="64"/>
  <c r="M217" i="64"/>
  <c r="K219" i="64" l="1"/>
  <c r="M218" i="64"/>
  <c r="C221" i="64"/>
  <c r="B222" i="64"/>
  <c r="D221" i="64"/>
  <c r="B223" i="64" l="1"/>
  <c r="D222" i="64"/>
  <c r="C222" i="64"/>
  <c r="K220" i="64"/>
  <c r="M219" i="64"/>
  <c r="K221" i="64" l="1"/>
  <c r="M220" i="64"/>
  <c r="C223" i="64"/>
  <c r="B224" i="64"/>
  <c r="D223" i="64"/>
  <c r="B225" i="64" l="1"/>
  <c r="D224" i="64"/>
  <c r="C224" i="64"/>
  <c r="K222" i="64"/>
  <c r="M221" i="64"/>
  <c r="K223" i="64" l="1"/>
  <c r="M222" i="64"/>
  <c r="C225" i="64"/>
  <c r="B226" i="64"/>
  <c r="D225" i="64"/>
  <c r="B227" i="64" l="1"/>
  <c r="D226" i="64"/>
  <c r="C226" i="64"/>
  <c r="K224" i="64"/>
  <c r="M223" i="64"/>
  <c r="K225" i="64" l="1"/>
  <c r="M224" i="64"/>
  <c r="C227" i="64"/>
  <c r="B228" i="64"/>
  <c r="D227" i="64"/>
  <c r="B229" i="64" l="1"/>
  <c r="D228" i="64"/>
  <c r="C228" i="64"/>
  <c r="K226" i="64"/>
  <c r="M225" i="64"/>
  <c r="K227" i="64" l="1"/>
  <c r="M226" i="64"/>
  <c r="C229" i="64"/>
  <c r="B230" i="64"/>
  <c r="D229" i="64"/>
  <c r="B231" i="64" l="1"/>
  <c r="D230" i="64"/>
  <c r="C230" i="64"/>
  <c r="K228" i="64"/>
  <c r="M227" i="64"/>
  <c r="K229" i="64" l="1"/>
  <c r="M228" i="64"/>
  <c r="C231" i="64"/>
  <c r="B232" i="64"/>
  <c r="D231" i="64"/>
  <c r="B233" i="64" l="1"/>
  <c r="D232" i="64"/>
  <c r="C232" i="64"/>
  <c r="K230" i="64"/>
  <c r="M229" i="64"/>
  <c r="K231" i="64" l="1"/>
  <c r="M230" i="64"/>
  <c r="C233" i="64"/>
  <c r="B234" i="64"/>
  <c r="D233" i="64"/>
  <c r="B235" i="64" l="1"/>
  <c r="D234" i="64"/>
  <c r="C234" i="64"/>
  <c r="K232" i="64"/>
  <c r="M231" i="64"/>
  <c r="K233" i="64" l="1"/>
  <c r="M232" i="64"/>
  <c r="C235" i="64"/>
  <c r="B236" i="64"/>
  <c r="D235" i="64"/>
  <c r="B237" i="64" l="1"/>
  <c r="D236" i="64"/>
  <c r="C236" i="64"/>
  <c r="K234" i="64"/>
  <c r="M233" i="64"/>
  <c r="K235" i="64" l="1"/>
  <c r="M234" i="64"/>
  <c r="C237" i="64"/>
  <c r="B238" i="64"/>
  <c r="D237" i="64"/>
  <c r="B239" i="64" l="1"/>
  <c r="D238" i="64"/>
  <c r="C238" i="64"/>
  <c r="K236" i="64"/>
  <c r="M235" i="64"/>
  <c r="K237" i="64" l="1"/>
  <c r="M236" i="64"/>
  <c r="C239" i="64"/>
  <c r="B240" i="64"/>
  <c r="D239" i="64"/>
  <c r="B241" i="64" l="1"/>
  <c r="D240" i="64"/>
  <c r="C240" i="64"/>
  <c r="K238" i="64"/>
  <c r="M237" i="64"/>
  <c r="K239" i="64" l="1"/>
  <c r="M238" i="64"/>
  <c r="C241" i="64"/>
  <c r="B242" i="64"/>
  <c r="D241" i="64"/>
  <c r="B243" i="64" l="1"/>
  <c r="D242" i="64"/>
  <c r="C242" i="64"/>
  <c r="K240" i="64"/>
  <c r="M239" i="64"/>
  <c r="K241" i="64" l="1"/>
  <c r="M240" i="64"/>
  <c r="C243" i="64"/>
  <c r="B244" i="64"/>
  <c r="D243" i="64"/>
  <c r="B245" i="64" l="1"/>
  <c r="D244" i="64"/>
  <c r="C244" i="64"/>
  <c r="K242" i="64"/>
  <c r="M241" i="64"/>
  <c r="K243" i="64" l="1"/>
  <c r="M242" i="64"/>
  <c r="C245" i="64"/>
  <c r="B246" i="64"/>
  <c r="D245" i="64"/>
  <c r="B247" i="64" l="1"/>
  <c r="D246" i="64"/>
  <c r="C246" i="64"/>
  <c r="K244" i="64"/>
  <c r="M243" i="64"/>
  <c r="K245" i="64" l="1"/>
  <c r="M244" i="64"/>
  <c r="C247" i="64"/>
  <c r="B248" i="64"/>
  <c r="D247" i="64"/>
  <c r="B249" i="64" l="1"/>
  <c r="D248" i="64"/>
  <c r="C248" i="64"/>
  <c r="K246" i="64"/>
  <c r="M245" i="64"/>
  <c r="K247" i="64" l="1"/>
  <c r="M246" i="64"/>
  <c r="C249" i="64"/>
  <c r="B250" i="64"/>
  <c r="D249" i="64"/>
  <c r="B251" i="64" l="1"/>
  <c r="D250" i="64"/>
  <c r="C250" i="64"/>
  <c r="K248" i="64"/>
  <c r="M247" i="64"/>
  <c r="K249" i="64" l="1"/>
  <c r="M248" i="64"/>
  <c r="C251" i="64"/>
  <c r="B252" i="64"/>
  <c r="D251" i="64"/>
  <c r="B253" i="64" l="1"/>
  <c r="D252" i="64"/>
  <c r="C252" i="64"/>
  <c r="K250" i="64"/>
  <c r="M249" i="64"/>
  <c r="K251" i="64" l="1"/>
  <c r="M250" i="64"/>
  <c r="C253" i="64"/>
  <c r="B254" i="64"/>
  <c r="D253" i="64"/>
  <c r="K252" i="64" l="1"/>
  <c r="M251" i="64"/>
  <c r="B255" i="64"/>
  <c r="D254" i="64"/>
  <c r="C254" i="64"/>
  <c r="C255" i="64" l="1"/>
  <c r="B256" i="64"/>
  <c r="D255" i="64"/>
  <c r="K253" i="64"/>
  <c r="M252" i="64"/>
  <c r="K254" i="64" l="1"/>
  <c r="M253" i="64"/>
  <c r="B257" i="64"/>
  <c r="D256" i="64"/>
  <c r="C256" i="64"/>
  <c r="C257" i="64" l="1"/>
  <c r="B258" i="64"/>
  <c r="D257" i="64"/>
  <c r="K255" i="64"/>
  <c r="M254" i="64"/>
  <c r="K256" i="64" l="1"/>
  <c r="M255" i="64"/>
  <c r="B259" i="64"/>
  <c r="D258" i="64"/>
  <c r="C258" i="64"/>
  <c r="C259" i="64" l="1"/>
  <c r="B260" i="64"/>
  <c r="D259" i="64"/>
  <c r="K257" i="64"/>
  <c r="M256" i="64"/>
  <c r="K258" i="64" l="1"/>
  <c r="M257" i="64"/>
  <c r="B261" i="64"/>
  <c r="D260" i="64"/>
  <c r="C260" i="64"/>
  <c r="C261" i="64" l="1"/>
  <c r="B262" i="64"/>
  <c r="D261" i="64"/>
  <c r="K259" i="64"/>
  <c r="M258" i="64"/>
  <c r="K260" i="64" l="1"/>
  <c r="M259" i="64"/>
  <c r="B263" i="64"/>
  <c r="D262" i="64"/>
  <c r="C262" i="64"/>
  <c r="B264" i="64" l="1"/>
  <c r="C263" i="64"/>
  <c r="D263" i="64"/>
  <c r="K261" i="64"/>
  <c r="M260" i="64"/>
  <c r="K262" i="64" l="1"/>
  <c r="M261" i="64"/>
  <c r="C264" i="64"/>
  <c r="B265" i="64"/>
  <c r="D264" i="64"/>
  <c r="C265" i="64" l="1"/>
  <c r="D265" i="64"/>
  <c r="B266" i="64"/>
  <c r="K263" i="64"/>
  <c r="M262" i="64"/>
  <c r="K264" i="64" l="1"/>
  <c r="M263" i="64"/>
  <c r="C266" i="64"/>
  <c r="D266" i="64"/>
  <c r="B267" i="64"/>
  <c r="C267" i="64" l="1"/>
  <c r="B268" i="64"/>
  <c r="D267" i="64"/>
  <c r="K265" i="64"/>
  <c r="M264" i="64"/>
  <c r="K266" i="64" l="1"/>
  <c r="M265" i="64"/>
  <c r="C268" i="64"/>
  <c r="B269" i="64"/>
  <c r="D268" i="64"/>
  <c r="C269" i="64" l="1"/>
  <c r="D269" i="64"/>
  <c r="B270" i="64"/>
  <c r="K267" i="64"/>
  <c r="M266" i="64"/>
  <c r="K268" i="64" l="1"/>
  <c r="M267" i="64"/>
  <c r="C270" i="64"/>
  <c r="D270" i="64"/>
  <c r="B271" i="64"/>
  <c r="B272" i="64" l="1"/>
  <c r="D271" i="64"/>
  <c r="C271" i="64"/>
  <c r="K269" i="64"/>
  <c r="M268" i="64"/>
  <c r="K270" i="64" l="1"/>
  <c r="M269" i="64"/>
  <c r="C272" i="64"/>
  <c r="D272" i="64"/>
  <c r="B273" i="64"/>
  <c r="B274" i="64" l="1"/>
  <c r="D273" i="64"/>
  <c r="C273" i="64"/>
  <c r="K271" i="64"/>
  <c r="M270" i="64"/>
  <c r="C274" i="64" l="1"/>
  <c r="D274" i="64"/>
  <c r="B275" i="64"/>
  <c r="K272" i="64"/>
  <c r="M271" i="64"/>
  <c r="K273" i="64" l="1"/>
  <c r="M272" i="64"/>
  <c r="B276" i="64"/>
  <c r="D275" i="64"/>
  <c r="C275" i="64"/>
  <c r="C276" i="64" l="1"/>
  <c r="D276" i="64"/>
  <c r="B277" i="64"/>
  <c r="K274" i="64"/>
  <c r="M273" i="64"/>
  <c r="K275" i="64" l="1"/>
  <c r="M274" i="64"/>
  <c r="B278" i="64"/>
  <c r="D277" i="64"/>
  <c r="C277" i="64"/>
  <c r="C278" i="64" l="1"/>
  <c r="D278" i="64"/>
  <c r="B279" i="64"/>
  <c r="K276" i="64"/>
  <c r="M275" i="64"/>
  <c r="K277" i="64" l="1"/>
  <c r="M276" i="64"/>
  <c r="B280" i="64"/>
  <c r="D279" i="64"/>
  <c r="C279" i="64"/>
  <c r="C280" i="64" l="1"/>
  <c r="D280" i="64"/>
  <c r="B281" i="64"/>
  <c r="K278" i="64"/>
  <c r="M277" i="64"/>
  <c r="K279" i="64" l="1"/>
  <c r="M278" i="64"/>
  <c r="B282" i="64"/>
  <c r="D281" i="64"/>
  <c r="C281" i="64"/>
  <c r="C282" i="64" l="1"/>
  <c r="D282" i="64"/>
  <c r="B283" i="64"/>
  <c r="K280" i="64"/>
  <c r="M279" i="64"/>
  <c r="K281" i="64" l="1"/>
  <c r="M280" i="64"/>
  <c r="B284" i="64"/>
  <c r="D283" i="64"/>
  <c r="C283" i="64"/>
  <c r="C284" i="64" l="1"/>
  <c r="D284" i="64"/>
  <c r="B285" i="64"/>
  <c r="K282" i="64"/>
  <c r="M281" i="64"/>
  <c r="K283" i="64" l="1"/>
  <c r="M282" i="64"/>
  <c r="B286" i="64"/>
  <c r="D285" i="64"/>
  <c r="C285" i="64"/>
  <c r="K284" i="64" l="1"/>
  <c r="M283" i="64"/>
  <c r="C286" i="64"/>
  <c r="D286" i="64"/>
  <c r="B287" i="64"/>
  <c r="B288" i="64" l="1"/>
  <c r="D287" i="64"/>
  <c r="C287" i="64"/>
  <c r="K285" i="64"/>
  <c r="M284" i="64"/>
  <c r="K286" i="64" l="1"/>
  <c r="M285" i="64"/>
  <c r="C288" i="64"/>
  <c r="D288" i="64"/>
  <c r="B289" i="64"/>
  <c r="B290" i="64" l="1"/>
  <c r="D289" i="64"/>
  <c r="C289" i="64"/>
  <c r="K287" i="64"/>
  <c r="M286" i="64"/>
  <c r="K288" i="64" l="1"/>
  <c r="M287" i="64"/>
  <c r="C290" i="64"/>
  <c r="D290" i="64"/>
  <c r="B291" i="64"/>
  <c r="B292" i="64" l="1"/>
  <c r="D291" i="64"/>
  <c r="C291" i="64"/>
  <c r="K289" i="64"/>
  <c r="M288" i="64"/>
  <c r="K290" i="64" l="1"/>
  <c r="M289" i="64"/>
  <c r="C292" i="64"/>
  <c r="D292" i="64"/>
  <c r="B293" i="64"/>
  <c r="B294" i="64" l="1"/>
  <c r="D293" i="64"/>
  <c r="C293" i="64"/>
  <c r="K291" i="64"/>
  <c r="M290" i="64"/>
  <c r="K292" i="64" l="1"/>
  <c r="M291" i="64"/>
  <c r="C294" i="64"/>
  <c r="D294" i="64"/>
  <c r="B295" i="64"/>
  <c r="B296" i="64" l="1"/>
  <c r="D295" i="64"/>
  <c r="C295" i="64"/>
  <c r="K293" i="64"/>
  <c r="M292" i="64"/>
  <c r="K294" i="64" l="1"/>
  <c r="M293" i="64"/>
  <c r="C296" i="64"/>
  <c r="D296" i="64"/>
  <c r="B297" i="64"/>
  <c r="B298" i="64" l="1"/>
  <c r="D297" i="64"/>
  <c r="C297" i="64"/>
  <c r="K295" i="64"/>
  <c r="M294" i="64"/>
  <c r="K296" i="64" l="1"/>
  <c r="M295" i="64"/>
  <c r="C298" i="64"/>
  <c r="D298" i="64"/>
  <c r="B299" i="64"/>
  <c r="B300" i="64" l="1"/>
  <c r="D299" i="64"/>
  <c r="C299" i="64"/>
  <c r="K297" i="64"/>
  <c r="M296" i="64"/>
  <c r="K298" i="64" l="1"/>
  <c r="M297" i="64"/>
  <c r="C300" i="64"/>
  <c r="D300" i="64"/>
  <c r="B301" i="64"/>
  <c r="B302" i="64" l="1"/>
  <c r="D301" i="64"/>
  <c r="C301" i="64"/>
  <c r="K299" i="64"/>
  <c r="M298" i="64"/>
  <c r="K300" i="64" l="1"/>
  <c r="M299" i="64"/>
  <c r="C302" i="64"/>
  <c r="D302" i="64"/>
  <c r="B303" i="64"/>
  <c r="B304" i="64" l="1"/>
  <c r="D303" i="64"/>
  <c r="C303" i="64"/>
  <c r="K301" i="64"/>
  <c r="M300" i="64"/>
  <c r="K302" i="64" l="1"/>
  <c r="M301" i="64"/>
  <c r="C304" i="64"/>
  <c r="D304" i="64"/>
  <c r="B305" i="64"/>
  <c r="B306" i="64" l="1"/>
  <c r="D305" i="64"/>
  <c r="C305" i="64"/>
  <c r="K303" i="64"/>
  <c r="M302" i="64"/>
  <c r="K304" i="64" l="1"/>
  <c r="M303" i="64"/>
  <c r="C306" i="64"/>
  <c r="D306" i="64"/>
  <c r="B307" i="64"/>
  <c r="B308" i="64" l="1"/>
  <c r="D307" i="64"/>
  <c r="C307" i="64"/>
  <c r="K305" i="64"/>
  <c r="M304" i="64"/>
  <c r="C308" i="64" l="1"/>
  <c r="D308" i="64"/>
  <c r="B309" i="64"/>
  <c r="K306" i="64"/>
  <c r="M305" i="64"/>
  <c r="K307" i="64" l="1"/>
  <c r="M306" i="64"/>
  <c r="B310" i="64"/>
  <c r="D309" i="64"/>
  <c r="C309" i="64"/>
  <c r="K308" i="64" l="1"/>
  <c r="M307" i="64"/>
  <c r="C310" i="64"/>
  <c r="D310" i="64"/>
  <c r="B311" i="64"/>
  <c r="B312" i="64" l="1"/>
  <c r="D311" i="64"/>
  <c r="C311" i="64"/>
  <c r="K309" i="64"/>
  <c r="M308" i="64"/>
  <c r="K310" i="64" l="1"/>
  <c r="M309" i="64"/>
  <c r="C312" i="64"/>
  <c r="D312" i="64"/>
  <c r="B313" i="64"/>
  <c r="B314" i="64" l="1"/>
  <c r="D313" i="64"/>
  <c r="C313" i="64"/>
  <c r="K311" i="64"/>
  <c r="M310" i="64"/>
  <c r="K312" i="64" l="1"/>
  <c r="M311" i="64"/>
  <c r="C314" i="64"/>
  <c r="D314" i="64"/>
  <c r="B315" i="64"/>
  <c r="B316" i="64" l="1"/>
  <c r="D315" i="64"/>
  <c r="C315" i="64"/>
  <c r="K313" i="64"/>
  <c r="M312" i="64"/>
  <c r="K314" i="64" l="1"/>
  <c r="M313" i="64"/>
  <c r="C316" i="64"/>
  <c r="D316" i="64"/>
  <c r="B317" i="64"/>
  <c r="B318" i="64" l="1"/>
  <c r="D317" i="64"/>
  <c r="C317" i="64"/>
  <c r="K315" i="64"/>
  <c r="M314" i="64"/>
  <c r="C318" i="64" l="1"/>
  <c r="D318" i="64"/>
  <c r="B319" i="64"/>
  <c r="K316" i="64"/>
  <c r="M315" i="64"/>
  <c r="K317" i="64" l="1"/>
  <c r="M316" i="64"/>
  <c r="B320" i="64"/>
  <c r="D319" i="64"/>
  <c r="C319" i="64"/>
  <c r="K318" i="64" l="1"/>
  <c r="M317" i="64"/>
  <c r="C320" i="64"/>
  <c r="D320" i="64"/>
  <c r="B321" i="64"/>
  <c r="B322" i="64" l="1"/>
  <c r="D321" i="64"/>
  <c r="C321" i="64"/>
  <c r="K319" i="64"/>
  <c r="M318" i="64"/>
  <c r="K320" i="64" l="1"/>
  <c r="M319" i="64"/>
  <c r="C322" i="64"/>
  <c r="D322" i="64"/>
  <c r="B323" i="64"/>
  <c r="B324" i="64" l="1"/>
  <c r="D323" i="64"/>
  <c r="C323" i="64"/>
  <c r="K321" i="64"/>
  <c r="M320" i="64"/>
  <c r="K322" i="64" l="1"/>
  <c r="M321" i="64"/>
  <c r="B325" i="64"/>
  <c r="C324" i="64"/>
  <c r="D324" i="64"/>
  <c r="K323" i="64" l="1"/>
  <c r="M322" i="64"/>
  <c r="B326" i="64"/>
  <c r="D325" i="64"/>
  <c r="C325" i="64"/>
  <c r="B327" i="64" l="1"/>
  <c r="D326" i="64"/>
  <c r="C326" i="64"/>
  <c r="K324" i="64"/>
  <c r="M323" i="64"/>
  <c r="M324" i="64" l="1"/>
  <c r="K325" i="64"/>
  <c r="B328" i="64"/>
  <c r="D327" i="64"/>
  <c r="C327" i="64"/>
  <c r="B329" i="64" l="1"/>
  <c r="D328" i="64"/>
  <c r="C328" i="64"/>
  <c r="M325" i="64"/>
  <c r="K326" i="64"/>
  <c r="M326" i="64" l="1"/>
  <c r="K327" i="64"/>
  <c r="B330" i="64"/>
  <c r="D329" i="64"/>
  <c r="C329" i="64"/>
  <c r="B331" i="64" l="1"/>
  <c r="D330" i="64"/>
  <c r="C330" i="64"/>
  <c r="M327" i="64"/>
  <c r="K328" i="64"/>
  <c r="M328" i="64" l="1"/>
  <c r="K329" i="64"/>
  <c r="B332" i="64"/>
  <c r="D331" i="64"/>
  <c r="C331" i="64"/>
  <c r="B333" i="64" l="1"/>
  <c r="D332" i="64"/>
  <c r="C332" i="64"/>
  <c r="M329" i="64"/>
  <c r="K330" i="64"/>
  <c r="M330" i="64" l="1"/>
  <c r="K331" i="64"/>
  <c r="B334" i="64"/>
  <c r="D333" i="64"/>
  <c r="C333" i="64"/>
  <c r="B335" i="64" l="1"/>
  <c r="D334" i="64"/>
  <c r="C334" i="64"/>
  <c r="M331" i="64"/>
  <c r="K332" i="64"/>
  <c r="M332" i="64" l="1"/>
  <c r="K333" i="64"/>
  <c r="B336" i="64"/>
  <c r="D335" i="64"/>
  <c r="C335" i="64"/>
  <c r="B337" i="64" l="1"/>
  <c r="D336" i="64"/>
  <c r="C336" i="64"/>
  <c r="M333" i="64"/>
  <c r="K334" i="64"/>
  <c r="M334" i="64" l="1"/>
  <c r="K335" i="64"/>
  <c r="B338" i="64"/>
  <c r="D337" i="64"/>
  <c r="C337" i="64"/>
  <c r="B339" i="64" l="1"/>
  <c r="D338" i="64"/>
  <c r="C338" i="64"/>
  <c r="M335" i="64"/>
  <c r="K336" i="64"/>
  <c r="M336" i="64" l="1"/>
  <c r="K337" i="64"/>
  <c r="B340" i="64"/>
  <c r="D339" i="64"/>
  <c r="C339" i="64"/>
  <c r="B341" i="64" l="1"/>
  <c r="D340" i="64"/>
  <c r="C340" i="64"/>
  <c r="M337" i="64"/>
  <c r="K338" i="64"/>
  <c r="M338" i="64" l="1"/>
  <c r="K339" i="64"/>
  <c r="B342" i="64"/>
  <c r="D341" i="64"/>
  <c r="C341" i="64"/>
  <c r="B343" i="64" l="1"/>
  <c r="D342" i="64"/>
  <c r="C342" i="64"/>
  <c r="M339" i="64"/>
  <c r="K340" i="64"/>
  <c r="M340" i="64" l="1"/>
  <c r="K341" i="64"/>
  <c r="B344" i="64"/>
  <c r="D343" i="64"/>
  <c r="C343" i="64"/>
  <c r="B345" i="64" l="1"/>
  <c r="D344" i="64"/>
  <c r="C344" i="64"/>
  <c r="M341" i="64"/>
  <c r="K342" i="64"/>
  <c r="M342" i="64" l="1"/>
  <c r="K343" i="64"/>
  <c r="B346" i="64"/>
  <c r="D345" i="64"/>
  <c r="C345" i="64"/>
  <c r="B347" i="64" l="1"/>
  <c r="D346" i="64"/>
  <c r="C346" i="64"/>
  <c r="M343" i="64"/>
  <c r="K344" i="64"/>
  <c r="M344" i="64" l="1"/>
  <c r="K345" i="64"/>
  <c r="B348" i="64"/>
  <c r="D347" i="64"/>
  <c r="C347" i="64"/>
  <c r="M345" i="64" l="1"/>
  <c r="K346" i="64"/>
  <c r="B349" i="64"/>
  <c r="D348" i="64"/>
  <c r="C348" i="64"/>
  <c r="B350" i="64" l="1"/>
  <c r="D349" i="64"/>
  <c r="C349" i="64"/>
  <c r="M346" i="64"/>
  <c r="K347" i="64"/>
  <c r="M347" i="64" l="1"/>
  <c r="K348" i="64"/>
  <c r="B351" i="64"/>
  <c r="D350" i="64"/>
  <c r="C350" i="64"/>
  <c r="B352" i="64" l="1"/>
  <c r="D351" i="64"/>
  <c r="C351" i="64"/>
  <c r="M348" i="64"/>
  <c r="K349" i="64"/>
  <c r="M349" i="64" l="1"/>
  <c r="K350" i="64"/>
  <c r="B353" i="64"/>
  <c r="D352" i="64"/>
  <c r="C352" i="64"/>
  <c r="M350" i="64" l="1"/>
  <c r="K351" i="64"/>
  <c r="B354" i="64"/>
  <c r="D353" i="64"/>
  <c r="C353" i="64"/>
  <c r="B355" i="64" l="1"/>
  <c r="D354" i="64"/>
  <c r="C354" i="64"/>
  <c r="M351" i="64"/>
  <c r="K352" i="64"/>
  <c r="M352" i="64" l="1"/>
  <c r="K353" i="64"/>
  <c r="B356" i="64"/>
  <c r="D355" i="64"/>
  <c r="C355" i="64"/>
  <c r="B357" i="64" l="1"/>
  <c r="D356" i="64"/>
  <c r="C356" i="64"/>
  <c r="M353" i="64"/>
  <c r="K354" i="64"/>
  <c r="M354" i="64" l="1"/>
  <c r="K355" i="64"/>
  <c r="B358" i="64"/>
  <c r="D357" i="64"/>
  <c r="C357" i="64"/>
  <c r="B359" i="64" l="1"/>
  <c r="D358" i="64"/>
  <c r="C358" i="64"/>
  <c r="M355" i="64"/>
  <c r="K356" i="64"/>
  <c r="M356" i="64" l="1"/>
  <c r="K357" i="64"/>
  <c r="B360" i="64"/>
  <c r="D359" i="64"/>
  <c r="C359" i="64"/>
  <c r="B361" i="64" l="1"/>
  <c r="D360" i="64"/>
  <c r="C360" i="64"/>
  <c r="M357" i="64"/>
  <c r="K358" i="64"/>
  <c r="M358" i="64" l="1"/>
  <c r="K359" i="64"/>
  <c r="B362" i="64"/>
  <c r="D361" i="64"/>
  <c r="C361" i="64"/>
  <c r="B363" i="64" l="1"/>
  <c r="D362" i="64"/>
  <c r="C362" i="64"/>
  <c r="M359" i="64"/>
  <c r="K360" i="64"/>
  <c r="M360" i="64" l="1"/>
  <c r="K361" i="64"/>
  <c r="B364" i="64"/>
  <c r="D363" i="64"/>
  <c r="C363" i="64"/>
  <c r="B365" i="64" l="1"/>
  <c r="D364" i="64"/>
  <c r="C364" i="64"/>
  <c r="M361" i="64"/>
  <c r="K362" i="64"/>
  <c r="K363" i="64" l="1"/>
  <c r="M362" i="64"/>
  <c r="B366" i="64"/>
  <c r="D365" i="64"/>
  <c r="C365" i="64"/>
  <c r="B367" i="64" l="1"/>
  <c r="D366" i="64"/>
  <c r="C366" i="64"/>
  <c r="K364" i="64"/>
  <c r="M363" i="64"/>
  <c r="K365" i="64" l="1"/>
  <c r="M364" i="64"/>
  <c r="B368" i="64"/>
  <c r="D367" i="64"/>
  <c r="C367" i="64"/>
  <c r="B369" i="64" l="1"/>
  <c r="D368" i="64"/>
  <c r="C368" i="64"/>
  <c r="M365" i="64"/>
  <c r="K366" i="64"/>
  <c r="K367" i="64" l="1"/>
  <c r="M366" i="64"/>
  <c r="B370" i="64"/>
  <c r="D369" i="64"/>
  <c r="C369" i="64"/>
  <c r="B371" i="64" l="1"/>
  <c r="D370" i="64"/>
  <c r="C370" i="64"/>
  <c r="K368" i="64"/>
  <c r="M367" i="64"/>
  <c r="K369" i="64" l="1"/>
  <c r="M368" i="64"/>
  <c r="B372" i="64"/>
  <c r="D371" i="64"/>
  <c r="C371" i="64"/>
  <c r="B373" i="64" l="1"/>
  <c r="D372" i="64"/>
  <c r="C372" i="64"/>
  <c r="K370" i="64"/>
  <c r="M369" i="64"/>
  <c r="K371" i="64" l="1"/>
  <c r="M370" i="64"/>
  <c r="B374" i="64"/>
  <c r="D373" i="64"/>
  <c r="C373" i="64"/>
  <c r="B375" i="64" l="1"/>
  <c r="D374" i="64"/>
  <c r="C374" i="64"/>
  <c r="K372" i="64"/>
  <c r="M371" i="64"/>
  <c r="K373" i="64" l="1"/>
  <c r="M372" i="64"/>
  <c r="B376" i="64"/>
  <c r="D375" i="64"/>
  <c r="C375" i="64"/>
  <c r="B377" i="64" l="1"/>
  <c r="D376" i="64"/>
  <c r="C376" i="64"/>
  <c r="M373" i="64"/>
  <c r="K374" i="64"/>
  <c r="K375" i="64" l="1"/>
  <c r="M374" i="64"/>
  <c r="B378" i="64"/>
  <c r="D377" i="64"/>
  <c r="C377" i="64"/>
  <c r="B379" i="64" l="1"/>
  <c r="D378" i="64"/>
  <c r="C378" i="64"/>
  <c r="K376" i="64"/>
  <c r="M375" i="64"/>
  <c r="K377" i="64" l="1"/>
  <c r="M376" i="64"/>
  <c r="B380" i="64"/>
  <c r="D379" i="64"/>
  <c r="C379" i="64"/>
  <c r="B381" i="64" l="1"/>
  <c r="D380" i="64"/>
  <c r="C380" i="64"/>
  <c r="K378" i="64"/>
  <c r="M377" i="64"/>
  <c r="K379" i="64" l="1"/>
  <c r="M378" i="64"/>
  <c r="B382" i="64"/>
  <c r="D381" i="64"/>
  <c r="C381" i="64"/>
  <c r="B383" i="64" l="1"/>
  <c r="D382" i="64"/>
  <c r="C382" i="64"/>
  <c r="K380" i="64"/>
  <c r="M379" i="64"/>
  <c r="K381" i="64" l="1"/>
  <c r="M380" i="64"/>
  <c r="B384" i="64"/>
  <c r="D383" i="64"/>
  <c r="C383" i="64"/>
  <c r="B385" i="64" l="1"/>
  <c r="D384" i="64"/>
  <c r="C384" i="64"/>
  <c r="M381" i="64"/>
  <c r="K382" i="64"/>
  <c r="K383" i="64" l="1"/>
  <c r="M382" i="64"/>
  <c r="B386" i="64"/>
  <c r="D385" i="64"/>
  <c r="C385" i="64"/>
  <c r="B387" i="64" l="1"/>
  <c r="D386" i="64"/>
  <c r="C386" i="64"/>
  <c r="K384" i="64"/>
  <c r="M383" i="64"/>
  <c r="K385" i="64" l="1"/>
  <c r="M384" i="64"/>
  <c r="B388" i="64"/>
  <c r="D387" i="64"/>
  <c r="C387" i="64"/>
  <c r="B389" i="64" l="1"/>
  <c r="D388" i="64"/>
  <c r="C388" i="64"/>
  <c r="K386" i="64"/>
  <c r="M385" i="64"/>
  <c r="K387" i="64" l="1"/>
  <c r="M386" i="64"/>
  <c r="B390" i="64"/>
  <c r="D389" i="64"/>
  <c r="C389" i="64"/>
  <c r="B391" i="64" l="1"/>
  <c r="D390" i="64"/>
  <c r="C390" i="64"/>
  <c r="K388" i="64"/>
  <c r="M387" i="64"/>
  <c r="K389" i="64" l="1"/>
  <c r="M388" i="64"/>
  <c r="B392" i="64"/>
  <c r="D391" i="64"/>
  <c r="C391" i="64"/>
  <c r="B393" i="64" l="1"/>
  <c r="D392" i="64"/>
  <c r="C392" i="64"/>
  <c r="M389" i="64"/>
  <c r="K390" i="64"/>
  <c r="K391" i="64" l="1"/>
  <c r="M390" i="64"/>
  <c r="B394" i="64"/>
  <c r="D393" i="64"/>
  <c r="C393" i="64"/>
  <c r="B395" i="64" l="1"/>
  <c r="D394" i="64"/>
  <c r="C394" i="64"/>
  <c r="K392" i="64"/>
  <c r="M391" i="64"/>
  <c r="K393" i="64" l="1"/>
  <c r="M392" i="64"/>
  <c r="B396" i="64"/>
  <c r="D395" i="64"/>
  <c r="C395" i="64"/>
  <c r="B397" i="64" l="1"/>
  <c r="D396" i="64"/>
  <c r="C396" i="64"/>
  <c r="K394" i="64"/>
  <c r="M393" i="64"/>
  <c r="K395" i="64" l="1"/>
  <c r="M394" i="64"/>
  <c r="B398" i="64"/>
  <c r="D397" i="64"/>
  <c r="C397" i="64"/>
  <c r="B399" i="64" l="1"/>
  <c r="D398" i="64"/>
  <c r="C398" i="64"/>
  <c r="K396" i="64"/>
  <c r="M395" i="64"/>
  <c r="K397" i="64" l="1"/>
  <c r="M396" i="64"/>
  <c r="B400" i="64"/>
  <c r="D399" i="64"/>
  <c r="C399" i="64"/>
  <c r="B401" i="64" l="1"/>
  <c r="D400" i="64"/>
  <c r="C400" i="64"/>
  <c r="M397" i="64"/>
  <c r="K398" i="64"/>
  <c r="K399" i="64" l="1"/>
  <c r="M398" i="64"/>
  <c r="B402" i="64"/>
  <c r="D401" i="64"/>
  <c r="C401" i="64"/>
  <c r="B403" i="64" l="1"/>
  <c r="D402" i="64"/>
  <c r="C402" i="64"/>
  <c r="K400" i="64"/>
  <c r="M399" i="64"/>
  <c r="K401" i="64" l="1"/>
  <c r="M400" i="64"/>
  <c r="B404" i="64"/>
  <c r="D403" i="64"/>
  <c r="C403" i="64"/>
  <c r="B405" i="64" l="1"/>
  <c r="D404" i="64"/>
  <c r="C404" i="64"/>
  <c r="K402" i="64"/>
  <c r="M401" i="64"/>
  <c r="K403" i="64" l="1"/>
  <c r="M402" i="64"/>
  <c r="B406" i="64"/>
  <c r="D405" i="64"/>
  <c r="C405" i="64"/>
  <c r="B407" i="64" l="1"/>
  <c r="D406" i="64"/>
  <c r="C406" i="64"/>
  <c r="K404" i="64"/>
  <c r="M403" i="64"/>
  <c r="K405" i="64" l="1"/>
  <c r="M404" i="64"/>
  <c r="B408" i="64"/>
  <c r="D407" i="64"/>
  <c r="C407" i="64"/>
  <c r="B409" i="64" l="1"/>
  <c r="D408" i="64"/>
  <c r="C408" i="64"/>
  <c r="M405" i="64"/>
  <c r="K406" i="64"/>
  <c r="K407" i="64" l="1"/>
  <c r="M406" i="64"/>
  <c r="B410" i="64"/>
  <c r="D409" i="64"/>
  <c r="C409" i="64"/>
  <c r="B411" i="64" l="1"/>
  <c r="D410" i="64"/>
  <c r="C410" i="64"/>
  <c r="K408" i="64"/>
  <c r="M407" i="64"/>
  <c r="K409" i="64" l="1"/>
  <c r="M408" i="64"/>
  <c r="B412" i="64"/>
  <c r="D411" i="64"/>
  <c r="C411" i="64"/>
  <c r="B413" i="64" l="1"/>
  <c r="D412" i="64"/>
  <c r="C412" i="64"/>
  <c r="K410" i="64"/>
  <c r="M409" i="64"/>
  <c r="K411" i="64" l="1"/>
  <c r="M410" i="64"/>
  <c r="B414" i="64"/>
  <c r="D413" i="64"/>
  <c r="C413" i="64"/>
  <c r="B415" i="64" l="1"/>
  <c r="D414" i="64"/>
  <c r="C414" i="64"/>
  <c r="K412" i="64"/>
  <c r="M411" i="64"/>
  <c r="K413" i="64" l="1"/>
  <c r="M412" i="64"/>
  <c r="B416" i="64"/>
  <c r="D415" i="64"/>
  <c r="C415" i="64"/>
  <c r="B417" i="64" l="1"/>
  <c r="D416" i="64"/>
  <c r="C416" i="64"/>
  <c r="M413" i="64"/>
  <c r="K414" i="64"/>
  <c r="K415" i="64" l="1"/>
  <c r="M414" i="64"/>
  <c r="B418" i="64"/>
  <c r="D417" i="64"/>
  <c r="C417" i="64"/>
  <c r="B419" i="64" l="1"/>
  <c r="D418" i="64"/>
  <c r="C418" i="64"/>
  <c r="K416" i="64"/>
  <c r="M415" i="64"/>
  <c r="K417" i="64" l="1"/>
  <c r="M416" i="64"/>
  <c r="B420" i="64"/>
  <c r="D419" i="64"/>
  <c r="C419" i="64"/>
  <c r="B421" i="64" l="1"/>
  <c r="D420" i="64"/>
  <c r="C420" i="64"/>
  <c r="K418" i="64"/>
  <c r="M417" i="64"/>
  <c r="K419" i="64" l="1"/>
  <c r="M418" i="64"/>
  <c r="B422" i="64"/>
  <c r="D421" i="64"/>
  <c r="C421" i="64"/>
  <c r="B423" i="64" l="1"/>
  <c r="D422" i="64"/>
  <c r="C422" i="64"/>
  <c r="K420" i="64"/>
  <c r="M419" i="64"/>
  <c r="K421" i="64" l="1"/>
  <c r="M420" i="64"/>
  <c r="B424" i="64"/>
  <c r="D423" i="64"/>
  <c r="C423" i="64"/>
  <c r="B425" i="64" l="1"/>
  <c r="D424" i="64"/>
  <c r="C424" i="64"/>
  <c r="M421" i="64"/>
  <c r="K422" i="64"/>
  <c r="K423" i="64" l="1"/>
  <c r="M422" i="64"/>
  <c r="B426" i="64"/>
  <c r="D425" i="64"/>
  <c r="C425" i="64"/>
  <c r="B427" i="64" l="1"/>
  <c r="D426" i="64"/>
  <c r="C426" i="64"/>
  <c r="K424" i="64"/>
  <c r="M423" i="64"/>
  <c r="K425" i="64" l="1"/>
  <c r="M424" i="64"/>
  <c r="B428" i="64"/>
  <c r="D427" i="64"/>
  <c r="C427" i="64"/>
  <c r="B429" i="64" l="1"/>
  <c r="D428" i="64"/>
  <c r="C428" i="64"/>
  <c r="K426" i="64"/>
  <c r="M425" i="64"/>
  <c r="K427" i="64" l="1"/>
  <c r="M426" i="64"/>
  <c r="B430" i="64"/>
  <c r="D429" i="64"/>
  <c r="C429" i="64"/>
  <c r="B431" i="64" l="1"/>
  <c r="D430" i="64"/>
  <c r="C430" i="64"/>
  <c r="K428" i="64"/>
  <c r="M427" i="64"/>
  <c r="K429" i="64" l="1"/>
  <c r="M428" i="64"/>
  <c r="B432" i="64"/>
  <c r="D431" i="64"/>
  <c r="C431" i="64"/>
  <c r="B433" i="64" l="1"/>
  <c r="D432" i="64"/>
  <c r="C432" i="64"/>
  <c r="M429" i="64"/>
  <c r="K430" i="64"/>
  <c r="K431" i="64" l="1"/>
  <c r="M430" i="64"/>
  <c r="B434" i="64"/>
  <c r="D433" i="64"/>
  <c r="C433" i="64"/>
  <c r="B435" i="64" l="1"/>
  <c r="D434" i="64"/>
  <c r="C434" i="64"/>
  <c r="K432" i="64"/>
  <c r="M431" i="64"/>
  <c r="K433" i="64" l="1"/>
  <c r="M432" i="64"/>
  <c r="B436" i="64"/>
  <c r="D435" i="64"/>
  <c r="C435" i="64"/>
  <c r="B437" i="64" l="1"/>
  <c r="D436" i="64"/>
  <c r="C436" i="64"/>
  <c r="K434" i="64"/>
  <c r="M433" i="64"/>
  <c r="K435" i="64" l="1"/>
  <c r="M434" i="64"/>
  <c r="B438" i="64"/>
  <c r="D437" i="64"/>
  <c r="C437" i="64"/>
  <c r="B439" i="64" l="1"/>
  <c r="D438" i="64"/>
  <c r="C438" i="64"/>
  <c r="K436" i="64"/>
  <c r="M435" i="64"/>
  <c r="K437" i="64" l="1"/>
  <c r="M436" i="64"/>
  <c r="B440" i="64"/>
  <c r="D439" i="64"/>
  <c r="C439" i="64"/>
  <c r="B441" i="64" l="1"/>
  <c r="D440" i="64"/>
  <c r="C440" i="64"/>
  <c r="M437" i="64"/>
  <c r="K438" i="64"/>
  <c r="K439" i="64" l="1"/>
  <c r="M438" i="64"/>
  <c r="B442" i="64"/>
  <c r="D441" i="64"/>
  <c r="C441" i="64"/>
  <c r="B443" i="64" l="1"/>
  <c r="D442" i="64"/>
  <c r="C442" i="64"/>
  <c r="K440" i="64"/>
  <c r="M439" i="64"/>
  <c r="K441" i="64" l="1"/>
  <c r="M440" i="64"/>
  <c r="B444" i="64"/>
  <c r="D443" i="64"/>
  <c r="C443" i="64"/>
  <c r="B445" i="64" l="1"/>
  <c r="D444" i="64"/>
  <c r="C444" i="64"/>
  <c r="K442" i="64"/>
  <c r="M441" i="64"/>
  <c r="K443" i="64" l="1"/>
  <c r="M442" i="64"/>
  <c r="B446" i="64"/>
  <c r="D445" i="64"/>
  <c r="C445" i="64"/>
  <c r="B447" i="64" l="1"/>
  <c r="D446" i="64"/>
  <c r="C446" i="64"/>
  <c r="K444" i="64"/>
  <c r="M443" i="64"/>
  <c r="K445" i="64" l="1"/>
  <c r="M444" i="64"/>
  <c r="B448" i="64"/>
  <c r="D447" i="64"/>
  <c r="C447" i="64"/>
  <c r="B449" i="64" l="1"/>
  <c r="D448" i="64"/>
  <c r="C448" i="64"/>
  <c r="M445" i="64"/>
  <c r="K446" i="64"/>
  <c r="K447" i="64" l="1"/>
  <c r="M446" i="64"/>
  <c r="B450" i="64"/>
  <c r="D449" i="64"/>
  <c r="C449" i="64"/>
  <c r="B451" i="64" l="1"/>
  <c r="D450" i="64"/>
  <c r="C450" i="64"/>
  <c r="K448" i="64"/>
  <c r="M447" i="64"/>
  <c r="K449" i="64" l="1"/>
  <c r="M448" i="64"/>
  <c r="B452" i="64"/>
  <c r="D451" i="64"/>
  <c r="C451" i="64"/>
  <c r="B453" i="64" l="1"/>
  <c r="D452" i="64"/>
  <c r="C452" i="64"/>
  <c r="K450" i="64"/>
  <c r="M449" i="64"/>
  <c r="K451" i="64" l="1"/>
  <c r="M450" i="64"/>
  <c r="B454" i="64"/>
  <c r="D453" i="64"/>
  <c r="C453" i="64"/>
  <c r="B455" i="64" l="1"/>
  <c r="D454" i="64"/>
  <c r="C454" i="64"/>
  <c r="K452" i="64"/>
  <c r="M451" i="64"/>
  <c r="K453" i="64" l="1"/>
  <c r="M452" i="64"/>
  <c r="B456" i="64"/>
  <c r="D455" i="64"/>
  <c r="C455" i="64"/>
  <c r="B457" i="64" l="1"/>
  <c r="D456" i="64"/>
  <c r="C456" i="64"/>
  <c r="K454" i="64"/>
  <c r="M453" i="64"/>
  <c r="K455" i="64" l="1"/>
  <c r="M454" i="64"/>
  <c r="B458" i="64"/>
  <c r="D457" i="64"/>
  <c r="C457" i="64"/>
  <c r="B459" i="64" l="1"/>
  <c r="D458" i="64"/>
  <c r="C458" i="64"/>
  <c r="K456" i="64"/>
  <c r="M455" i="64"/>
  <c r="K457" i="64" l="1"/>
  <c r="M456" i="64"/>
  <c r="B460" i="64"/>
  <c r="D459" i="64"/>
  <c r="C459" i="64"/>
  <c r="B461" i="64" l="1"/>
  <c r="D460" i="64"/>
  <c r="C460" i="64"/>
  <c r="K458" i="64"/>
  <c r="M457" i="64"/>
  <c r="K459" i="64" l="1"/>
  <c r="M458" i="64"/>
  <c r="B462" i="64"/>
  <c r="D461" i="64"/>
  <c r="C461" i="64"/>
  <c r="B463" i="64" l="1"/>
  <c r="D462" i="64"/>
  <c r="C462" i="64"/>
  <c r="K460" i="64"/>
  <c r="M459" i="64"/>
  <c r="K461" i="64" l="1"/>
  <c r="M460" i="64"/>
  <c r="B464" i="64"/>
  <c r="D463" i="64"/>
  <c r="C463" i="64"/>
  <c r="B465" i="64" l="1"/>
  <c r="D464" i="64"/>
  <c r="C464" i="64"/>
  <c r="K462" i="64"/>
  <c r="M461" i="64"/>
  <c r="K463" i="64" l="1"/>
  <c r="M462" i="64"/>
  <c r="B466" i="64"/>
  <c r="D465" i="64"/>
  <c r="C465" i="64"/>
  <c r="B467" i="64" l="1"/>
  <c r="D466" i="64"/>
  <c r="C466" i="64"/>
  <c r="K464" i="64"/>
  <c r="M463" i="64"/>
  <c r="K465" i="64" l="1"/>
  <c r="M464" i="64"/>
  <c r="B468" i="64"/>
  <c r="D467" i="64"/>
  <c r="C467" i="64"/>
  <c r="B469" i="64" l="1"/>
  <c r="D468" i="64"/>
  <c r="C468" i="64"/>
  <c r="K466" i="64"/>
  <c r="M465" i="64"/>
  <c r="K467" i="64" l="1"/>
  <c r="M466" i="64"/>
  <c r="B470" i="64"/>
  <c r="D469" i="64"/>
  <c r="C469" i="64"/>
  <c r="B471" i="64" l="1"/>
  <c r="D470" i="64"/>
  <c r="C470" i="64"/>
  <c r="K468" i="64"/>
  <c r="M467" i="64"/>
  <c r="K469" i="64" l="1"/>
  <c r="M468" i="64"/>
  <c r="B472" i="64"/>
  <c r="D471" i="64"/>
  <c r="C471" i="64"/>
  <c r="B473" i="64" l="1"/>
  <c r="D472" i="64"/>
  <c r="C472" i="64"/>
  <c r="M469" i="64"/>
  <c r="K470" i="64"/>
  <c r="K471" i="64" l="1"/>
  <c r="M470" i="64"/>
  <c r="B474" i="64"/>
  <c r="D473" i="64"/>
  <c r="C473" i="64"/>
  <c r="B475" i="64" l="1"/>
  <c r="D474" i="64"/>
  <c r="C474" i="64"/>
  <c r="K472" i="64"/>
  <c r="M471" i="64"/>
  <c r="K473" i="64" l="1"/>
  <c r="M472" i="64"/>
  <c r="B476" i="64"/>
  <c r="D475" i="64"/>
  <c r="C475" i="64"/>
  <c r="B477" i="64" l="1"/>
  <c r="D476" i="64"/>
  <c r="C476" i="64"/>
  <c r="K474" i="64"/>
  <c r="M473" i="64"/>
  <c r="K475" i="64" l="1"/>
  <c r="M474" i="64"/>
  <c r="B478" i="64"/>
  <c r="D477" i="64"/>
  <c r="C477" i="64"/>
  <c r="B479" i="64" l="1"/>
  <c r="D478" i="64"/>
  <c r="C478" i="64"/>
  <c r="K476" i="64"/>
  <c r="M475" i="64"/>
  <c r="K477" i="64" l="1"/>
  <c r="M476" i="64"/>
  <c r="B480" i="64"/>
  <c r="D479" i="64"/>
  <c r="C479" i="64"/>
  <c r="B481" i="64" l="1"/>
  <c r="D480" i="64"/>
  <c r="C480" i="64"/>
  <c r="M477" i="64"/>
  <c r="K478" i="64"/>
  <c r="K479" i="64" l="1"/>
  <c r="M478" i="64"/>
  <c r="B482" i="64"/>
  <c r="D481" i="64"/>
  <c r="C481" i="64"/>
  <c r="B483" i="64" l="1"/>
  <c r="D482" i="64"/>
  <c r="C482" i="64"/>
  <c r="K480" i="64"/>
  <c r="M479" i="64"/>
  <c r="K481" i="64" l="1"/>
  <c r="M480" i="64"/>
  <c r="B484" i="64"/>
  <c r="D483" i="64"/>
  <c r="C483" i="64"/>
  <c r="B485" i="64" l="1"/>
  <c r="D484" i="64"/>
  <c r="C484" i="64"/>
  <c r="K482" i="64"/>
  <c r="M481" i="64"/>
  <c r="K483" i="64" l="1"/>
  <c r="M482" i="64"/>
  <c r="B486" i="64"/>
  <c r="D485" i="64"/>
  <c r="C485" i="64"/>
  <c r="B487" i="64" l="1"/>
  <c r="D486" i="64"/>
  <c r="C486" i="64"/>
  <c r="K484" i="64"/>
  <c r="M483" i="64"/>
  <c r="K485" i="64" l="1"/>
  <c r="M484" i="64"/>
  <c r="B488" i="64"/>
  <c r="D487" i="64"/>
  <c r="C487" i="64"/>
  <c r="B489" i="64" l="1"/>
  <c r="D488" i="64"/>
  <c r="C488" i="64"/>
  <c r="M485" i="64"/>
  <c r="K486" i="64"/>
  <c r="K487" i="64" l="1"/>
  <c r="M486" i="64"/>
  <c r="B490" i="64"/>
  <c r="D489" i="64"/>
  <c r="C489" i="64"/>
  <c r="B491" i="64" l="1"/>
  <c r="D490" i="64"/>
  <c r="C490" i="64"/>
  <c r="K488" i="64"/>
  <c r="M487" i="64"/>
  <c r="K489" i="64" l="1"/>
  <c r="M488" i="64"/>
  <c r="B492" i="64"/>
  <c r="D491" i="64"/>
  <c r="C491" i="64"/>
  <c r="B493" i="64" l="1"/>
  <c r="D492" i="64"/>
  <c r="C492" i="64"/>
  <c r="K490" i="64"/>
  <c r="M489" i="64"/>
  <c r="K491" i="64" l="1"/>
  <c r="M490" i="64"/>
  <c r="B494" i="64"/>
  <c r="D493" i="64"/>
  <c r="C493" i="64"/>
  <c r="B495" i="64" l="1"/>
  <c r="D494" i="64"/>
  <c r="C494" i="64"/>
  <c r="K492" i="64"/>
  <c r="M491" i="64"/>
  <c r="K493" i="64" l="1"/>
  <c r="M492" i="64"/>
  <c r="B496" i="64"/>
  <c r="D495" i="64"/>
  <c r="C495" i="64"/>
  <c r="B497" i="64" l="1"/>
  <c r="D496" i="64"/>
  <c r="C496" i="64"/>
  <c r="M493" i="64"/>
  <c r="K494" i="64"/>
  <c r="K495" i="64" l="1"/>
  <c r="M494" i="64"/>
  <c r="B498" i="64"/>
  <c r="D497" i="64"/>
  <c r="C497" i="64"/>
  <c r="B499" i="64" l="1"/>
  <c r="D498" i="64"/>
  <c r="C498" i="64"/>
  <c r="K496" i="64"/>
  <c r="M495" i="64"/>
  <c r="K497" i="64" l="1"/>
  <c r="M496" i="64"/>
  <c r="B500" i="64"/>
  <c r="D499" i="64"/>
  <c r="C499" i="64"/>
  <c r="B501" i="64" l="1"/>
  <c r="D500" i="64"/>
  <c r="C500" i="64"/>
  <c r="K498" i="64"/>
  <c r="M497" i="64"/>
  <c r="K499" i="64" l="1"/>
  <c r="M498" i="64"/>
  <c r="B502" i="64"/>
  <c r="D501" i="64"/>
  <c r="C501" i="64"/>
  <c r="B503" i="64" l="1"/>
  <c r="D502" i="64"/>
  <c r="C502" i="64"/>
  <c r="K500" i="64"/>
  <c r="M499" i="64"/>
  <c r="K501" i="64" l="1"/>
  <c r="M500" i="64"/>
  <c r="B504" i="64"/>
  <c r="D503" i="64"/>
  <c r="C503" i="64"/>
  <c r="B505" i="64" l="1"/>
  <c r="D504" i="64"/>
  <c r="C504" i="64"/>
  <c r="M501" i="64"/>
  <c r="K502" i="64"/>
  <c r="K503" i="64" l="1"/>
  <c r="M502" i="64"/>
  <c r="B506" i="64"/>
  <c r="D505" i="64"/>
  <c r="C505" i="64"/>
  <c r="B507" i="64" l="1"/>
  <c r="D506" i="64"/>
  <c r="C506" i="64"/>
  <c r="K504" i="64"/>
  <c r="M503" i="64"/>
  <c r="K505" i="64" l="1"/>
  <c r="M504" i="64"/>
  <c r="B508" i="64"/>
  <c r="D507" i="64"/>
  <c r="C507" i="64"/>
  <c r="B509" i="64" l="1"/>
  <c r="D508" i="64"/>
  <c r="C508" i="64"/>
  <c r="K506" i="64"/>
  <c r="M505" i="64"/>
  <c r="K507" i="64" l="1"/>
  <c r="M506" i="64"/>
  <c r="B510" i="64"/>
  <c r="D509" i="64"/>
  <c r="C509" i="64"/>
  <c r="B511" i="64" l="1"/>
  <c r="D510" i="64"/>
  <c r="C510" i="64"/>
  <c r="K508" i="64"/>
  <c r="M507" i="64"/>
  <c r="K509" i="64" l="1"/>
  <c r="M508" i="64"/>
  <c r="B512" i="64"/>
  <c r="D511" i="64"/>
  <c r="C511" i="64"/>
  <c r="B513" i="64" l="1"/>
  <c r="D512" i="64"/>
  <c r="C512" i="64"/>
  <c r="M509" i="64"/>
  <c r="K510" i="64"/>
  <c r="K511" i="64" l="1"/>
  <c r="M510" i="64"/>
  <c r="B514" i="64"/>
  <c r="D513" i="64"/>
  <c r="C513" i="64"/>
  <c r="B515" i="64" l="1"/>
  <c r="D514" i="64"/>
  <c r="C514" i="64"/>
  <c r="K512" i="64"/>
  <c r="M511" i="64"/>
  <c r="K513" i="64" l="1"/>
  <c r="M512" i="64"/>
  <c r="B516" i="64"/>
  <c r="D515" i="64"/>
  <c r="C515" i="64"/>
  <c r="B517" i="64" l="1"/>
  <c r="D516" i="64"/>
  <c r="C516" i="64"/>
  <c r="K514" i="64"/>
  <c r="M513" i="64"/>
  <c r="K515" i="64" l="1"/>
  <c r="M514" i="64"/>
  <c r="D517" i="64"/>
  <c r="B518" i="64"/>
  <c r="C517" i="64"/>
  <c r="C518" i="64" l="1"/>
  <c r="B519" i="64"/>
  <c r="D518" i="64"/>
  <c r="K516" i="64"/>
  <c r="M515" i="64"/>
  <c r="K517" i="64" l="1"/>
  <c r="M516" i="64"/>
  <c r="C519" i="64"/>
  <c r="B520" i="64"/>
  <c r="D519" i="64"/>
  <c r="C520" i="64" l="1"/>
  <c r="D520" i="64"/>
  <c r="B521" i="64"/>
  <c r="K518" i="64"/>
  <c r="M517" i="64"/>
  <c r="K519" i="64" l="1"/>
  <c r="M518" i="64"/>
  <c r="C521" i="64"/>
  <c r="D521" i="64"/>
  <c r="B522" i="64"/>
  <c r="C522" i="64" l="1"/>
  <c r="B523" i="64"/>
  <c r="D522" i="64"/>
  <c r="K520" i="64"/>
  <c r="M519" i="64"/>
  <c r="K521" i="64" l="1"/>
  <c r="M520" i="64"/>
  <c r="C523" i="64"/>
  <c r="B524" i="64"/>
  <c r="D523" i="64"/>
  <c r="B525" i="64" l="1"/>
  <c r="D524" i="64"/>
  <c r="C524" i="64"/>
  <c r="K522" i="64"/>
  <c r="M521" i="64"/>
  <c r="K523" i="64" l="1"/>
  <c r="M522" i="64"/>
  <c r="C525" i="64"/>
  <c r="B526" i="64"/>
  <c r="D525" i="64"/>
  <c r="B527" i="64" l="1"/>
  <c r="D526" i="64"/>
  <c r="C526" i="64"/>
  <c r="K524" i="64"/>
  <c r="M523" i="64"/>
  <c r="K525" i="64" l="1"/>
  <c r="M524" i="64"/>
  <c r="C527" i="64"/>
  <c r="B528" i="64"/>
  <c r="D527" i="64"/>
  <c r="B529" i="64" l="1"/>
  <c r="D528" i="64"/>
  <c r="C528" i="64"/>
  <c r="K526" i="64"/>
  <c r="M525" i="64"/>
  <c r="K527" i="64" l="1"/>
  <c r="M526" i="64"/>
  <c r="C529" i="64"/>
  <c r="B530" i="64"/>
  <c r="D529" i="64"/>
  <c r="B531" i="64" l="1"/>
  <c r="D530" i="64"/>
  <c r="C530" i="64"/>
  <c r="K528" i="64"/>
  <c r="M527" i="64"/>
  <c r="K529" i="64" l="1"/>
  <c r="M528" i="64"/>
  <c r="C531" i="64"/>
  <c r="B532" i="64"/>
  <c r="D531" i="64"/>
  <c r="K530" i="64" l="1"/>
  <c r="M529" i="64"/>
  <c r="B533" i="64"/>
  <c r="D532" i="64"/>
  <c r="C532" i="64"/>
  <c r="C533" i="64" l="1"/>
  <c r="B534" i="64"/>
  <c r="D533" i="64"/>
  <c r="K531" i="64"/>
  <c r="M530" i="64"/>
  <c r="K532" i="64" l="1"/>
  <c r="M531" i="64"/>
  <c r="B535" i="64"/>
  <c r="D534" i="64"/>
  <c r="C534" i="64"/>
  <c r="B536" i="64" l="1"/>
  <c r="D535" i="64"/>
  <c r="C535" i="64"/>
  <c r="K533" i="64"/>
  <c r="M532" i="64"/>
  <c r="M533" i="64" l="1"/>
  <c r="K534" i="64"/>
  <c r="C536" i="64"/>
  <c r="B537" i="64"/>
  <c r="D536" i="64"/>
  <c r="M534" i="64" l="1"/>
  <c r="K535" i="64"/>
  <c r="D537" i="64"/>
  <c r="C537" i="64"/>
  <c r="B538" i="64"/>
  <c r="M535" i="64" l="1"/>
  <c r="K536" i="64"/>
  <c r="B539" i="64"/>
  <c r="D538" i="64"/>
  <c r="C538" i="64"/>
  <c r="M536" i="64" l="1"/>
  <c r="K537" i="64"/>
  <c r="B540" i="64"/>
  <c r="D539" i="64"/>
  <c r="C539" i="64"/>
  <c r="M537" i="64" l="1"/>
  <c r="K538" i="64"/>
  <c r="C540" i="64"/>
  <c r="B541" i="64"/>
  <c r="D540" i="64"/>
  <c r="M538" i="64" l="1"/>
  <c r="K539" i="64"/>
  <c r="D541" i="64"/>
  <c r="C541" i="64"/>
  <c r="B542" i="64"/>
  <c r="K540" i="64" l="1"/>
  <c r="M539" i="64"/>
  <c r="D542" i="64"/>
  <c r="B543" i="64"/>
  <c r="C542" i="64"/>
  <c r="M540" i="64" l="1"/>
  <c r="K541" i="64"/>
  <c r="B544" i="64"/>
  <c r="C543" i="64"/>
  <c r="D543" i="64"/>
  <c r="M541" i="64" l="1"/>
  <c r="K542" i="64"/>
  <c r="B545" i="64"/>
  <c r="D544" i="64"/>
  <c r="C544" i="64"/>
  <c r="M542" i="64" l="1"/>
  <c r="K543" i="64"/>
  <c r="C545" i="64"/>
  <c r="B546" i="64"/>
  <c r="D545" i="64"/>
  <c r="K544" i="64" l="1"/>
  <c r="M543" i="64"/>
  <c r="D546" i="64"/>
  <c r="B547" i="64"/>
  <c r="C546" i="64"/>
  <c r="M544" i="64" l="1"/>
  <c r="K545" i="64"/>
  <c r="B548" i="64"/>
  <c r="D547" i="64"/>
  <c r="C547" i="64"/>
  <c r="M545" i="64" l="1"/>
  <c r="K546" i="64"/>
  <c r="D548" i="64"/>
  <c r="C548" i="64"/>
  <c r="B549" i="64"/>
  <c r="M546" i="64" l="1"/>
  <c r="K547" i="64"/>
  <c r="C549" i="64"/>
  <c r="B550" i="64"/>
  <c r="D549" i="64"/>
  <c r="M547" i="64" l="1"/>
  <c r="K548" i="64"/>
  <c r="D550" i="64"/>
  <c r="C550" i="64"/>
  <c r="B551" i="64"/>
  <c r="K549" i="64" l="1"/>
  <c r="M548" i="64"/>
  <c r="B552" i="64"/>
  <c r="D551" i="64"/>
  <c r="C551" i="64"/>
  <c r="M549" i="64" l="1"/>
  <c r="K550" i="64"/>
  <c r="C552" i="64"/>
  <c r="B553" i="64"/>
  <c r="D552" i="64"/>
  <c r="M550" i="64" l="1"/>
  <c r="K551" i="64"/>
  <c r="C553" i="64"/>
  <c r="B554" i="64"/>
  <c r="D553" i="64"/>
  <c r="M551" i="64" l="1"/>
  <c r="K552" i="64"/>
  <c r="D554" i="64"/>
  <c r="B555" i="64"/>
  <c r="C554" i="64"/>
  <c r="K553" i="64" l="1"/>
  <c r="M552" i="64"/>
  <c r="B556" i="64"/>
  <c r="D555" i="64"/>
  <c r="C555" i="64"/>
  <c r="M553" i="64" l="1"/>
  <c r="K554" i="64"/>
  <c r="B557" i="64"/>
  <c r="D556" i="64"/>
  <c r="C556" i="64"/>
  <c r="M554" i="64" l="1"/>
  <c r="K555" i="64"/>
  <c r="C557" i="64"/>
  <c r="D557" i="64"/>
  <c r="B558" i="64"/>
  <c r="M555" i="64" l="1"/>
  <c r="K556" i="64"/>
  <c r="D558" i="64"/>
  <c r="B559" i="64"/>
  <c r="C558" i="64"/>
  <c r="K557" i="64" l="1"/>
  <c r="M556" i="64"/>
  <c r="B560" i="64"/>
  <c r="C559" i="64"/>
  <c r="D559" i="64"/>
  <c r="M557" i="64" l="1"/>
  <c r="K558" i="64"/>
  <c r="B561" i="64"/>
  <c r="D560" i="64"/>
  <c r="C560" i="64"/>
  <c r="M558" i="64" l="1"/>
  <c r="K559" i="64"/>
  <c r="C561" i="64"/>
  <c r="B562" i="64"/>
  <c r="D561" i="64"/>
  <c r="M559" i="64" l="1"/>
  <c r="K560" i="64"/>
  <c r="D562" i="64"/>
  <c r="B563" i="64"/>
  <c r="C562" i="64"/>
  <c r="K561" i="64" l="1"/>
  <c r="M560" i="64"/>
  <c r="B564" i="64"/>
  <c r="D563" i="64"/>
  <c r="C563" i="64"/>
  <c r="M561" i="64" l="1"/>
  <c r="K562" i="64"/>
  <c r="D564" i="64"/>
  <c r="C564" i="64"/>
  <c r="B565" i="64"/>
  <c r="M562" i="64" l="1"/>
  <c r="K563" i="64"/>
  <c r="C565" i="64"/>
  <c r="B566" i="64"/>
  <c r="D565" i="64"/>
  <c r="M563" i="64" l="1"/>
  <c r="K564" i="64"/>
  <c r="D566" i="64"/>
  <c r="C566" i="64"/>
  <c r="B567" i="64"/>
  <c r="K565" i="64" l="1"/>
  <c r="M564" i="64"/>
  <c r="B568" i="64"/>
  <c r="D567" i="64"/>
  <c r="C567" i="64"/>
  <c r="M565" i="64" l="1"/>
  <c r="K566" i="64"/>
  <c r="C568" i="64"/>
  <c r="B569" i="64"/>
  <c r="D568" i="64"/>
  <c r="M566" i="64" l="1"/>
  <c r="K567" i="64"/>
  <c r="C569" i="64"/>
  <c r="B570" i="64"/>
  <c r="D569" i="64"/>
  <c r="M567" i="64" l="1"/>
  <c r="K568" i="64"/>
  <c r="D570" i="64"/>
  <c r="B571" i="64"/>
  <c r="C570" i="64"/>
  <c r="M568" i="64" l="1"/>
  <c r="K569" i="64"/>
  <c r="B572" i="64"/>
  <c r="D571" i="64"/>
  <c r="C571" i="64"/>
  <c r="K570" i="64" l="1"/>
  <c r="M569" i="64"/>
  <c r="B573" i="64"/>
  <c r="D572" i="64"/>
  <c r="C572" i="64"/>
  <c r="M570" i="64" l="1"/>
  <c r="K571" i="64"/>
  <c r="C573" i="64"/>
  <c r="D573" i="64"/>
  <c r="B574" i="64"/>
  <c r="K572" i="64" l="1"/>
  <c r="M571" i="64"/>
  <c r="D574" i="64"/>
  <c r="B575" i="64"/>
  <c r="C574" i="64"/>
  <c r="M572" i="64" l="1"/>
  <c r="K573" i="64"/>
  <c r="B576" i="64"/>
  <c r="C575" i="64"/>
  <c r="D575" i="64"/>
  <c r="M573" i="64" l="1"/>
  <c r="K574" i="64"/>
  <c r="B577" i="64"/>
  <c r="D576" i="64"/>
  <c r="C576" i="64"/>
  <c r="M574" i="64" l="1"/>
  <c r="K575" i="64"/>
  <c r="C577" i="64"/>
  <c r="B578" i="64"/>
  <c r="D577" i="64"/>
  <c r="M575" i="64" l="1"/>
  <c r="K576" i="64"/>
  <c r="D578" i="64"/>
  <c r="B579" i="64"/>
  <c r="C578" i="64"/>
  <c r="M576" i="64" l="1"/>
  <c r="K577" i="64"/>
  <c r="B580" i="64"/>
  <c r="D579" i="64"/>
  <c r="C579" i="64"/>
  <c r="M577" i="64" l="1"/>
  <c r="K578" i="64"/>
  <c r="D580" i="64"/>
  <c r="C580" i="64"/>
  <c r="B581" i="64"/>
  <c r="M578" i="64" l="1"/>
  <c r="K579" i="64"/>
  <c r="C581" i="64"/>
  <c r="B582" i="64"/>
  <c r="D581" i="64"/>
  <c r="K580" i="64" l="1"/>
  <c r="M579" i="64"/>
  <c r="D582" i="64"/>
  <c r="C582" i="64"/>
  <c r="B583" i="64"/>
  <c r="M580" i="64" l="1"/>
  <c r="K581" i="64"/>
  <c r="B584" i="64"/>
  <c r="D583" i="64"/>
  <c r="C583" i="64"/>
  <c r="M581" i="64" l="1"/>
  <c r="K582" i="64"/>
  <c r="C584" i="64"/>
  <c r="B585" i="64"/>
  <c r="D584" i="64"/>
  <c r="M582" i="64" l="1"/>
  <c r="K583" i="64"/>
  <c r="C585" i="64"/>
  <c r="B586" i="64"/>
  <c r="D585" i="64"/>
  <c r="K584" i="64" l="1"/>
  <c r="M583" i="64"/>
  <c r="D586" i="64"/>
  <c r="B587" i="64"/>
  <c r="C586" i="64"/>
  <c r="K585" i="64" l="1"/>
  <c r="M584" i="64"/>
  <c r="B588" i="64"/>
  <c r="D587" i="64"/>
  <c r="C587" i="64"/>
  <c r="K586" i="64" l="1"/>
  <c r="M585" i="64"/>
  <c r="B589" i="64"/>
  <c r="D588" i="64"/>
  <c r="C588" i="64"/>
  <c r="M586" i="64" l="1"/>
  <c r="K587" i="64"/>
  <c r="C589" i="64"/>
  <c r="D589" i="64"/>
  <c r="B590" i="64"/>
  <c r="K588" i="64" l="1"/>
  <c r="M587" i="64"/>
  <c r="D590" i="64"/>
  <c r="B591" i="64"/>
  <c r="C590" i="64"/>
  <c r="K589" i="64" l="1"/>
  <c r="M588" i="64"/>
  <c r="B592" i="64"/>
  <c r="C591" i="64"/>
  <c r="D591" i="64"/>
  <c r="M589" i="64" l="1"/>
  <c r="K590" i="64"/>
  <c r="B593" i="64"/>
  <c r="D592" i="64"/>
  <c r="C592" i="64"/>
  <c r="M590" i="64" l="1"/>
  <c r="K591" i="64"/>
  <c r="C593" i="64"/>
  <c r="B594" i="64"/>
  <c r="D593" i="64"/>
  <c r="M591" i="64" l="1"/>
  <c r="K592" i="64"/>
  <c r="D594" i="64"/>
  <c r="B595" i="64"/>
  <c r="C594" i="64"/>
  <c r="M592" i="64" l="1"/>
  <c r="K593" i="64"/>
  <c r="B596" i="64"/>
  <c r="D595" i="64"/>
  <c r="C595" i="64"/>
  <c r="K594" i="64" l="1"/>
  <c r="M593" i="64"/>
  <c r="D596" i="64"/>
  <c r="C596" i="64"/>
  <c r="B597" i="64"/>
  <c r="M594" i="64" l="1"/>
  <c r="K595" i="64"/>
  <c r="C597" i="64"/>
  <c r="B598" i="64"/>
  <c r="D597" i="64"/>
  <c r="M595" i="64" l="1"/>
  <c r="K596" i="64"/>
  <c r="D598" i="64"/>
  <c r="C598" i="64"/>
  <c r="B599" i="64"/>
  <c r="M596" i="64" l="1"/>
  <c r="K597" i="64"/>
  <c r="B600" i="64"/>
  <c r="D599" i="64"/>
  <c r="C599" i="64"/>
  <c r="M597" i="64" l="1"/>
  <c r="K598" i="64"/>
  <c r="C600" i="64"/>
  <c r="B601" i="64"/>
  <c r="D600" i="64"/>
  <c r="K599" i="64" l="1"/>
  <c r="M598" i="64"/>
  <c r="C601" i="64"/>
  <c r="B602" i="64"/>
  <c r="D601" i="64"/>
  <c r="K600" i="64" l="1"/>
  <c r="M599" i="64"/>
  <c r="D602" i="64"/>
  <c r="B603" i="64"/>
  <c r="C602" i="64"/>
  <c r="M600" i="64" l="1"/>
  <c r="K601" i="64"/>
  <c r="B604" i="64"/>
  <c r="D603" i="64"/>
  <c r="C603" i="64"/>
  <c r="M601" i="64" l="1"/>
  <c r="K602" i="64"/>
  <c r="B605" i="64"/>
  <c r="D604" i="64"/>
  <c r="C604" i="64"/>
  <c r="K603" i="64" l="1"/>
  <c r="M602" i="64"/>
  <c r="C605" i="64"/>
  <c r="D605" i="64"/>
  <c r="B606" i="64"/>
  <c r="K604" i="64" l="1"/>
  <c r="M603" i="64"/>
  <c r="B607" i="64"/>
  <c r="D606" i="64"/>
  <c r="C606" i="64"/>
  <c r="M604" i="64" l="1"/>
  <c r="K605" i="64"/>
  <c r="B608" i="64"/>
  <c r="D607" i="64"/>
  <c r="C607" i="64"/>
  <c r="M605" i="64" l="1"/>
  <c r="K606" i="64"/>
  <c r="C608" i="64"/>
  <c r="B609" i="64"/>
  <c r="D608" i="64"/>
  <c r="K607" i="64" l="1"/>
  <c r="M606" i="64"/>
  <c r="D609" i="64"/>
  <c r="C609" i="64"/>
  <c r="B610" i="64"/>
  <c r="M607" i="64" l="1"/>
  <c r="K608" i="64"/>
  <c r="B611" i="64"/>
  <c r="D610" i="64"/>
  <c r="C610" i="64"/>
  <c r="M608" i="64" l="1"/>
  <c r="K609" i="64"/>
  <c r="B612" i="64"/>
  <c r="D611" i="64"/>
  <c r="C611" i="64"/>
  <c r="M609" i="64" l="1"/>
  <c r="K610" i="64"/>
  <c r="C612" i="64"/>
  <c r="B613" i="64"/>
  <c r="D612" i="64"/>
  <c r="K611" i="64" l="1"/>
  <c r="M610" i="64"/>
  <c r="D613" i="64"/>
  <c r="C613" i="64"/>
  <c r="B614" i="64"/>
  <c r="K612" i="64" l="1"/>
  <c r="M611" i="64"/>
  <c r="B615" i="64"/>
  <c r="D614" i="64"/>
  <c r="C614" i="64"/>
  <c r="M612" i="64" l="1"/>
  <c r="K613" i="64"/>
  <c r="B616" i="64"/>
  <c r="D615" i="64"/>
  <c r="C615" i="64"/>
  <c r="M613" i="64" l="1"/>
  <c r="K614" i="64"/>
  <c r="C616" i="64"/>
  <c r="B617" i="64"/>
  <c r="D616" i="64"/>
  <c r="K615" i="64" l="1"/>
  <c r="M614" i="64"/>
  <c r="D617" i="64"/>
  <c r="C617" i="64"/>
  <c r="B618" i="64"/>
  <c r="K616" i="64" l="1"/>
  <c r="M615" i="64"/>
  <c r="B619" i="64"/>
  <c r="D618" i="64"/>
  <c r="C618" i="64"/>
  <c r="M616" i="64" l="1"/>
  <c r="K617" i="64"/>
  <c r="B620" i="64"/>
  <c r="D619" i="64"/>
  <c r="C619" i="64"/>
  <c r="M617" i="64" l="1"/>
  <c r="K618" i="64"/>
  <c r="C620" i="64"/>
  <c r="B621" i="64"/>
  <c r="D620" i="64"/>
  <c r="M618" i="64" l="1"/>
  <c r="K619" i="64"/>
  <c r="D621" i="64"/>
  <c r="C621" i="64"/>
  <c r="B622" i="64"/>
  <c r="K620" i="64" l="1"/>
  <c r="M619" i="64"/>
  <c r="B623" i="64"/>
  <c r="D622" i="64"/>
  <c r="C622" i="64"/>
  <c r="M620" i="64" l="1"/>
  <c r="K621" i="64"/>
  <c r="B624" i="64"/>
  <c r="D623" i="64"/>
  <c r="C623" i="64"/>
  <c r="M621" i="64" l="1"/>
  <c r="K622" i="64"/>
  <c r="C624" i="64"/>
  <c r="B625" i="64"/>
  <c r="D624" i="64"/>
  <c r="K623" i="64" l="1"/>
  <c r="M622" i="64"/>
  <c r="D625" i="64"/>
  <c r="C625" i="64"/>
  <c r="B626" i="64"/>
  <c r="M623" i="64" l="1"/>
  <c r="K624" i="64"/>
  <c r="B627" i="64"/>
  <c r="D626" i="64"/>
  <c r="C626" i="64"/>
  <c r="M624" i="64" l="1"/>
  <c r="K625" i="64"/>
  <c r="B628" i="64"/>
  <c r="D627" i="64"/>
  <c r="C627" i="64"/>
  <c r="K626" i="64" l="1"/>
  <c r="M625" i="64"/>
  <c r="C628" i="64"/>
  <c r="B629" i="64"/>
  <c r="D628" i="64"/>
  <c r="K627" i="64" l="1"/>
  <c r="M626" i="64"/>
  <c r="D629" i="64"/>
  <c r="C629" i="64"/>
  <c r="B630" i="64"/>
  <c r="K628" i="64" l="1"/>
  <c r="M627" i="64"/>
  <c r="B631" i="64"/>
  <c r="D630" i="64"/>
  <c r="C630" i="64"/>
  <c r="K629" i="64" l="1"/>
  <c r="M628" i="64"/>
  <c r="B632" i="64"/>
  <c r="D631" i="64"/>
  <c r="C631" i="64"/>
  <c r="K630" i="64" l="1"/>
  <c r="M629" i="64"/>
  <c r="C632" i="64"/>
  <c r="B633" i="64"/>
  <c r="D632" i="64"/>
  <c r="K631" i="64" l="1"/>
  <c r="M630" i="64"/>
  <c r="D633" i="64"/>
  <c r="C633" i="64"/>
  <c r="B634" i="64"/>
  <c r="K632" i="64" l="1"/>
  <c r="M631" i="64"/>
  <c r="B635" i="64"/>
  <c r="D634" i="64"/>
  <c r="C634" i="64"/>
  <c r="K633" i="64" l="1"/>
  <c r="M632" i="64"/>
  <c r="B636" i="64"/>
  <c r="D635" i="64"/>
  <c r="C635" i="64"/>
  <c r="K634" i="64" l="1"/>
  <c r="M633" i="64"/>
  <c r="C636" i="64"/>
  <c r="B637" i="64"/>
  <c r="D636" i="64"/>
  <c r="K635" i="64" l="1"/>
  <c r="M634" i="64"/>
  <c r="D637" i="64"/>
  <c r="C637" i="64"/>
  <c r="B638" i="64"/>
  <c r="K636" i="64" l="1"/>
  <c r="M635" i="64"/>
  <c r="B639" i="64"/>
  <c r="D638" i="64"/>
  <c r="C638" i="64"/>
  <c r="K637" i="64" l="1"/>
  <c r="M636" i="64"/>
  <c r="B640" i="64"/>
  <c r="D639" i="64"/>
  <c r="C639" i="64"/>
  <c r="K638" i="64" l="1"/>
  <c r="M637" i="64"/>
  <c r="C640" i="64"/>
  <c r="B641" i="64"/>
  <c r="D640" i="64"/>
  <c r="K639" i="64" l="1"/>
  <c r="M638" i="64"/>
  <c r="D641" i="64"/>
  <c r="C641" i="64"/>
  <c r="B642" i="64"/>
  <c r="K640" i="64" l="1"/>
  <c r="M639" i="64"/>
  <c r="B643" i="64"/>
  <c r="D642" i="64"/>
  <c r="C642" i="64"/>
  <c r="K641" i="64" l="1"/>
  <c r="M640" i="64"/>
  <c r="B644" i="64"/>
  <c r="D643" i="64"/>
  <c r="C643" i="64"/>
  <c r="K642" i="64" l="1"/>
  <c r="M641" i="64"/>
  <c r="C644" i="64"/>
  <c r="B645" i="64"/>
  <c r="D644" i="64"/>
  <c r="K643" i="64" l="1"/>
  <c r="M642" i="64"/>
  <c r="D645" i="64"/>
  <c r="C645" i="64"/>
  <c r="B646" i="64"/>
  <c r="K644" i="64" l="1"/>
  <c r="M643" i="64"/>
  <c r="B647" i="64"/>
  <c r="D646" i="64"/>
  <c r="C646" i="64"/>
  <c r="K645" i="64" l="1"/>
  <c r="M644" i="64"/>
  <c r="B648" i="64"/>
  <c r="D647" i="64"/>
  <c r="C647" i="64"/>
  <c r="K646" i="64" l="1"/>
  <c r="M645" i="64"/>
  <c r="C648" i="64"/>
  <c r="B649" i="64"/>
  <c r="D648" i="64"/>
  <c r="K647" i="64" l="1"/>
  <c r="M646" i="64"/>
  <c r="D649" i="64"/>
  <c r="C649" i="64"/>
  <c r="B650" i="64"/>
  <c r="K648" i="64" l="1"/>
  <c r="M647" i="64"/>
  <c r="B651" i="64"/>
  <c r="D650" i="64"/>
  <c r="C650" i="64"/>
  <c r="K649" i="64" l="1"/>
  <c r="M648" i="64"/>
  <c r="B652" i="64"/>
  <c r="D651" i="64"/>
  <c r="C651" i="64"/>
  <c r="K650" i="64" l="1"/>
  <c r="M649" i="64"/>
  <c r="C652" i="64"/>
  <c r="B653" i="64"/>
  <c r="D652" i="64"/>
  <c r="K651" i="64" l="1"/>
  <c r="M650" i="64"/>
  <c r="D653" i="64"/>
  <c r="C653" i="64"/>
  <c r="B654" i="64"/>
  <c r="K652" i="64" l="1"/>
  <c r="M651" i="64"/>
  <c r="B655" i="64"/>
  <c r="D654" i="64"/>
  <c r="C654" i="64"/>
  <c r="K653" i="64" l="1"/>
  <c r="M652" i="64"/>
  <c r="D655" i="64"/>
  <c r="C655" i="64"/>
  <c r="K654" i="64" l="1"/>
  <c r="M653" i="64"/>
  <c r="E12" i="62"/>
  <c r="E25" i="62"/>
  <c r="E14" i="62"/>
  <c r="C13" i="62"/>
  <c r="E13" i="62" s="1"/>
  <c r="B5" i="62"/>
  <c r="E54" i="62"/>
  <c r="K655" i="64" l="1"/>
  <c r="M654" i="64"/>
  <c r="E11" i="62"/>
  <c r="E18" i="62" s="1"/>
  <c r="D8" i="62" s="1"/>
  <c r="E16" i="24"/>
  <c r="E17" i="24"/>
  <c r="B5" i="24"/>
  <c r="B5" i="28"/>
  <c r="B5" i="30"/>
  <c r="M655" i="64" l="1"/>
  <c r="K656" i="64"/>
  <c r="E19" i="24"/>
  <c r="E11" i="24"/>
  <c r="K657" i="64" l="1"/>
  <c r="E14" i="24"/>
  <c r="E21" i="24" s="1"/>
  <c r="C8" i="30"/>
  <c r="K658" i="64" l="1"/>
  <c r="M657" i="64"/>
  <c r="C7" i="28"/>
  <c r="D8" i="24"/>
  <c r="K659" i="64" l="1"/>
  <c r="M658" i="64"/>
  <c r="E91" i="24"/>
  <c r="K660" i="64" l="1"/>
  <c r="M659" i="64"/>
  <c r="A11" i="3"/>
  <c r="A13" i="3" s="1"/>
  <c r="A2" i="3"/>
  <c r="A1" i="3"/>
  <c r="B2" i="70" s="1"/>
  <c r="K661" i="64" l="1"/>
  <c r="M660" i="64"/>
  <c r="B4" i="71"/>
  <c r="B4" i="67"/>
  <c r="B4" i="70"/>
  <c r="B4" i="68"/>
  <c r="B2" i="60"/>
  <c r="B2" i="80" s="1"/>
  <c r="B3" i="60"/>
  <c r="B3" i="80" s="1"/>
  <c r="K662" i="64" l="1"/>
  <c r="M661" i="64"/>
  <c r="B3" i="66"/>
  <c r="B3" i="79"/>
  <c r="B2" i="66"/>
  <c r="B2" i="79"/>
  <c r="B3" i="65"/>
  <c r="B3" i="63"/>
  <c r="B3" i="62"/>
  <c r="B3" i="28"/>
  <c r="B3" i="24"/>
  <c r="B3" i="30"/>
  <c r="B2" i="65"/>
  <c r="B2" i="64"/>
  <c r="B2" i="63"/>
  <c r="B2" i="62"/>
  <c r="B2" i="30"/>
  <c r="B2" i="28"/>
  <c r="B2" i="24"/>
  <c r="K663" i="64" l="1"/>
  <c r="M662" i="64"/>
  <c r="K664" i="64" l="1"/>
  <c r="M663" i="64"/>
  <c r="K665" i="64" l="1"/>
  <c r="M664" i="64"/>
  <c r="K666" i="64" l="1"/>
  <c r="M665" i="64"/>
  <c r="K667" i="64" l="1"/>
  <c r="M666" i="64"/>
  <c r="K668" i="64" l="1"/>
  <c r="M667" i="64"/>
  <c r="K669" i="64" l="1"/>
  <c r="M668" i="64"/>
  <c r="K670" i="64" l="1"/>
  <c r="M669" i="64"/>
  <c r="K671" i="64" l="1"/>
  <c r="M670" i="64"/>
  <c r="K672" i="64" l="1"/>
  <c r="M671" i="64"/>
  <c r="K673" i="64" l="1"/>
  <c r="M672" i="64"/>
  <c r="K674" i="64" l="1"/>
  <c r="M673" i="64"/>
  <c r="K675" i="64" l="1"/>
  <c r="M674" i="64"/>
  <c r="K676" i="64" l="1"/>
  <c r="M675" i="64"/>
  <c r="K677" i="64" l="1"/>
  <c r="M676" i="64"/>
  <c r="K678" i="64" l="1"/>
  <c r="M677" i="64"/>
  <c r="K679" i="64" l="1"/>
  <c r="M678" i="64"/>
  <c r="K680" i="64" l="1"/>
  <c r="M679" i="64"/>
  <c r="K681" i="64" l="1"/>
  <c r="M680" i="64"/>
  <c r="K682" i="64" l="1"/>
  <c r="M681" i="64"/>
  <c r="K683" i="64" l="1"/>
  <c r="M682" i="64"/>
  <c r="K684" i="64" l="1"/>
  <c r="M683" i="64"/>
  <c r="K685" i="64" l="1"/>
  <c r="M684" i="64"/>
  <c r="K686" i="64" l="1"/>
  <c r="K687" i="64" s="1"/>
  <c r="K689" i="64" s="1"/>
  <c r="M685" i="64"/>
  <c r="M686" i="64" l="1"/>
  <c r="M687" i="64" l="1"/>
  <c r="N687" i="64" s="1"/>
  <c r="K690" i="64" l="1"/>
  <c r="M689" i="64"/>
  <c r="K691" i="64" l="1"/>
  <c r="M690" i="64"/>
  <c r="K692" i="64" l="1"/>
  <c r="M691" i="64"/>
  <c r="K693" i="64" l="1"/>
  <c r="M692" i="64"/>
  <c r="K694" i="64" l="1"/>
  <c r="M693" i="64"/>
  <c r="K695" i="64" l="1"/>
  <c r="M694" i="64"/>
  <c r="K696" i="64" l="1"/>
  <c r="M695" i="64"/>
  <c r="K697" i="64" l="1"/>
  <c r="M696" i="64"/>
  <c r="K698" i="64" l="1"/>
  <c r="M697" i="64"/>
  <c r="K699" i="64" l="1"/>
  <c r="K700" i="64" s="1"/>
  <c r="M698" i="64"/>
  <c r="M699" i="64" l="1"/>
  <c r="K701" i="64" l="1"/>
  <c r="M700" i="64"/>
  <c r="K702" i="64" l="1"/>
  <c r="M701" i="64"/>
  <c r="K703" i="64" l="1"/>
  <c r="M702" i="64"/>
  <c r="K704" i="64" l="1"/>
  <c r="M703" i="64"/>
  <c r="K705" i="64" l="1"/>
  <c r="M704" i="64"/>
  <c r="K706" i="64" l="1"/>
  <c r="M705" i="64"/>
  <c r="K707" i="64" l="1"/>
  <c r="M706" i="64"/>
  <c r="K708" i="64" l="1"/>
  <c r="M707" i="64"/>
  <c r="K709" i="64" l="1"/>
  <c r="M708" i="64"/>
  <c r="K710" i="64" l="1"/>
  <c r="M709" i="64"/>
  <c r="K711" i="64" l="1"/>
  <c r="M710" i="64"/>
  <c r="K712" i="64" l="1"/>
  <c r="M711" i="64"/>
  <c r="K713" i="64" l="1"/>
  <c r="M712" i="64"/>
  <c r="K714" i="64" l="1"/>
  <c r="M713" i="64"/>
  <c r="K715" i="64" l="1"/>
  <c r="K716" i="64" s="1"/>
  <c r="M714" i="64"/>
  <c r="M715" i="64" l="1"/>
  <c r="K717" i="64" l="1"/>
  <c r="M716" i="64"/>
  <c r="N716" i="64" l="1"/>
  <c r="K718" i="64"/>
  <c r="K719" i="64" l="1"/>
  <c r="M718" i="64"/>
  <c r="K720" i="64" l="1"/>
  <c r="M719" i="64"/>
  <c r="K721" i="64" l="1"/>
  <c r="M720" i="64"/>
  <c r="K722" i="64" l="1"/>
  <c r="M721" i="64"/>
  <c r="K723" i="64" l="1"/>
  <c r="M722" i="64"/>
  <c r="K724" i="64" l="1"/>
  <c r="M723" i="64"/>
  <c r="K725" i="64" l="1"/>
  <c r="M724" i="64"/>
  <c r="K726" i="64" l="1"/>
  <c r="K727" i="64" s="1"/>
  <c r="M725" i="64"/>
  <c r="M726" i="64" l="1"/>
  <c r="K728" i="64" l="1"/>
  <c r="M727" i="64"/>
  <c r="K729" i="64" l="1"/>
  <c r="M728" i="64"/>
  <c r="K730" i="64" l="1"/>
  <c r="M729" i="64"/>
  <c r="K731" i="64" l="1"/>
  <c r="M730" i="64"/>
  <c r="K732" i="64" l="1"/>
  <c r="M731" i="64"/>
  <c r="K733" i="64" l="1"/>
  <c r="M732" i="64"/>
  <c r="K734" i="64" l="1"/>
  <c r="M733" i="64"/>
  <c r="K735" i="64" l="1"/>
  <c r="M734" i="64"/>
  <c r="K736" i="64" l="1"/>
  <c r="M735" i="64"/>
  <c r="K737" i="64" l="1"/>
  <c r="M736" i="64"/>
  <c r="K738" i="64" l="1"/>
  <c r="M737" i="64"/>
  <c r="K739" i="64" l="1"/>
  <c r="M738" i="64"/>
  <c r="K740" i="64" l="1"/>
  <c r="K741" i="64" s="1"/>
  <c r="M739" i="64"/>
  <c r="M740" i="64" l="1"/>
  <c r="K742" i="64" l="1"/>
  <c r="M741" i="64"/>
  <c r="K743" i="64" l="1"/>
  <c r="M742" i="64"/>
  <c r="K744" i="64" l="1"/>
  <c r="M743" i="64"/>
  <c r="K745" i="64" l="1"/>
  <c r="M744" i="64"/>
  <c r="K746" i="64" l="1"/>
  <c r="M745" i="64"/>
  <c r="K747" i="64" l="1"/>
  <c r="M746" i="64"/>
  <c r="K748" i="64" l="1"/>
  <c r="M747" i="64"/>
  <c r="K749" i="64" l="1"/>
  <c r="M748" i="64"/>
  <c r="N748" i="64" s="1"/>
  <c r="K750" i="64" l="1"/>
  <c r="K751" i="64" l="1"/>
  <c r="M750" i="64"/>
  <c r="K752" i="64" l="1"/>
  <c r="M751" i="64"/>
  <c r="K753" i="64" l="1"/>
  <c r="M752" i="64"/>
  <c r="K754" i="64" l="1"/>
  <c r="M753" i="64"/>
  <c r="K755" i="64" l="1"/>
  <c r="M754" i="64"/>
  <c r="K756" i="64" l="1"/>
  <c r="M755" i="64"/>
  <c r="K757" i="64" l="1"/>
  <c r="M756" i="64"/>
  <c r="K758" i="64" l="1"/>
  <c r="M757" i="64"/>
  <c r="K759" i="64" l="1"/>
  <c r="M758" i="64"/>
  <c r="K760" i="64" l="1"/>
  <c r="M759" i="64"/>
  <c r="K761" i="64" l="1"/>
  <c r="M760" i="64"/>
  <c r="K762" i="64" l="1"/>
  <c r="M761" i="64"/>
  <c r="K763" i="64" l="1"/>
  <c r="M762" i="64"/>
  <c r="K764" i="64" l="1"/>
  <c r="M763" i="64"/>
  <c r="K765" i="64" l="1"/>
  <c r="M764" i="64"/>
  <c r="K766" i="64" l="1"/>
  <c r="M765" i="64"/>
  <c r="K767" i="64" l="1"/>
  <c r="M766" i="64"/>
  <c r="K768" i="64" l="1"/>
  <c r="M767" i="64"/>
  <c r="K769" i="64" l="1"/>
  <c r="M768" i="64"/>
  <c r="K770" i="64" l="1"/>
  <c r="M769" i="64"/>
  <c r="K771" i="64" l="1"/>
  <c r="M770" i="64"/>
  <c r="K772" i="64" l="1"/>
  <c r="M771" i="64"/>
  <c r="K773" i="64" l="1"/>
  <c r="M772" i="64"/>
  <c r="K774" i="64" l="1"/>
  <c r="M773" i="64"/>
  <c r="K775" i="64" l="1"/>
  <c r="M774" i="64"/>
  <c r="K776" i="64" l="1"/>
  <c r="M775" i="64"/>
  <c r="K777" i="64" l="1"/>
  <c r="M776" i="64"/>
  <c r="K778" i="64" l="1"/>
  <c r="M777" i="64"/>
  <c r="K779" i="64" l="1"/>
  <c r="M778" i="64"/>
  <c r="K780" i="64" l="1"/>
  <c r="M779" i="64"/>
  <c r="N779" i="64" s="1"/>
  <c r="K781" i="64" l="1"/>
  <c r="K782" i="64" l="1"/>
  <c r="M781" i="64"/>
  <c r="K783" i="64" l="1"/>
  <c r="M782" i="64"/>
  <c r="K784" i="64" l="1"/>
  <c r="M783" i="64"/>
  <c r="K785" i="64" l="1"/>
  <c r="M784" i="64"/>
  <c r="K786" i="64" l="1"/>
  <c r="M785" i="64"/>
  <c r="K787" i="64" l="1"/>
  <c r="M786" i="64"/>
  <c r="K788" i="64" l="1"/>
  <c r="M787" i="64"/>
  <c r="K789" i="64" l="1"/>
  <c r="M788" i="64"/>
  <c r="K790" i="64" l="1"/>
  <c r="M789" i="64"/>
  <c r="K791" i="64" l="1"/>
  <c r="M790" i="64"/>
  <c r="K792" i="64" l="1"/>
  <c r="M791" i="64"/>
  <c r="K793" i="64" l="1"/>
  <c r="M792" i="64"/>
  <c r="K794" i="64" l="1"/>
  <c r="M793" i="64"/>
  <c r="K795" i="64" l="1"/>
  <c r="M794" i="64"/>
  <c r="K796" i="64" l="1"/>
  <c r="M795" i="64"/>
  <c r="K797" i="64" l="1"/>
  <c r="M796" i="64"/>
  <c r="K798" i="64" l="1"/>
  <c r="M797" i="64"/>
  <c r="K799" i="64" l="1"/>
  <c r="M798" i="64"/>
  <c r="K800" i="64" l="1"/>
  <c r="M799" i="64"/>
  <c r="K801" i="64" l="1"/>
  <c r="M800" i="64"/>
  <c r="K802" i="64" l="1"/>
  <c r="M801" i="64"/>
  <c r="K803" i="64" l="1"/>
  <c r="M802" i="64"/>
  <c r="K804" i="64" l="1"/>
  <c r="M803" i="64"/>
  <c r="K805" i="64" l="1"/>
  <c r="M804" i="64"/>
  <c r="K806" i="64" l="1"/>
  <c r="M805" i="64"/>
  <c r="K807" i="64" l="1"/>
  <c r="M806" i="64"/>
  <c r="K808" i="64" l="1"/>
  <c r="M807" i="64"/>
  <c r="K809" i="64" l="1"/>
  <c r="M808" i="64"/>
  <c r="K810" i="64" l="1"/>
  <c r="M809" i="64"/>
  <c r="K811" i="64" l="1"/>
  <c r="M810" i="64"/>
  <c r="K812" i="64" l="1"/>
  <c r="M811" i="64"/>
  <c r="N811" i="64" s="1"/>
  <c r="K813" i="64" l="1"/>
  <c r="K814" i="64" l="1"/>
  <c r="M813" i="64"/>
  <c r="K815" i="64" l="1"/>
  <c r="M814" i="64"/>
  <c r="K816" i="64" l="1"/>
  <c r="M815" i="64"/>
  <c r="K817" i="64" l="1"/>
  <c r="M816" i="64"/>
  <c r="K818" i="64" l="1"/>
  <c r="M817" i="64"/>
  <c r="K819" i="64" l="1"/>
  <c r="M818" i="64"/>
  <c r="K820" i="64" l="1"/>
  <c r="M819" i="64"/>
  <c r="K821" i="64" l="1"/>
  <c r="M820" i="64"/>
  <c r="K822" i="64" l="1"/>
  <c r="M821" i="64"/>
  <c r="K823" i="64" l="1"/>
  <c r="M822" i="64"/>
  <c r="K824" i="64" l="1"/>
  <c r="M823" i="64"/>
  <c r="K825" i="64" l="1"/>
  <c r="M824" i="64"/>
  <c r="K826" i="64" l="1"/>
  <c r="M825" i="64"/>
  <c r="K827" i="64" l="1"/>
  <c r="M826" i="64"/>
  <c r="K828" i="64" l="1"/>
  <c r="M827" i="64"/>
  <c r="K829" i="64" l="1"/>
  <c r="M828" i="64"/>
  <c r="K830" i="64" l="1"/>
  <c r="M829" i="64"/>
  <c r="K831" i="64" l="1"/>
  <c r="M830" i="64"/>
  <c r="K832" i="64" l="1"/>
  <c r="M831" i="64"/>
  <c r="K833" i="64" l="1"/>
  <c r="M832" i="64"/>
  <c r="K834" i="64" l="1"/>
  <c r="M833" i="64"/>
  <c r="K835" i="64" l="1"/>
  <c r="M834" i="64"/>
  <c r="K836" i="64" l="1"/>
  <c r="M835" i="64"/>
  <c r="K837" i="64" l="1"/>
  <c r="M836" i="64"/>
  <c r="K838" i="64" l="1"/>
  <c r="M837" i="64"/>
  <c r="K839" i="64" l="1"/>
  <c r="M838" i="64"/>
  <c r="K840" i="64" l="1"/>
  <c r="M839" i="64"/>
  <c r="K841" i="64" l="1"/>
  <c r="M840" i="64"/>
  <c r="K842" i="64" l="1"/>
  <c r="M841" i="64"/>
  <c r="K843" i="64" l="1"/>
  <c r="M842" i="64"/>
  <c r="N842" i="64" s="1"/>
  <c r="K844" i="64" l="1"/>
  <c r="K845" i="64" l="1"/>
  <c r="M844" i="64"/>
  <c r="K846" i="64" l="1"/>
  <c r="M845" i="64"/>
  <c r="K847" i="64" l="1"/>
  <c r="M846" i="64"/>
  <c r="K848" i="64" l="1"/>
  <c r="M847" i="64"/>
  <c r="K849" i="64" l="1"/>
  <c r="M848" i="64"/>
  <c r="K850" i="64" l="1"/>
  <c r="M849" i="64"/>
  <c r="K851" i="64" l="1"/>
  <c r="M850" i="64"/>
  <c r="K852" i="64" l="1"/>
  <c r="M851" i="64"/>
  <c r="K853" i="64" l="1"/>
  <c r="M852" i="64"/>
  <c r="K854" i="64" l="1"/>
  <c r="M853" i="64"/>
  <c r="K855" i="64" l="1"/>
  <c r="M854" i="64"/>
  <c r="K856" i="64" l="1"/>
  <c r="M855" i="64"/>
  <c r="K857" i="64" l="1"/>
  <c r="M856" i="64"/>
  <c r="K858" i="64" l="1"/>
  <c r="M857" i="64"/>
  <c r="K859" i="64" l="1"/>
  <c r="M858" i="64"/>
  <c r="K860" i="64" l="1"/>
  <c r="M859" i="64"/>
  <c r="K861" i="64" l="1"/>
  <c r="M860" i="64"/>
  <c r="K862" i="64" l="1"/>
  <c r="M861" i="64"/>
  <c r="K863" i="64" l="1"/>
  <c r="M862" i="64"/>
  <c r="K864" i="64" l="1"/>
  <c r="M863" i="64"/>
  <c r="K865" i="64" l="1"/>
  <c r="M864" i="64"/>
  <c r="K866" i="64" l="1"/>
  <c r="M865" i="64"/>
  <c r="K867" i="64" l="1"/>
  <c r="M866" i="64"/>
  <c r="K868" i="64" l="1"/>
  <c r="M867" i="64"/>
  <c r="K869" i="64" l="1"/>
  <c r="M868" i="64"/>
  <c r="K870" i="64" l="1"/>
  <c r="M869" i="64"/>
  <c r="K871" i="64" l="1"/>
  <c r="M870" i="64"/>
  <c r="K872" i="64" l="1"/>
  <c r="M871" i="64"/>
  <c r="K873" i="64" l="1"/>
  <c r="M872" i="64"/>
  <c r="K874" i="64" l="1"/>
  <c r="M873" i="64"/>
  <c r="K875" i="64" l="1"/>
  <c r="M874" i="64"/>
  <c r="N874" i="64" s="1"/>
  <c r="K876" i="64" l="1"/>
  <c r="K877" i="64" l="1"/>
  <c r="M876" i="64"/>
  <c r="K878" i="64" l="1"/>
  <c r="M877" i="64"/>
  <c r="K879" i="64" l="1"/>
  <c r="M878" i="64"/>
  <c r="K880" i="64" l="1"/>
  <c r="M879" i="64"/>
  <c r="K881" i="64" l="1"/>
  <c r="M880" i="64"/>
  <c r="K882" i="64" l="1"/>
  <c r="M881" i="64"/>
  <c r="K883" i="64" l="1"/>
  <c r="M882" i="64"/>
  <c r="K884" i="64" l="1"/>
  <c r="M883" i="64"/>
  <c r="K885" i="64" l="1"/>
  <c r="M884" i="64"/>
  <c r="K886" i="64" l="1"/>
  <c r="M885" i="64"/>
  <c r="K887" i="64" l="1"/>
  <c r="M886" i="64"/>
  <c r="K888" i="64" l="1"/>
  <c r="M887" i="64"/>
  <c r="K889" i="64" l="1"/>
  <c r="M888" i="64"/>
  <c r="K890" i="64" l="1"/>
  <c r="M889" i="64"/>
  <c r="K891" i="64" l="1"/>
  <c r="M890" i="64"/>
  <c r="K892" i="64" l="1"/>
  <c r="M891" i="64"/>
  <c r="K893" i="64" l="1"/>
  <c r="M892" i="64"/>
  <c r="K894" i="64" l="1"/>
  <c r="M893" i="64"/>
  <c r="K895" i="64" l="1"/>
  <c r="M894" i="64"/>
  <c r="K896" i="64" l="1"/>
  <c r="M895" i="64"/>
  <c r="K897" i="64" l="1"/>
  <c r="M896" i="64"/>
  <c r="K898" i="64" l="1"/>
  <c r="M897" i="64"/>
  <c r="K899" i="64" l="1"/>
  <c r="M898" i="64"/>
  <c r="K900" i="64" l="1"/>
  <c r="M899" i="64"/>
  <c r="K901" i="64" l="1"/>
  <c r="M900" i="64"/>
  <c r="K902" i="64" l="1"/>
  <c r="M901" i="64"/>
  <c r="K903" i="64" l="1"/>
  <c r="M902" i="64"/>
  <c r="K904" i="64" l="1"/>
  <c r="M903" i="64"/>
  <c r="K905" i="64" l="1"/>
  <c r="M904" i="64"/>
  <c r="K906" i="64" l="1"/>
  <c r="M905" i="64"/>
  <c r="K907" i="64" l="1"/>
  <c r="M906" i="64"/>
  <c r="N906" i="64" s="1"/>
  <c r="K908" i="64" l="1"/>
  <c r="K909" i="64" l="1"/>
  <c r="M908" i="64"/>
  <c r="K910" i="64" l="1"/>
  <c r="M909" i="64"/>
  <c r="K911" i="64" l="1"/>
  <c r="M910" i="64"/>
  <c r="K912" i="64" l="1"/>
  <c r="M911" i="64"/>
  <c r="K913" i="64" l="1"/>
  <c r="M912" i="64"/>
  <c r="K914" i="64" l="1"/>
  <c r="M913" i="64"/>
  <c r="K915" i="64" l="1"/>
  <c r="M914" i="64"/>
  <c r="K916" i="64" l="1"/>
  <c r="M915" i="64"/>
  <c r="K917" i="64" l="1"/>
  <c r="M916" i="64"/>
  <c r="K918" i="64" l="1"/>
  <c r="M917" i="64"/>
  <c r="K919" i="64" l="1"/>
  <c r="M918" i="64"/>
  <c r="K920" i="64" l="1"/>
  <c r="M919" i="64"/>
  <c r="K921" i="64" l="1"/>
  <c r="M920" i="64"/>
  <c r="K922" i="64" l="1"/>
  <c r="M921" i="64"/>
  <c r="K923" i="64" l="1"/>
  <c r="M922" i="64"/>
  <c r="K924" i="64" l="1"/>
  <c r="M923" i="64"/>
  <c r="K925" i="64" l="1"/>
  <c r="M924" i="64"/>
  <c r="K926" i="64" l="1"/>
  <c r="M925" i="64"/>
  <c r="K927" i="64" l="1"/>
  <c r="M926" i="64"/>
  <c r="K928" i="64" l="1"/>
  <c r="M927" i="64"/>
  <c r="K929" i="64" l="1"/>
  <c r="M928" i="64"/>
  <c r="K930" i="64" l="1"/>
  <c r="M929" i="64"/>
  <c r="K931" i="64" l="1"/>
  <c r="M930" i="64"/>
  <c r="K932" i="64" l="1"/>
  <c r="M931" i="64"/>
  <c r="K933" i="64" l="1"/>
  <c r="M932" i="64"/>
  <c r="K934" i="64" l="1"/>
  <c r="M933" i="64"/>
  <c r="K935" i="64" l="1"/>
  <c r="M934" i="64"/>
  <c r="K936" i="64" l="1"/>
  <c r="M935" i="64"/>
  <c r="K937" i="64" l="1"/>
  <c r="M936" i="64"/>
  <c r="K938" i="64" l="1"/>
  <c r="M937" i="64"/>
  <c r="N937" i="64" s="1"/>
  <c r="K939" i="64" l="1"/>
  <c r="K940" i="64" l="1"/>
  <c r="M939" i="64"/>
  <c r="K941" i="64" l="1"/>
  <c r="M940" i="64"/>
  <c r="K942" i="64" l="1"/>
  <c r="M941" i="64"/>
  <c r="K943" i="64" l="1"/>
  <c r="M942" i="64"/>
  <c r="K944" i="64" l="1"/>
  <c r="M943" i="64"/>
  <c r="K945" i="64" l="1"/>
  <c r="M944" i="64"/>
  <c r="K946" i="64" l="1"/>
  <c r="M945" i="64"/>
  <c r="K947" i="64" l="1"/>
  <c r="M946" i="64"/>
  <c r="K948" i="64" l="1"/>
  <c r="M947" i="64"/>
  <c r="K949" i="64" l="1"/>
  <c r="M948" i="64"/>
  <c r="K950" i="64" l="1"/>
  <c r="M949" i="64"/>
  <c r="K951" i="64" l="1"/>
  <c r="M950" i="64"/>
  <c r="K952" i="64" l="1"/>
  <c r="M951" i="64"/>
  <c r="K953" i="64" l="1"/>
  <c r="M952" i="64"/>
  <c r="K954" i="64" l="1"/>
  <c r="M953" i="64"/>
  <c r="K955" i="64" l="1"/>
  <c r="M954" i="64"/>
  <c r="K956" i="64" l="1"/>
  <c r="M955" i="64"/>
  <c r="K957" i="64" l="1"/>
  <c r="M956" i="64"/>
  <c r="K958" i="64" l="1"/>
  <c r="M957" i="64"/>
  <c r="K959" i="64" l="1"/>
  <c r="M958" i="64"/>
  <c r="K960" i="64" l="1"/>
  <c r="M959" i="64"/>
  <c r="K961" i="64" l="1"/>
  <c r="M960" i="64"/>
  <c r="K962" i="64" l="1"/>
  <c r="M961" i="64"/>
  <c r="K963" i="64" l="1"/>
  <c r="M962" i="64"/>
  <c r="K964" i="64" l="1"/>
  <c r="M963" i="64"/>
  <c r="K965" i="64" l="1"/>
  <c r="M964" i="64"/>
  <c r="K966" i="64" l="1"/>
  <c r="M965" i="64"/>
  <c r="K967" i="64" l="1"/>
  <c r="M966" i="64"/>
  <c r="K968" i="64" l="1"/>
  <c r="M967" i="64"/>
  <c r="K969" i="64" l="1"/>
  <c r="M968" i="64"/>
  <c r="K970" i="64" l="1"/>
  <c r="M969" i="64"/>
  <c r="N969" i="64" s="1"/>
  <c r="K971" i="64" l="1"/>
  <c r="K972" i="64" l="1"/>
  <c r="M971" i="64"/>
  <c r="K973" i="64" l="1"/>
  <c r="M972" i="64"/>
  <c r="K974" i="64" l="1"/>
  <c r="M973" i="64"/>
  <c r="K975" i="64" l="1"/>
  <c r="M974" i="64"/>
  <c r="K976" i="64" l="1"/>
  <c r="M975" i="64"/>
  <c r="K977" i="64" l="1"/>
  <c r="M976" i="64"/>
  <c r="K978" i="64" l="1"/>
  <c r="M977" i="64"/>
  <c r="K979" i="64" l="1"/>
  <c r="M978" i="64"/>
  <c r="K980" i="64" l="1"/>
  <c r="M979" i="64"/>
  <c r="K981" i="64" l="1"/>
  <c r="M980" i="64"/>
  <c r="K982" i="64" l="1"/>
  <c r="M981" i="64"/>
  <c r="K983" i="64" l="1"/>
  <c r="M982" i="64"/>
  <c r="K984" i="64" l="1"/>
  <c r="M983" i="64"/>
  <c r="K985" i="64" l="1"/>
  <c r="M984" i="64"/>
  <c r="K986" i="64" l="1"/>
  <c r="M985" i="64"/>
  <c r="K987" i="64" l="1"/>
  <c r="M986" i="64"/>
  <c r="K988" i="64" l="1"/>
  <c r="M987" i="64"/>
  <c r="K989" i="64" l="1"/>
  <c r="M988" i="64"/>
  <c r="K990" i="64" l="1"/>
  <c r="M989" i="64"/>
  <c r="K991" i="64" l="1"/>
  <c r="M990" i="64"/>
  <c r="K992" i="64" l="1"/>
  <c r="M991" i="64"/>
  <c r="K993" i="64" l="1"/>
  <c r="M992" i="64"/>
  <c r="K994" i="64" l="1"/>
  <c r="M993" i="64"/>
  <c r="K995" i="64" l="1"/>
  <c r="M994" i="64"/>
  <c r="K996" i="64" l="1"/>
  <c r="M995" i="64"/>
  <c r="K997" i="64" l="1"/>
  <c r="M996" i="64"/>
  <c r="K998" i="64" l="1"/>
  <c r="M997" i="64"/>
  <c r="K999" i="64" l="1"/>
  <c r="M998" i="64"/>
  <c r="K1000" i="64" l="1"/>
  <c r="M999" i="64"/>
  <c r="K1001" i="64" l="1"/>
  <c r="M1000" i="64"/>
  <c r="N1000" i="64" s="1"/>
  <c r="K1002" i="64" l="1"/>
  <c r="K1003" i="64" l="1"/>
  <c r="M1002" i="64"/>
  <c r="K1004" i="64" l="1"/>
  <c r="M1003" i="64"/>
  <c r="K1005" i="64" l="1"/>
  <c r="M1004" i="64"/>
  <c r="K1006" i="64" l="1"/>
  <c r="M1005" i="64"/>
  <c r="K1007" i="64" l="1"/>
  <c r="M1006" i="64"/>
  <c r="K1008" i="64" l="1"/>
  <c r="M1007" i="64"/>
  <c r="K1009" i="64" l="1"/>
  <c r="M1008" i="64"/>
  <c r="K1010" i="64" l="1"/>
  <c r="M1009" i="64"/>
  <c r="K1011" i="64" l="1"/>
  <c r="M1010" i="64"/>
  <c r="K1012" i="64" l="1"/>
  <c r="M1011" i="64"/>
  <c r="K1013" i="64" l="1"/>
  <c r="M1012" i="64"/>
  <c r="K1014" i="64" l="1"/>
  <c r="M1013" i="64"/>
  <c r="K1015" i="64" l="1"/>
  <c r="M1014" i="64"/>
  <c r="K1016" i="64" l="1"/>
  <c r="M1015" i="64"/>
  <c r="K1017" i="64" l="1"/>
  <c r="M1016" i="64"/>
  <c r="K1018" i="64" l="1"/>
  <c r="M1017" i="64"/>
  <c r="K1019" i="64" l="1"/>
  <c r="M1018" i="64"/>
  <c r="K1020" i="64" l="1"/>
  <c r="M1019" i="64"/>
  <c r="K1021" i="64" l="1"/>
  <c r="M1020" i="64"/>
  <c r="K1022" i="64" l="1"/>
  <c r="M1021" i="64"/>
  <c r="K1023" i="64" l="1"/>
  <c r="M1022" i="64"/>
  <c r="K1024" i="64" l="1"/>
  <c r="M1023" i="64"/>
  <c r="K1025" i="64" l="1"/>
  <c r="M1024" i="64"/>
  <c r="K1026" i="64" l="1"/>
  <c r="M1025" i="64"/>
  <c r="K1027" i="64" l="1"/>
  <c r="M1026" i="64"/>
  <c r="K1028" i="64" l="1"/>
  <c r="M1027" i="64"/>
  <c r="K1029" i="64" l="1"/>
  <c r="M1028" i="64"/>
  <c r="K1030" i="64" l="1"/>
  <c r="M1029" i="64"/>
  <c r="K1031" i="64" l="1"/>
  <c r="M1030" i="64"/>
  <c r="K1032" i="64" l="1"/>
  <c r="M1031" i="64"/>
  <c r="K1033" i="64" l="1"/>
  <c r="M1032" i="64"/>
  <c r="N1032"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Yuvraj J. Chauhan</author>
  </authors>
  <commentList>
    <comment ref="E23" authorId="0" shapeId="0" xr:uid="{7F31AEE3-3391-432A-B5F9-28360066B195}">
      <text>
        <r>
          <rPr>
            <b/>
            <sz val="10"/>
            <color indexed="81"/>
            <rFont val="Calibri"/>
            <family val="2"/>
          </rPr>
          <t>This is due to the accrual reversal that was done for payroll for Dec ’25.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Yuvraj J. Chauhan</author>
  </authors>
  <commentList>
    <comment ref="E24" authorId="0" shapeId="0" xr:uid="{3BA49C7C-18FB-43F8-80BF-E78297FA5B6B}">
      <text>
        <r>
          <rPr>
            <b/>
            <sz val="10"/>
            <color indexed="81"/>
            <rFont val="Calibri"/>
            <family val="2"/>
          </rPr>
          <t>This is due to the accrual reversal that was done for payroll for Dec ’25.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Riddhi S. Khalpada</author>
    <author>Kajal A. Rajput</author>
  </authors>
  <commentList>
    <comment ref="M5" authorId="0" shapeId="0" xr:uid="{6B505107-F333-418D-8DAC-18818131C7C7}">
      <text>
        <r>
          <rPr>
            <b/>
            <sz val="11"/>
            <color theme="1"/>
            <rFont val="Aptos Narrow"/>
            <family val="2"/>
            <scheme val="minor"/>
          </rPr>
          <t xml:space="preserve">AIX - </t>
        </r>
        <r>
          <rPr>
            <sz val="11"/>
            <color theme="1"/>
            <rFont val="Aptos Narrow"/>
            <family val="2"/>
            <scheme val="minor"/>
          </rPr>
          <t>It is assumed that once project is completed it will be billed and payment term is net 30 days.</t>
        </r>
      </text>
    </comment>
    <comment ref="E11" authorId="1" shapeId="0" xr:uid="{A618AE0D-F028-4A5E-8AD0-06FF140E236D}">
      <text>
        <r>
          <rPr>
            <sz val="11"/>
            <color theme="1"/>
            <rFont val="Aptos Narrow"/>
            <family val="2"/>
            <scheme val="minor"/>
          </rPr>
          <t>We have invoiced the $42674.00 already but will be sending another invoice at the end of Feb for around $17000 so if we could please update the estimated income to $17000 that would be great thanks. From Alexia email received 02/05/2026.</t>
        </r>
      </text>
    </comment>
  </commentList>
</comments>
</file>

<file path=xl/sharedStrings.xml><?xml version="1.0" encoding="utf-8"?>
<sst xmlns="http://schemas.openxmlformats.org/spreadsheetml/2006/main" count="4648" uniqueCount="1485">
  <si>
    <t>1. Improving Project Profitability Reporting</t>
  </si>
  <si>
    <t>Right now, we have observed that project profitability is not aligning because employees are not entering their full working hours in the toggle.</t>
  </si>
  <si>
    <t>Here’s what’s happening:</t>
  </si>
  <si>
    <t>Employees record their time against projects in Toggle.</t>
  </si>
  <si>
    <t>Payroll is processed separately, and we record total payroll cost directly in P&amp;L.</t>
  </si>
  <si>
    <t>When working on project profitability, we divide the employee’s payroll cost based on the hours they entered in Toggle.</t>
  </si>
  <si>
    <t>But here’s the problem:</t>
  </si>
  <si>
    <r>
      <t xml:space="preserve">If an employee works </t>
    </r>
    <r>
      <rPr>
        <b/>
        <sz val="11"/>
        <color theme="1"/>
        <rFont val="Calibri"/>
        <family val="2"/>
      </rPr>
      <t>60 hours in two weeks</t>
    </r>
    <r>
      <rPr>
        <sz val="11"/>
        <color theme="1"/>
        <rFont val="Calibri"/>
        <family val="2"/>
      </rPr>
      <t xml:space="preserve">, and records only </t>
    </r>
    <r>
      <rPr>
        <b/>
        <sz val="11"/>
        <color theme="1"/>
        <rFont val="Calibri"/>
        <family val="2"/>
      </rPr>
      <t>4 hours</t>
    </r>
    <r>
      <rPr>
        <sz val="11"/>
        <color theme="1"/>
        <rFont val="Calibri"/>
        <family val="2"/>
      </rPr>
      <t xml:space="preserve"> in Toggle, then </t>
    </r>
    <r>
      <rPr>
        <b/>
        <sz val="11"/>
        <color theme="1"/>
        <rFont val="Calibri"/>
        <family val="2"/>
      </rPr>
      <t>all of their pay is being assigned to just those 4 hours</t>
    </r>
    <r>
      <rPr>
        <sz val="11"/>
        <color theme="1"/>
        <rFont val="Calibri"/>
        <family val="2"/>
      </rPr>
      <t xml:space="preserve"> for two projects.</t>
    </r>
  </si>
  <si>
    <r>
      <t xml:space="preserve">This makes the project cost look </t>
    </r>
    <r>
      <rPr>
        <b/>
        <sz val="11"/>
        <color theme="1"/>
        <rFont val="Calibri"/>
        <family val="2"/>
      </rPr>
      <t>very high</t>
    </r>
    <r>
      <rPr>
        <sz val="11"/>
        <color theme="1"/>
        <rFont val="Calibri"/>
        <family val="2"/>
      </rPr>
      <t xml:space="preserve">, and the </t>
    </r>
    <r>
      <rPr>
        <b/>
        <sz val="11"/>
        <color theme="1"/>
        <rFont val="Calibri"/>
        <family val="2"/>
      </rPr>
      <t>profitability report becomes inaccurate</t>
    </r>
    <r>
      <rPr>
        <sz val="11"/>
        <color theme="1"/>
        <rFont val="Calibri"/>
        <family val="2"/>
      </rPr>
      <t>.</t>
    </r>
  </si>
  <si>
    <t>Suggested Solution:</t>
  </si>
  <si>
    <t>Set a Minimum Time Entry Benchmark:</t>
  </si>
  <si>
    <r>
      <t xml:space="preserve">Every employee should enter their </t>
    </r>
    <r>
      <rPr>
        <b/>
        <sz val="11"/>
        <color theme="1"/>
        <rFont val="Calibri"/>
        <family val="2"/>
      </rPr>
      <t>full working hours</t>
    </r>
    <r>
      <rPr>
        <sz val="11"/>
        <color theme="1"/>
        <rFont val="Calibri"/>
        <family val="2"/>
      </rPr>
      <t xml:space="preserve"> (for example, 8 hours per day or 40 hours per week).</t>
    </r>
  </si>
  <si>
    <t>Time entry in Toggle should match with Time entry in Rippling.</t>
  </si>
  <si>
    <r>
      <t xml:space="preserve">These hours should include </t>
    </r>
    <r>
      <rPr>
        <b/>
        <sz val="11"/>
        <color theme="1"/>
        <rFont val="Calibri"/>
        <family val="2"/>
      </rPr>
      <t>project work</t>
    </r>
    <r>
      <rPr>
        <sz val="11"/>
        <color theme="1"/>
        <rFont val="Calibri"/>
        <family val="2"/>
      </rPr>
      <t xml:space="preserve">, </t>
    </r>
    <r>
      <rPr>
        <b/>
        <sz val="11"/>
        <color theme="1"/>
        <rFont val="Calibri"/>
        <family val="2"/>
      </rPr>
      <t>meetings</t>
    </r>
    <r>
      <rPr>
        <sz val="11"/>
        <color theme="1"/>
        <rFont val="Calibri"/>
        <family val="2"/>
      </rPr>
      <t xml:space="preserve">, </t>
    </r>
    <r>
      <rPr>
        <b/>
        <sz val="11"/>
        <color theme="1"/>
        <rFont val="Calibri"/>
        <family val="2"/>
      </rPr>
      <t>training</t>
    </r>
    <r>
      <rPr>
        <sz val="11"/>
        <color theme="1"/>
        <rFont val="Calibri"/>
        <family val="2"/>
      </rPr>
      <t xml:space="preserve">, </t>
    </r>
    <r>
      <rPr>
        <b/>
        <sz val="11"/>
        <color theme="1"/>
        <rFont val="Calibri"/>
        <family val="2"/>
      </rPr>
      <t>admin tasks</t>
    </r>
    <r>
      <rPr>
        <sz val="11"/>
        <color theme="1"/>
        <rFont val="Calibri"/>
        <family val="2"/>
      </rPr>
      <t xml:space="preserve">, or even </t>
    </r>
    <r>
      <rPr>
        <b/>
        <sz val="11"/>
        <color theme="1"/>
        <rFont val="Calibri"/>
        <family val="2"/>
      </rPr>
      <t>non-billable</t>
    </r>
    <r>
      <rPr>
        <sz val="11"/>
        <color theme="1"/>
        <rFont val="Calibri"/>
        <family val="2"/>
      </rPr>
      <t xml:space="preserve"> activities.</t>
    </r>
  </si>
  <si>
    <t>This ensures that all payroll costs are properly divided across projects and general activities.</t>
  </si>
  <si>
    <t>Example:</t>
  </si>
  <si>
    <t>If an employee earns $2,000 for two weeks and works 60 hours:</t>
  </si>
  <si>
    <t>If they record all 60 hours → cost per hour = $33.33 → fair distribution across projects.</t>
  </si>
  <si>
    <t>If they record only 4 hours → cost per hour = $500 → makes the project, look much more expensive than it really is.</t>
  </si>
  <si>
    <t>Pacific Nexus</t>
  </si>
  <si>
    <t>Financial Workpapers for the</t>
  </si>
  <si>
    <t xml:space="preserve"> </t>
  </si>
  <si>
    <t>Prepared by:</t>
  </si>
  <si>
    <t>Analytix Solutions</t>
  </si>
  <si>
    <t>For Internal Management Purpose Only</t>
  </si>
  <si>
    <t>Financial Statements Index</t>
  </si>
  <si>
    <t>Sr. No.</t>
  </si>
  <si>
    <t>Particulars</t>
  </si>
  <si>
    <t>Reference</t>
  </si>
  <si>
    <t>Balance sheet</t>
  </si>
  <si>
    <t>BS</t>
  </si>
  <si>
    <t>Profit and Loss Account-Monthly/Quarterly</t>
  </si>
  <si>
    <t>PL</t>
  </si>
  <si>
    <t>Profit and Loss Account- Division (YTD)</t>
  </si>
  <si>
    <t>PL-Division (YTD)</t>
  </si>
  <si>
    <t>Profit &amp; Loss - Division(Month)</t>
  </si>
  <si>
    <t>PL-Division (Month)</t>
  </si>
  <si>
    <t>Statement of Cash Flow</t>
  </si>
  <si>
    <t>Cash Flow</t>
  </si>
  <si>
    <t>Profit and Loss - YOY Summary</t>
  </si>
  <si>
    <t>P&amp;L YOY Summary</t>
  </si>
  <si>
    <t>Profit and Loss - YOY Detail</t>
  </si>
  <si>
    <t>P&amp;L YOY Detail</t>
  </si>
  <si>
    <t>Project Profitability Report</t>
  </si>
  <si>
    <t>PPR</t>
  </si>
  <si>
    <t>Home</t>
  </si>
  <si>
    <t>Profit &amp; Loss</t>
  </si>
  <si>
    <t>Balance Sheet</t>
  </si>
  <si>
    <t>Amount</t>
  </si>
  <si>
    <t>Schedule</t>
  </si>
  <si>
    <t>Comments</t>
  </si>
  <si>
    <t>Assets</t>
  </si>
  <si>
    <t>Current Assets</t>
  </si>
  <si>
    <t>Bank Accounts</t>
  </si>
  <si>
    <t>1000 CNB Checking #2640</t>
  </si>
  <si>
    <t>Total for Bank Accounts</t>
  </si>
  <si>
    <t>Accounts Receivable</t>
  </si>
  <si>
    <t>1100 Accounts Receivable</t>
  </si>
  <si>
    <t>AR</t>
  </si>
  <si>
    <t xml:space="preserve">Kindly walk through attached Accounts Receivable aging report for your review and feedback, if any. </t>
  </si>
  <si>
    <t>Total for Accounts Receivable</t>
  </si>
  <si>
    <t>Other Current Assets</t>
  </si>
  <si>
    <t>1300 Prepaid Expenses</t>
  </si>
  <si>
    <t>PE</t>
  </si>
  <si>
    <t>1380 Accrued Income</t>
  </si>
  <si>
    <t>Accrual Income</t>
  </si>
  <si>
    <t>Total for Other Current Assets</t>
  </si>
  <si>
    <t>Total for Current Assets</t>
  </si>
  <si>
    <t>Fixed Assets</t>
  </si>
  <si>
    <t>1425 Computer &amp; Office Equipment</t>
  </si>
  <si>
    <t>FA</t>
  </si>
  <si>
    <t>1430 Accumulated Depreciation - Computer &amp; Office Equipment</t>
  </si>
  <si>
    <t>Total for 1425 Computer &amp; Office Equipment</t>
  </si>
  <si>
    <t>1435 Leasehold Improvements</t>
  </si>
  <si>
    <t>1440 Accumulated Depreciation - Leasehold Improvements</t>
  </si>
  <si>
    <t>Total for 1435 Leasehold Improvements</t>
  </si>
  <si>
    <t>Total for Fixed Assets</t>
  </si>
  <si>
    <t>Other Assets</t>
  </si>
  <si>
    <t>1505 Goodwill</t>
  </si>
  <si>
    <t>OA</t>
  </si>
  <si>
    <t>1510 Accumulated Amortization - Goodwill</t>
  </si>
  <si>
    <t>Total for 1505 Goodwill</t>
  </si>
  <si>
    <t>1515 Loan Closing Costs</t>
  </si>
  <si>
    <t>1520 Accumulated Amortization - Loan Closing Costs</t>
  </si>
  <si>
    <t>Total for 1515 Loan Closing Costs</t>
  </si>
  <si>
    <t>1540 Security Deposit</t>
  </si>
  <si>
    <t>1550 Purchase Cost - NS Printing</t>
  </si>
  <si>
    <t>Total for Other Assets</t>
  </si>
  <si>
    <t>Total for Assets</t>
  </si>
  <si>
    <t>Liabilities and Equity</t>
  </si>
  <si>
    <t>Liabilities</t>
  </si>
  <si>
    <t>Current Liabilities</t>
  </si>
  <si>
    <t>Accounts Payable</t>
  </si>
  <si>
    <t>2000 Accounts Payable</t>
  </si>
  <si>
    <t>AP</t>
  </si>
  <si>
    <t xml:space="preserve">Kindly walk through attached Accounts Payable aging report for your review and feedback, if any. </t>
  </si>
  <si>
    <t>Total for Accounts Payable</t>
  </si>
  <si>
    <t>Credit Cards</t>
  </si>
  <si>
    <t>2105 AMEX #1000</t>
  </si>
  <si>
    <t>2115 VISA #7547</t>
  </si>
  <si>
    <t>2110 AMEX #1003</t>
  </si>
  <si>
    <t>Total for Credit Cards</t>
  </si>
  <si>
    <t>Other Current Liabilities</t>
  </si>
  <si>
    <t>2205 Accrued Expenses</t>
  </si>
  <si>
    <t>AE</t>
  </si>
  <si>
    <t>2215 Accrued Interest on Shareholder's Loan - Zaheer</t>
  </si>
  <si>
    <t>AE-SL</t>
  </si>
  <si>
    <t>2220 Other Current Liabilities</t>
  </si>
  <si>
    <t>2240 Payroll liabilities</t>
  </si>
  <si>
    <t>2241 Payroll Clearing</t>
  </si>
  <si>
    <t>2243 Health Deduction payable</t>
  </si>
  <si>
    <t>We noted that employee deductions (medical, vision, dental) and employer medical contributions were initially recorded in the P&amp;L. To ensure accurate reconciliation, these have been reclassified to liability accounts. Monthly insurance bills are now matched against these balances to look into it any overpayment or underpayment.</t>
  </si>
  <si>
    <t>2244 401K Withholding</t>
  </si>
  <si>
    <t>Total for 2240 Payroll liabilities</t>
  </si>
  <si>
    <t>2250 Intuit Loan</t>
  </si>
  <si>
    <t>IL</t>
  </si>
  <si>
    <t>2300 California Department of Tax and Fee Administration Payable</t>
  </si>
  <si>
    <t>Total for Other Current Liabilities</t>
  </si>
  <si>
    <t>Total for Current Liabilities</t>
  </si>
  <si>
    <t>Long-term Liabilities</t>
  </si>
  <si>
    <t>2510 FCB Loan #1837</t>
  </si>
  <si>
    <t>2515 AMEX Loan #3344</t>
  </si>
  <si>
    <t>AL</t>
  </si>
  <si>
    <t>2535 Ricoh Lease - 5120</t>
  </si>
  <si>
    <t>RL</t>
  </si>
  <si>
    <t>2705 Shareholder Loan - Zaheer</t>
  </si>
  <si>
    <t>SL</t>
  </si>
  <si>
    <t>Total for Long-term Liabilities</t>
  </si>
  <si>
    <t>Total for Liabilities</t>
  </si>
  <si>
    <t>Equity</t>
  </si>
  <si>
    <t>3000 Capital Stock</t>
  </si>
  <si>
    <t>3020 Retained Earnings</t>
  </si>
  <si>
    <t>Net Income</t>
  </si>
  <si>
    <t>Total for Equity</t>
  </si>
  <si>
    <t>Total for Liabilities and Equity</t>
  </si>
  <si>
    <t>Checkpoint</t>
  </si>
  <si>
    <t>01/2025</t>
  </si>
  <si>
    <t>02/2025</t>
  </si>
  <si>
    <t>03/2025</t>
  </si>
  <si>
    <t>04/2025</t>
  </si>
  <si>
    <t>05/2025</t>
  </si>
  <si>
    <t>06/2025</t>
  </si>
  <si>
    <t>07/2025</t>
  </si>
  <si>
    <t>08/2025</t>
  </si>
  <si>
    <t>09/2025</t>
  </si>
  <si>
    <t>YTD</t>
  </si>
  <si>
    <t>Sales % of change</t>
  </si>
  <si>
    <t>Total Sales</t>
  </si>
  <si>
    <t>Photography % of change</t>
  </si>
  <si>
    <t>PN Photography</t>
  </si>
  <si>
    <t>Printing % of change</t>
  </si>
  <si>
    <t>PN Printing</t>
  </si>
  <si>
    <t>Gross Profit</t>
  </si>
  <si>
    <t>GP %</t>
  </si>
  <si>
    <t>EBITDA</t>
  </si>
  <si>
    <t>EBITDA %</t>
  </si>
  <si>
    <t>EBIT</t>
  </si>
  <si>
    <t>EBIT %</t>
  </si>
  <si>
    <t>PBT/PAT</t>
  </si>
  <si>
    <t>PBT/PAT %</t>
  </si>
  <si>
    <t>COGS</t>
  </si>
  <si>
    <t>%</t>
  </si>
  <si>
    <t>Cost of Materials</t>
  </si>
  <si>
    <t>Travels and Meals</t>
  </si>
  <si>
    <t>Wages &amp; Taxes</t>
  </si>
  <si>
    <t>Operating Expenses</t>
  </si>
  <si>
    <t>% of Sales</t>
  </si>
  <si>
    <t>% of Op. Ex</t>
  </si>
  <si>
    <t>Salaries and Taxes</t>
  </si>
  <si>
    <t>Shareholder's Compensation</t>
  </si>
  <si>
    <t>Professional Fees</t>
  </si>
  <si>
    <t>Office Expesnes</t>
  </si>
  <si>
    <t>Facility Expenses</t>
  </si>
  <si>
    <t>Other Operating Expenses</t>
  </si>
  <si>
    <t>Total Operating Expenses</t>
  </si>
  <si>
    <t>Profit and Loss</t>
  </si>
  <si>
    <t>Remarks</t>
  </si>
  <si>
    <t>Actual % on Sales</t>
  </si>
  <si>
    <t>Projected % on Sales</t>
  </si>
  <si>
    <t>Actual</t>
  </si>
  <si>
    <t>Budget</t>
  </si>
  <si>
    <t xml:space="preserve">Variance </t>
  </si>
  <si>
    <t>% of Budget</t>
  </si>
  <si>
    <t>Income</t>
  </si>
  <si>
    <t xml:space="preserve">   4005 Sales Revenue</t>
  </si>
  <si>
    <t xml:space="preserve">   4010 Sales Discount</t>
  </si>
  <si>
    <t>Total Income</t>
  </si>
  <si>
    <t>Cost of Goods Sold</t>
  </si>
  <si>
    <t xml:space="preserve">   5005 Cost of Materials</t>
  </si>
  <si>
    <t xml:space="preserve">   5065 Wages</t>
  </si>
  <si>
    <t xml:space="preserve">   5070 Payroll Tax Expense</t>
  </si>
  <si>
    <t xml:space="preserve">   5075 Employee Benefits</t>
  </si>
  <si>
    <t>Total Cost of Goods Sold</t>
  </si>
  <si>
    <t>Expenses</t>
  </si>
  <si>
    <t xml:space="preserve">   6100 Payroll Expenses</t>
  </si>
  <si>
    <t xml:space="preserve">      6105 Salaries &amp; Wages</t>
  </si>
  <si>
    <t xml:space="preserve">      6115 Payroll Tax Expense</t>
  </si>
  <si>
    <t xml:space="preserve">      6120 Employee Benefits</t>
  </si>
  <si>
    <t xml:space="preserve">      6125 Employee Bonus</t>
  </si>
  <si>
    <t xml:space="preserve">   Total 6100 Payroll Expenses</t>
  </si>
  <si>
    <t xml:space="preserve">   6130 Staff Training &amp;  Development</t>
  </si>
  <si>
    <t xml:space="preserve">   6135 Payroll Processing Fees</t>
  </si>
  <si>
    <t xml:space="preserve">   6150 Employee Reimbursements</t>
  </si>
  <si>
    <t xml:space="preserve">   6155 Employee Gift</t>
  </si>
  <si>
    <t xml:space="preserve">   6200 Professional Fees</t>
  </si>
  <si>
    <t xml:space="preserve">      6205 Legal Fees</t>
  </si>
  <si>
    <t xml:space="preserve">      6210 IT Fees</t>
  </si>
  <si>
    <t xml:space="preserve">      6215 Accounting Fees</t>
  </si>
  <si>
    <t xml:space="preserve">      6220 Professional and Consulting Fees</t>
  </si>
  <si>
    <t xml:space="preserve">   Total 6200 Professional Fees</t>
  </si>
  <si>
    <t xml:space="preserve">   6300 Shareholder's Compensation</t>
  </si>
  <si>
    <t xml:space="preserve">      6305 Shareholder's  Wages &amp; Salaries</t>
  </si>
  <si>
    <t xml:space="preserve">      6310 Shareholder's Health Insurance</t>
  </si>
  <si>
    <t xml:space="preserve">      6315 Shareholder's Payroll Taxes</t>
  </si>
  <si>
    <t xml:space="preserve">      6320 Shareholder's 401(k) Employer Contributions</t>
  </si>
  <si>
    <t xml:space="preserve">   Total 6300 Shareholder's Compensation</t>
  </si>
  <si>
    <t xml:space="preserve">   6400 Office Expense</t>
  </si>
  <si>
    <t xml:space="preserve">      6405 Office Equipment</t>
  </si>
  <si>
    <t xml:space="preserve">      6410 Office Supplies</t>
  </si>
  <si>
    <t xml:space="preserve">      6415 Phone and Internet Expense - Office</t>
  </si>
  <si>
    <t xml:space="preserve">      6420 Office Repairs &amp; Maintenance</t>
  </si>
  <si>
    <t xml:space="preserve">   Total 6400 Office Expense</t>
  </si>
  <si>
    <t xml:space="preserve">   6500 Facility Expense</t>
  </si>
  <si>
    <t xml:space="preserve">      6505 Rent Expense</t>
  </si>
  <si>
    <t xml:space="preserve">      6510 CAM Charges</t>
  </si>
  <si>
    <t xml:space="preserve">      6515 Utilities</t>
  </si>
  <si>
    <t xml:space="preserve">      6520 Business Insurance</t>
  </si>
  <si>
    <t xml:space="preserve">      6540 HP Lease Expense</t>
  </si>
  <si>
    <t xml:space="preserve">   Total 6500 Facility Expense</t>
  </si>
  <si>
    <t xml:space="preserve">   6600 Other Operating Expenses</t>
  </si>
  <si>
    <t xml:space="preserve">      6605 Advertising &amp; Marketing</t>
  </si>
  <si>
    <t xml:space="preserve">      6610 Software Costs</t>
  </si>
  <si>
    <t xml:space="preserve">      6615 Vehicle Expense</t>
  </si>
  <si>
    <t xml:space="preserve">      6620 Auto Lease Expense</t>
  </si>
  <si>
    <t xml:space="preserve">      6625 Client Gifts</t>
  </si>
  <si>
    <t xml:space="preserve">      6630 Shipping &amp; Postage</t>
  </si>
  <si>
    <t xml:space="preserve">      6635 Travel - Management</t>
  </si>
  <si>
    <t xml:space="preserve">      6640 Bank Service Charges</t>
  </si>
  <si>
    <t xml:space="preserve">      6645 Disability &amp; Life Insurance</t>
  </si>
  <si>
    <t xml:space="preserve">      6650 Business Tax &amp; Licenses</t>
  </si>
  <si>
    <t xml:space="preserve">      6660 Meals and Entertainment</t>
  </si>
  <si>
    <t xml:space="preserve">      6665 Dues &amp; Subscriptions</t>
  </si>
  <si>
    <t xml:space="preserve">      6670 QuickBooks Payments Fees</t>
  </si>
  <si>
    <t xml:space="preserve">      6690 Vehicle Insurance</t>
  </si>
  <si>
    <t xml:space="preserve">      6700 Donations</t>
  </si>
  <si>
    <t xml:space="preserve">      6705 Bad Debt Expense</t>
  </si>
  <si>
    <t xml:space="preserve">      6715 Other Miscellaneous Expense</t>
  </si>
  <si>
    <t xml:space="preserve">   Total 6600 Other Operating Expenses</t>
  </si>
  <si>
    <t>Total Expenses</t>
  </si>
  <si>
    <t>Net Operating Income</t>
  </si>
  <si>
    <t>Other Income</t>
  </si>
  <si>
    <t xml:space="preserve">   7005 Other Miscellaneous Income</t>
  </si>
  <si>
    <t>Deposit received from Philips was coded as Other Income, as per Zaheer’s feedback.</t>
  </si>
  <si>
    <t>Total Other Income</t>
  </si>
  <si>
    <t>Other Expenses</t>
  </si>
  <si>
    <t xml:space="preserve">   7100 Interest Expense</t>
  </si>
  <si>
    <t xml:space="preserve">   7105 Interest Expense - Shareholder's Loan</t>
  </si>
  <si>
    <t xml:space="preserve">   7200 Depreciation Expense</t>
  </si>
  <si>
    <t xml:space="preserve">   7205 Amortization Expense</t>
  </si>
  <si>
    <t>Total Other Expenses</t>
  </si>
  <si>
    <t>Net Other Income</t>
  </si>
  <si>
    <t>Net Operating Income + Other Income = EBITDA</t>
  </si>
  <si>
    <t>Less: Depreciation &amp; Amortization</t>
  </si>
  <si>
    <t>EBIT (Operating Profit)</t>
  </si>
  <si>
    <t>Profit Before Tax (PBT)</t>
  </si>
  <si>
    <t>Less: Tax</t>
  </si>
  <si>
    <t>Profit After Tax (PAT)</t>
  </si>
  <si>
    <t>Check Point</t>
  </si>
  <si>
    <t>Profit and Loss by Division</t>
  </si>
  <si>
    <t>Admin &amp; Overhead Cost</t>
  </si>
  <si>
    <t>NS Printing</t>
  </si>
  <si>
    <t>PN Agency</t>
  </si>
  <si>
    <t>Statement of CashFlow</t>
  </si>
  <si>
    <t>Jan 26</t>
  </si>
  <si>
    <t>Total</t>
  </si>
  <si>
    <t>OPERATING ACTIVITIES</t>
  </si>
  <si>
    <t>Adjustments to reconcile Net Income to Net Cash provided by operations:</t>
  </si>
  <si>
    <t>1430 Computer &amp; Office Equipment:Accumulated Depreciation - Computer &amp; Office Equipment</t>
  </si>
  <si>
    <t>1440 Leasehold Improvements:Accumulated Depreciation - Leasehold Improvements</t>
  </si>
  <si>
    <t>1510 Goodwill:Accumulated Amortization - Goodwill</t>
  </si>
  <si>
    <t>1520 Loan Closing Costs:Accumulated Amortization - Loan Closing Costs</t>
  </si>
  <si>
    <t>1555 Purchase Cost - NS Printing:Accumulated Amortization - Purchase Cost - NS Printing</t>
  </si>
  <si>
    <t>2243 Payroll liabilities:Health Deduction payable</t>
  </si>
  <si>
    <t>2244 Payroll liabilities:401K Withholding</t>
  </si>
  <si>
    <t>2350 Overdraft - CNB Checking #2640</t>
  </si>
  <si>
    <t>Total for Adjustments to reconcile Net Income to Net Cash provided by operations:</t>
  </si>
  <si>
    <t>Net cash provided by operating activities</t>
  </si>
  <si>
    <t>INVESTING ACTIVITIES</t>
  </si>
  <si>
    <t>Net cash provided by investing activities</t>
  </si>
  <si>
    <t>FINANCING ACTIVITIES</t>
  </si>
  <si>
    <t>Net cash provided by financing activities</t>
  </si>
  <si>
    <t>NET CASH INCREASE FOR PERIOD</t>
  </si>
  <si>
    <t>YOY Revenue and Net Income Comaprision</t>
  </si>
  <si>
    <t>2025 vs 2026
Change</t>
  </si>
  <si>
    <t>Month</t>
  </si>
  <si>
    <t>Revenue</t>
  </si>
  <si>
    <t>% Change</t>
  </si>
  <si>
    <t>January</t>
  </si>
  <si>
    <t>February</t>
  </si>
  <si>
    <t>March</t>
  </si>
  <si>
    <t>April</t>
  </si>
  <si>
    <t>May</t>
  </si>
  <si>
    <t>June</t>
  </si>
  <si>
    <t>July</t>
  </si>
  <si>
    <t>August</t>
  </si>
  <si>
    <t>September</t>
  </si>
  <si>
    <t>October</t>
  </si>
  <si>
    <t>November</t>
  </si>
  <si>
    <t>December</t>
  </si>
  <si>
    <t>Pacific Media Holdings</t>
  </si>
  <si>
    <t>January 2026</t>
  </si>
  <si>
    <t>CURRENT</t>
  </si>
  <si>
    <t>January 2025 (PY)</t>
  </si>
  <si>
    <t>$ Change (PY)</t>
  </si>
  <si>
    <t>% Change (PY)</t>
  </si>
  <si>
    <t/>
  </si>
  <si>
    <t>4005 Sales Revenue</t>
  </si>
  <si>
    <t>4010 Sales Discount</t>
  </si>
  <si>
    <t>Total for Income</t>
  </si>
  <si>
    <t>5005 Cost of Materials</t>
  </si>
  <si>
    <t>5010 Cost of Labor</t>
  </si>
  <si>
    <t>5065 Wages</t>
  </si>
  <si>
    <t>5070 Payroll Tax Expense</t>
  </si>
  <si>
    <t>5075 Employee Benefits</t>
  </si>
  <si>
    <t>5015 Travels and Meals</t>
  </si>
  <si>
    <t>Total for Cost of Goods Sold</t>
  </si>
  <si>
    <t>6100 Payroll Expenses</t>
  </si>
  <si>
    <t>6105 Salaries &amp; Wages</t>
  </si>
  <si>
    <t>6115 Payroll Tax Expense</t>
  </si>
  <si>
    <t>6120 Employee Benefits</t>
  </si>
  <si>
    <t>Total for 6100 Payroll Expenses</t>
  </si>
  <si>
    <t>6130 Staff Training &amp;  Development</t>
  </si>
  <si>
    <t>6135 Payroll Processing Fees</t>
  </si>
  <si>
    <t>6150 Employee Reimbursements</t>
  </si>
  <si>
    <t>6155 Employee Gift</t>
  </si>
  <si>
    <t>6200 Professional Fees</t>
  </si>
  <si>
    <t>6210 IT Fees</t>
  </si>
  <si>
    <t>6215 Accounting Fees</t>
  </si>
  <si>
    <t>6220 Professional and Consulting Fees</t>
  </si>
  <si>
    <t>6205 Legal Fees</t>
  </si>
  <si>
    <t>Total for 6200 Professional Fees</t>
  </si>
  <si>
    <t>6300 Shareholder's Compensation</t>
  </si>
  <si>
    <t>6305 Shareholder's  Wages &amp; Salaries</t>
  </si>
  <si>
    <t>6310 Shareholder's Health Insurance</t>
  </si>
  <si>
    <t>6315 Shareholder's Payroll Taxes</t>
  </si>
  <si>
    <t>6320 Shareholder's 401(k) Employer Contributions</t>
  </si>
  <si>
    <t>Total for 6300 Shareholder's Compensation</t>
  </si>
  <si>
    <t>6400 Office Expense</t>
  </si>
  <si>
    <t>6405 Office Equipment</t>
  </si>
  <si>
    <t>6410 Office Supplies</t>
  </si>
  <si>
    <t>6415 Phone and Internet Expense - Office</t>
  </si>
  <si>
    <t>6420 Office Repairs &amp; Maintenance</t>
  </si>
  <si>
    <t>Total for 6400 Office Expense</t>
  </si>
  <si>
    <t>6500 Facility Expense</t>
  </si>
  <si>
    <t>6505 Rent Expense</t>
  </si>
  <si>
    <t>6510 CAM Charges</t>
  </si>
  <si>
    <t>6515 Utilities</t>
  </si>
  <si>
    <t>6520 Business Insurance</t>
  </si>
  <si>
    <t>Total for 6500 Facility Expense</t>
  </si>
  <si>
    <t>6600 Other Operating Expenses</t>
  </si>
  <si>
    <t>6605 Advertising &amp; Marketing</t>
  </si>
  <si>
    <t>6610 Software Costs</t>
  </si>
  <si>
    <t>6615 Vehicle Expense</t>
  </si>
  <si>
    <t>6620 Auto Lease Expense</t>
  </si>
  <si>
    <t>6630 Shipping &amp; Postage</t>
  </si>
  <si>
    <t>6635 Travel - Management</t>
  </si>
  <si>
    <t>6640 Bank Service Charges</t>
  </si>
  <si>
    <t>6645 Disability &amp; Life Insurance</t>
  </si>
  <si>
    <t>6660 Meals and Entertainment</t>
  </si>
  <si>
    <t>6665 Dues &amp; Subscriptions</t>
  </si>
  <si>
    <t>6670 QuickBooks Payments Fees</t>
  </si>
  <si>
    <t>6690 Vehicle Insurance</t>
  </si>
  <si>
    <t>6715 Other Miscellaneous Expense</t>
  </si>
  <si>
    <t>6650 Business Tax &amp; Licenses</t>
  </si>
  <si>
    <t>Total for 6600 Other Operating Expenses</t>
  </si>
  <si>
    <t>6160 Contractor Payment 1099</t>
  </si>
  <si>
    <t>6800 Prior Year Adjustment</t>
  </si>
  <si>
    <t>Total for Expenses</t>
  </si>
  <si>
    <t>7005 Other Miscellaneous Income</t>
  </si>
  <si>
    <t>Total for Other Income</t>
  </si>
  <si>
    <t>7100 Interest Expense</t>
  </si>
  <si>
    <t>7105 Interest Expense - Shareholder's Loan</t>
  </si>
  <si>
    <t>7200 Depreciation Expense</t>
  </si>
  <si>
    <t>7205 Amortization Expense</t>
  </si>
  <si>
    <t>Total for Other Expenses</t>
  </si>
  <si>
    <t>Project Profitibility Report</t>
  </si>
  <si>
    <t>Project</t>
  </si>
  <si>
    <t>Division</t>
  </si>
  <si>
    <t>Customer</t>
  </si>
  <si>
    <t>Start date</t>
  </si>
  <si>
    <t>End date</t>
  </si>
  <si>
    <t>Status</t>
  </si>
  <si>
    <t>Est Income</t>
  </si>
  <si>
    <t>Expected Cost</t>
  </si>
  <si>
    <t>Exp Profit</t>
  </si>
  <si>
    <t>Exp Profit Margin</t>
  </si>
  <si>
    <t>Actual Income</t>
  </si>
  <si>
    <t>Actual Cost</t>
  </si>
  <si>
    <t>Actual Profit</t>
  </si>
  <si>
    <t>Act Profit Margin</t>
  </si>
  <si>
    <t>Over/Under Budget</t>
  </si>
  <si>
    <t>Olukai</t>
  </si>
  <si>
    <t>10/27/2025</t>
  </si>
  <si>
    <t>Completed</t>
  </si>
  <si>
    <t>10/17/2025</t>
  </si>
  <si>
    <t>12/03/2025</t>
  </si>
  <si>
    <t>11/14/2025</t>
  </si>
  <si>
    <t>Total - PN Photography</t>
  </si>
  <si>
    <t>The Upper Deck Company</t>
  </si>
  <si>
    <t>01/09/2026</t>
  </si>
  <si>
    <t>01/16/2026</t>
  </si>
  <si>
    <t>01/12/2026</t>
  </si>
  <si>
    <t>01/30/2026</t>
  </si>
  <si>
    <t>Total - PN Printing</t>
  </si>
  <si>
    <t>CSA Center Stage Advertising</t>
  </si>
  <si>
    <t>01/14/2026</t>
  </si>
  <si>
    <t>01/06/2026</t>
  </si>
  <si>
    <t>Skims</t>
  </si>
  <si>
    <t>01/07/2026</t>
  </si>
  <si>
    <t>PS LAX</t>
  </si>
  <si>
    <t>Sushi Bar</t>
  </si>
  <si>
    <t>01/21/2026</t>
  </si>
  <si>
    <t>Santiago Arana</t>
  </si>
  <si>
    <t>Bespoke Boheme</t>
  </si>
  <si>
    <t>FrenchMouve ADA</t>
  </si>
  <si>
    <t>01/28/2026</t>
  </si>
  <si>
    <t>01/29/2026</t>
  </si>
  <si>
    <t>Total - NS Printing</t>
  </si>
  <si>
    <r>
      <t xml:space="preserve">Exception – </t>
    </r>
    <r>
      <rPr>
        <sz val="14"/>
        <rFont val="Calibri"/>
        <family val="2"/>
      </rPr>
      <t>As discussed during monthly call, we are treating this as an exception for reporting purposes, as we are still incurring costs on the project even though it is already invoiced fully.</t>
    </r>
  </si>
  <si>
    <t>27228-2025 Leaf Lumber Baseball</t>
  </si>
  <si>
    <t>Leaf Trading Cards</t>
  </si>
  <si>
    <t>06/18/2025</t>
  </si>
  <si>
    <t>09/18/2025</t>
  </si>
  <si>
    <t>January 1, 2024-January 31, 2026</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</si>
  <si>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</si>
  <si>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</si>
  <si>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</si>
  <si>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</si>
  <si>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</si>
  <si>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</si>
  <si>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</si>
  <si>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</si>
  <si>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</si>
  <si>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</si>
  <si>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</si>
  <si>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</si>
  <si>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</si>
  <si>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</si>
  <si>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</si>
  <si>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</si>
  <si>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</si>
  <si>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</si>
  <si>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</si>
  <si>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</si>
  <si>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</si>
  <si>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</si>
  <si>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</si>
  <si>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</si>
  <si>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5020 Discount Given</t>
  </si>
  <si>
    <t>5025 Bidding &amp; Treatments</t>
  </si>
  <si>
    <t>5050 COGS - Payroll Clearing (deleted)</t>
  </si>
  <si>
    <t>5055 COGS - Research (deleted)</t>
  </si>
  <si>
    <t>6110 Employer 401K Expense</t>
  </si>
  <si>
    <t>6125 Employee Bonus</t>
  </si>
  <si>
    <t>6145 Temporary &amp; Freelance Payroll</t>
  </si>
  <si>
    <t>6445 Supplies &amp; Material (deleted)</t>
  </si>
  <si>
    <t>6625 Client Gifts</t>
  </si>
  <si>
    <t>6655 Other Business Expense</t>
  </si>
  <si>
    <t>6700 Donations</t>
  </si>
  <si>
    <t>6705 Bad Debt Expense</t>
  </si>
  <si>
    <t>6710 Relocation Expenses</t>
  </si>
  <si>
    <t>Transaction date</t>
  </si>
  <si>
    <t>Transaction type</t>
  </si>
  <si>
    <t>Num</t>
  </si>
  <si>
    <t>Name</t>
  </si>
  <si>
    <t>Memo/Description</t>
  </si>
  <si>
    <t>Account full name</t>
  </si>
  <si>
    <t>Item split account</t>
  </si>
  <si>
    <t>Balance</t>
  </si>
  <si>
    <t>10/02/2025</t>
  </si>
  <si>
    <t>Expense</t>
  </si>
  <si>
    <t>Lensrentals.com</t>
  </si>
  <si>
    <t>LENSRENTALS.COM     MEMPHIS             TN</t>
  </si>
  <si>
    <t>AMEX #1000</t>
  </si>
  <si>
    <t>27315-0-C4 25 photo/video shoot</t>
  </si>
  <si>
    <t>10/11/2025</t>
  </si>
  <si>
    <t>Bill</t>
  </si>
  <si>
    <t>251023</t>
  </si>
  <si>
    <t>Taham Express dba Clipping Partner</t>
  </si>
  <si>
    <t>Clipping path around the product</t>
  </si>
  <si>
    <t>27248-FA26 Product Photo shoot</t>
  </si>
  <si>
    <t>Retouch per instruction layer on each image</t>
  </si>
  <si>
    <t>Retouch images per reference layer on hi res files</t>
  </si>
  <si>
    <t>Clipping path around the product.
Do not drop the backgrounds.
Files sent via dropbox link.
File name:27248 ENIJR286_9.3</t>
  </si>
  <si>
    <t>Retouch images per reference layers on hi res files.
Do not drop the backgrounds.
Files sent via Dropbox link.
File names:
27248 ENIJR286_9.4_1
27248 ENIJR286_9.4_2</t>
  </si>
  <si>
    <t>Retouch images per reference layer on hi res files.</t>
  </si>
  <si>
    <t>Clipping path around the product.
Do not drop the backgrounds.
Files sent via Dropbox link.
File name:27248 ENIJR286_9.5</t>
  </si>
  <si>
    <t>Retouch images per reference layers on hi res files</t>
  </si>
  <si>
    <t>Clipping path around the product.</t>
  </si>
  <si>
    <t>Retouch images per supplied reference layer on hi res file</t>
  </si>
  <si>
    <t>Separate clipping path around each item in the image</t>
  </si>
  <si>
    <t>Clipping path around the product.
Do not drop the backgrounds</t>
  </si>
  <si>
    <t>Retouch images per reference layers on hi res files.</t>
  </si>
  <si>
    <t>Credit Card Credit</t>
  </si>
  <si>
    <t>LENSRENTALS.COM MEMPHIS TN XXXX1067 - credit from overcharge</t>
  </si>
  <si>
    <t>10/18/2025</t>
  </si>
  <si>
    <t>DOORDASH</t>
  </si>
  <si>
    <t>DD *DOORDASH MENDOCISAN FRANCISCO CA XXXX1075 - craft services</t>
  </si>
  <si>
    <t>27226-Doppler System and wire Photo-shoot</t>
  </si>
  <si>
    <t>10/22/2025</t>
  </si>
  <si>
    <t>146169</t>
  </si>
  <si>
    <t>The Printery</t>
  </si>
  <si>
    <t>Signature Sticks 8 Book Cover, OUTSIDES
1 Form x 30 Sheets
4 Color Process, WITH UV
18 x 12 White 14pt, Printed on 1 side</t>
  </si>
  <si>
    <t>146084</t>
  </si>
  <si>
    <t>World Leaders FRONTS
6 Forms
4CP / 0
18x12 White 188# Tango C1S Digital</t>
  </si>
  <si>
    <t>27290-0-World Leaders</t>
  </si>
  <si>
    <t>World Leaders BACKS
6 Forms
0 / 4CP
18x12 White 188# Tango C1S Digital</t>
  </si>
  <si>
    <t>146090</t>
  </si>
  <si>
    <t>Look N See FRONTS
1 Form
4CP / 0
18x12 White 188# Tango C1S Digital</t>
  </si>
  <si>
    <t>27292-0-Look N See</t>
  </si>
  <si>
    <t>Look N See BACKS
1 Form
0/ 4CP
18x12 White 188# Tango C1S Digital</t>
  </si>
  <si>
    <t>146091</t>
  </si>
  <si>
    <t>Elite in Memoriam FRONTS
1 Form
4CP / 0
18x12 White 188# Tango C1S</t>
  </si>
  <si>
    <t>27289-0-Elite In Memoriam</t>
  </si>
  <si>
    <t>Elite in Memoriam BACKS
1 Form
0 / 4CP
18x12 White 188# Tango C1S</t>
  </si>
  <si>
    <t>146092</t>
  </si>
  <si>
    <t>Court Queens</t>
  </si>
  <si>
    <t>27305-0-2025 Leaf Glory of the Game Basketball</t>
  </si>
  <si>
    <t>Classic Combos</t>
  </si>
  <si>
    <t>4-Glory</t>
  </si>
  <si>
    <t>For 3!</t>
  </si>
  <si>
    <t>Glory Days</t>
  </si>
  <si>
    <t>146095</t>
  </si>
  <si>
    <t>FULL COURT BOOK, 3 PANEL, 10 VERSIONS
2 forms x 75 each
4CP / 0, 18 x 12 White 188#/14pt Tango C2S Digital
OUTSIDES
150</t>
  </si>
  <si>
    <t>FULL COURT BOOK, 3 PANEL, 10 VERSIONS
5 forms x 50 each
4CP / 0, 18 x 12 White 188#/14pt Tango C2S Digital
INSIDES
250</t>
  </si>
  <si>
    <t>PAGES IN HISTORY BOOK 2 PANEL, 10 VERSIONS
40 each
4CP / 0, 18 x 12 White 188#/14pt Tango C2S Digital
INSIDES
400</t>
  </si>
  <si>
    <t>PAGES IN HISTORY BOOK 2 PANEL, 10 VERSIONS
20 each
4CP / 0, 18 x 12 White 188#/14pt Tango C2S Digital
OUTSIDES
200</t>
  </si>
  <si>
    <t>10/23/2025</t>
  </si>
  <si>
    <t>PW-135911</t>
  </si>
  <si>
    <t>Zuza LLC dba Golden State Graphics</t>
  </si>
  <si>
    <t>Reprint Form 1Back - 4/0 Pacific Plus Upload</t>
  </si>
  <si>
    <t>27240-Decision 2024 Money Cards</t>
  </si>
  <si>
    <t>Hungry Bear Catering Co.</t>
  </si>
  <si>
    <t>HUNGRY BEA* HUNGRY BVISTA CA XXXX1075 - craft services</t>
  </si>
  <si>
    <t>27258-Ecomm On Model photo-shoot</t>
  </si>
  <si>
    <t>10/28/2025</t>
  </si>
  <si>
    <t>CC-85595</t>
  </si>
  <si>
    <t>San Diego Die Cutting Inc.</t>
  </si>
  <si>
    <t>set up</t>
  </si>
  <si>
    <t>27239-Bench Warmer International Inc Decision 2024 Political Flags</t>
  </si>
  <si>
    <t>run - qty: 235</t>
  </si>
  <si>
    <t>CC-85596</t>
  </si>
  <si>
    <t>sheets on floor</t>
  </si>
  <si>
    <t>set-up</t>
  </si>
  <si>
    <t>run</t>
  </si>
  <si>
    <t>CC-85597</t>
  </si>
  <si>
    <t>27282-0-Decision 2024 • Pieces of America (POA)</t>
  </si>
  <si>
    <t>run - qty: 100</t>
  </si>
  <si>
    <t>Albertsons</t>
  </si>
  <si>
    <t>ALBERTSONS #XXX1 071SAN MARCOS CA XXXX1075 - craft services</t>
  </si>
  <si>
    <t>DD *DOORDASH PANINIKSAN FRANCISCO CA XXXX1075 - craft services</t>
  </si>
  <si>
    <t>Mexico Viejo</t>
  </si>
  <si>
    <t>MEXICO VIEJO VISTA CA XXXX1075 - Craft services</t>
  </si>
  <si>
    <t>10/29/2025</t>
  </si>
  <si>
    <t>MEXICO VIEJO VISTA CA XXXX1075 - craft services</t>
  </si>
  <si>
    <t>Michael Stores, Inc.,</t>
  </si>
  <si>
    <t>MICHAELS STORES 9538VISTA CA XXXX1075 - rhinestone applicator pens</t>
  </si>
  <si>
    <t>27238-Decision 2024 Political Gems - 18 subjects</t>
  </si>
  <si>
    <t>10/30/2025</t>
  </si>
  <si>
    <t>146206</t>
  </si>
  <si>
    <t>Leaf Lumber Baseball, Today's Lineup Book Bronze 876
3 forms x 40 each
4 Color Process, PLUS UV
$ 291.04
Picked up on: 10/28/25</t>
  </si>
  <si>
    <t>CC-10065</t>
  </si>
  <si>
    <t>Graphic Dies, Inc.</t>
  </si>
  <si>
    <t>FOIL - MAGNESIUM - REGULAR ( 6-up DULTOBE )</t>
  </si>
  <si>
    <t>J400015-2027 Fleer Ultra Golf Double Trouble Dual Autos</t>
  </si>
  <si>
    <t>146094</t>
  </si>
  <si>
    <t>Retro Relic Sig, 34 Subjects</t>
  </si>
  <si>
    <t>One on One, 25 Subjects</t>
  </si>
  <si>
    <t>Stars Collide, 20 Subjects</t>
  </si>
  <si>
    <t>Glory of the Game, 60 Subjects</t>
  </si>
  <si>
    <t>The 7, 15 Subjects</t>
  </si>
  <si>
    <t>The Franchise, 15 Subjects</t>
  </si>
  <si>
    <t>Tradition, 22 Subjects</t>
  </si>
  <si>
    <t>Let The Record, 24 Subjects</t>
  </si>
  <si>
    <t>146086</t>
  </si>
  <si>
    <t>Pieces of America
1 Form
4CP + UV / 0
18x12 White 188# Tango C2S Digital
Fronts</t>
  </si>
  <si>
    <t>Pieces of America
1 Form
BLACK / 4CP + UV
18x12 White 188# Tango C2S Digital
Backs</t>
  </si>
  <si>
    <t>10/31/2025</t>
  </si>
  <si>
    <t>CC-10077</t>
  </si>
  <si>
    <t>27305-01-Court_Queens-foil.pdf</t>
  </si>
  <si>
    <t>27305-03-Game_Used-foil.pdf</t>
  </si>
  <si>
    <t>27305-04-Retro_Relic_Signatures-foil.pdf</t>
  </si>
  <si>
    <t>27305-05-Let_The_Record_Show-foil.pdf</t>
  </si>
  <si>
    <t>27305-06-Stars_Collide-foil.pdf</t>
  </si>
  <si>
    <t>27305-07-One_On_One-foil.pdf</t>
  </si>
  <si>
    <t>27305-08-The_7-foil.pdf</t>
  </si>
  <si>
    <t>27305-09-The_Franchise_4-foil.pdf</t>
  </si>
  <si>
    <t>27305-012-4_Glory-foil.pdf</t>
  </si>
  <si>
    <t>27305-013-For_3-foil.pdf</t>
  </si>
  <si>
    <t>27305-014-Full_Court_Book-foil.pdf</t>
  </si>
  <si>
    <t>27305-015-Pages_In_History_Book-foil.pdf</t>
  </si>
  <si>
    <t>CC-158628</t>
  </si>
  <si>
    <t>Express Die Supply, Inc.</t>
  </si>
  <si>
    <t>9-up die cut die for front - 14pt stock - 9" x 12"
27305-03-Game_Used-die-front.pdf
.918 2pt center bevel with 1/2" of extra wood past metal</t>
  </si>
  <si>
    <t>9-up die cut die for front - 100pt stock - 9" x 12"
27305-03-Game_Used-die-filler.pdf
.937 3pt LONG center bevel with 1/2" of extra wood past metal</t>
  </si>
  <si>
    <t>3% Credit card processing fee</t>
  </si>
  <si>
    <t>CC-158627</t>
  </si>
  <si>
    <t>-up die cut die for front - 14pt stock - 9" x 12"
27305-05-Let_The_Record_Show-die-front.pdf
.918 2pt center bevel with 1/2" of extra wood past metal</t>
  </si>
  <si>
    <t>9-up die cut die for front - 100pt stock - 9" x 12"
27305-05-Let_The_Record_Show-die-filler.pdf
.937 3pt LONG center bevel with 1/2" of extra wood past metal</t>
  </si>
  <si>
    <t>CC-158623</t>
  </si>
  <si>
    <t>9-up die cut die for front - 14pt stock - 9" x 12"
27305-06-Stars_Collide-die-front.pdf
.918 2pt center bevel with 1/2" of extra wood past metal
18x 21/32" cut punch</t>
  </si>
  <si>
    <t>9-up die cut die for front - 100pt stock - 9" x 12"
27305-06-Stars_Collide-die-filler.pdf
.937 3pt LONG center bevel with 1/2" of extra wood past metal</t>
  </si>
  <si>
    <t>CC-158622</t>
  </si>
  <si>
    <t>9-up die cut die for front - 14pt stock - 9" x 12"
27305-04-Retro_Relic_Signatures-die-front.pdf
.918 2pt center bevel with 1/2" of extra wood past metal</t>
  </si>
  <si>
    <t>9-up die cut die for front - 100pt stock - 9" x 12"
27305-04-Retro_Relic_Signatures-die-filler.pdf
.937 3pt LONG center bevel with 1/2" of extra wood past metal</t>
  </si>
  <si>
    <t>CC-158621</t>
  </si>
  <si>
    <t>9-up die cut die for front - 14pt stock - 9" x 12"
27305-08-The_7-die-front.pdf
.918 2pt center bevel with 1/2" of extra wood past metal</t>
  </si>
  <si>
    <t>9-up die cut die for front - 100pt stock - 9" x 12"
27305-08-The_7-die-filler.pdf
.937 3pt LONG center bevel with 1/2" of extra wood past metal</t>
  </si>
  <si>
    <t>CC-158620</t>
  </si>
  <si>
    <t>9-up die cut die for front - 14pt stock - 9" x 12"
27305-014-Full_Court_Book-die-front.pdf
.918 2pt center bevel with 1/2" of extra wood past metal</t>
  </si>
  <si>
    <t>9-up die cut die for front - 100pt stock - 9" x 12"
27305-014-Full_Court_Book-die-filler.pdf
.937 3pt LONG center bevel with 1/2" of extra wood past metal</t>
  </si>
  <si>
    <t>CC-158619</t>
  </si>
  <si>
    <t>9-up die cut die for front - 14pt stock - 9" x 12"
27305-09-The_Franchise_4-die-front.pdf
.918 2pt center bevel with 1/2" of extra wood past metal</t>
  </si>
  <si>
    <t>9-up die cut die for front - 100pt stock - 9" x 12"
27305-09-The_Franchise_4-die-filler.pdf
.937 3pt LONG center bevel with 1/2" of extra wood past metal</t>
  </si>
  <si>
    <t>CC-158618</t>
  </si>
  <si>
    <t>9-up die cut die for front - 14pt stock - 9" x 12"
27305-07-One_On_One-die-front.pdf
.918 2pt center bevel with 1/2" of extra wood past metal</t>
  </si>
  <si>
    <t>9-up die cut die for front - 100pt stock - 9" x 12"
27305-07-One_On_One-die-filler.pdf
.937 3pt LONG center bevel with 1/2" of extra wood past metal</t>
  </si>
  <si>
    <t>CC-158605</t>
  </si>
  <si>
    <t>9-up die cut die for front - 14pt stock - 9" x 12"
27305-015-Pages_In_History_Book-die-front.pdf
.918 2pt center bevel with 1/2" of extra wood past metal</t>
  </si>
  <si>
    <t>9-up die cut die for front - 100pt stock - 9" x 12"
27305-015-Pages_In_History_Book-die-filler.pdf
.937 3pt LONG center bevel with 1/2" of extra wood past metal</t>
  </si>
  <si>
    <t>Shipping - UPS GROUND - 1Z0V5V980341526083 WITH
158605, 158618, 158619, 158620, 158621,
158622, 158623, 158627, 158628</t>
  </si>
  <si>
    <t>1506</t>
  </si>
  <si>
    <t>David Kudell-Rimrock Creative Media</t>
  </si>
  <si>
    <t>Equipment Rental
Job 27315 Rubios
Sony A7s3 camera
Sony 24-70mm lens
(2) SmallHD wireless CineHD monitors</t>
  </si>
  <si>
    <t>Row Labels</t>
  </si>
  <si>
    <t>Sum of Amount</t>
  </si>
  <si>
    <t>These are the costs incurred in Oct'25 for the ongoing projects for which we have not generated any income.</t>
  </si>
  <si>
    <t>Grand Total</t>
  </si>
  <si>
    <t>Balance as per GL</t>
  </si>
  <si>
    <t>Date</t>
  </si>
  <si>
    <t>Start Date</t>
  </si>
  <si>
    <t>End Date</t>
  </si>
  <si>
    <t>Period</t>
  </si>
  <si>
    <t>Account</t>
  </si>
  <si>
    <t>Ziflow Limited</t>
  </si>
  <si>
    <t>12 Months</t>
  </si>
  <si>
    <t>Software Cost</t>
  </si>
  <si>
    <t>Dropbox</t>
  </si>
  <si>
    <t>Dues and Subscriptions</t>
  </si>
  <si>
    <t>Significans Automation International Corp</t>
  </si>
  <si>
    <t>Zoho</t>
  </si>
  <si>
    <t>Royson enterprises</t>
  </si>
  <si>
    <t>Rent Expense</t>
  </si>
  <si>
    <t>Hewlett Packard Financial Services Co.</t>
  </si>
  <si>
    <t>AR aging Details:</t>
  </si>
  <si>
    <t>Type</t>
  </si>
  <si>
    <t>Due Date</t>
  </si>
  <si>
    <t xml:space="preserve">Amount/ Open Balances </t>
  </si>
  <si>
    <t>Comment</t>
  </si>
  <si>
    <t>61 - 90 days past due</t>
  </si>
  <si>
    <t>11/25/2025</t>
  </si>
  <si>
    <t>Invoice</t>
  </si>
  <si>
    <t>INV013161</t>
  </si>
  <si>
    <t>CSA Center Stage Advertising:J009102-Jay's Outbound 5.5x8.5 Mini Flyer</t>
  </si>
  <si>
    <t>12/10/2025</t>
  </si>
  <si>
    <t>INV013162</t>
  </si>
  <si>
    <t>CSA Center Stage Advertising:J009103-Suffs LGBTQ+ Night Drink Voucher 2ND RUN - 250qty</t>
  </si>
  <si>
    <t>11/26/2025</t>
  </si>
  <si>
    <t>INV013164</t>
  </si>
  <si>
    <t>CSA Center Stage Advertising:J009105-01-Pantages Greeting Cards w/ 1 Score</t>
  </si>
  <si>
    <t>12/11/2025</t>
  </si>
  <si>
    <t>Total for 61 - 90 days past due</t>
  </si>
  <si>
    <t>31 - 60 days past due</t>
  </si>
  <si>
    <t>INV013224</t>
  </si>
  <si>
    <t>Immaculate Heart High School:J009170-Curriculum Guide 25-26 (Black and White Interior)</t>
  </si>
  <si>
    <t>Total for 31 - 60 days past due</t>
  </si>
  <si>
    <t>1 - 30 days past due</t>
  </si>
  <si>
    <t>INV013278</t>
  </si>
  <si>
    <t>Unique Carpets - Laurena Townsend:J009209-Hardcover Book - Wire-O Binding - Teacher's Book</t>
  </si>
  <si>
    <t>INV013218</t>
  </si>
  <si>
    <t>Merit:J009164-MERIT_Consumer Cards</t>
  </si>
  <si>
    <t>02/05/2026</t>
  </si>
  <si>
    <t>11/19/2025</t>
  </si>
  <si>
    <t>INV013154</t>
  </si>
  <si>
    <t>AIDS Healthcare Foundation - AHF:J009096</t>
  </si>
  <si>
    <t>02/17/2026</t>
  </si>
  <si>
    <t>02/19/2026</t>
  </si>
  <si>
    <t>INV013312</t>
  </si>
  <si>
    <t>FrenchMouve ADA:J009241-WA Trifold/ Fact Sheet</t>
  </si>
  <si>
    <t>Total for 1 - 30 days past due</t>
  </si>
  <si>
    <t>03/05/2026</t>
  </si>
  <si>
    <t>03/12/2026</t>
  </si>
  <si>
    <t>02/16/2026</t>
  </si>
  <si>
    <t>03/18/2026</t>
  </si>
  <si>
    <t>INV013307</t>
  </si>
  <si>
    <t>Art Life Practice:J009238-Accordion Fold Zines - Silk Ink</t>
  </si>
  <si>
    <t>02/27/2026</t>
  </si>
  <si>
    <t>03/29/2026</t>
  </si>
  <si>
    <t>04/17/2026</t>
  </si>
  <si>
    <t>Total for CURRENT</t>
  </si>
  <si>
    <t>TOTAL</t>
  </si>
  <si>
    <t>Opening Balance</t>
  </si>
  <si>
    <t>Addition &amp; Substraction</t>
  </si>
  <si>
    <t>Closing Balance</t>
  </si>
  <si>
    <t>Wall setup at new rented premises.</t>
  </si>
  <si>
    <t>Computer &amp; Office Equipment:</t>
  </si>
  <si>
    <t>Transaction Type</t>
  </si>
  <si>
    <t>Description</t>
  </si>
  <si>
    <t xml:space="preserve">Comments </t>
  </si>
  <si>
    <t>03/25/2024</t>
  </si>
  <si>
    <t>Journal Entry</t>
  </si>
  <si>
    <t>Challenge Cutter Model 305XD (Purchase Date 6/3/2005)</t>
  </si>
  <si>
    <t>Misc. Fixed Assets</t>
  </si>
  <si>
    <t>Presstek 52 DI Press (Purchase Date 12/14/2006)</t>
  </si>
  <si>
    <t>05/30/2024</t>
  </si>
  <si>
    <t>Reclass apple charges to balance sheet</t>
  </si>
  <si>
    <t>06/27/2024</t>
  </si>
  <si>
    <t>Lidia P Marschke dba Color Management / Beale Ash Distribution</t>
  </si>
  <si>
    <t>12/23/2024</t>
  </si>
  <si>
    <t>One Used Polar78ED Paper Cutter</t>
  </si>
  <si>
    <t>12/26/2024</t>
  </si>
  <si>
    <t>XITRON NAVAGATPR 14 GPS PRESSTEK DI RIP KIT</t>
  </si>
  <si>
    <t>12/31/2024</t>
  </si>
  <si>
    <t>Adjusting Journal Entries JE # 1
To reclass assets &lt;$2,500 to office equipment</t>
  </si>
  <si>
    <t>Adjusting Journal Entries JE # 6
To allocate sales tax to fixed assets</t>
  </si>
  <si>
    <t>01/07/2025</t>
  </si>
  <si>
    <t>PREAUTHORIZED DEBIT MARK ANDY INC. - BILL PAYMT PPD PACIFIC MEDIA NA/</t>
  </si>
  <si>
    <t>01/28/2025</t>
  </si>
  <si>
    <t>Deposit</t>
  </si>
  <si>
    <t>PREAUTHORIZED CREDIT MARK ANDY INC. - BILL PAYMT PPD PACIFIC MEDIA NA/</t>
  </si>
  <si>
    <t>Donations</t>
  </si>
  <si>
    <t>Kompac Phoenix 30 UV Coater</t>
  </si>
  <si>
    <t>Purchase for NS</t>
  </si>
  <si>
    <t>11/17/2025</t>
  </si>
  <si>
    <t>Phoenix Tilia Labs Imposition Software</t>
  </si>
  <si>
    <t>Enfocus Switch Production Bundle</t>
  </si>
  <si>
    <t>Zechini end paper machine</t>
  </si>
  <si>
    <t>Horizon BQ280</t>
  </si>
  <si>
    <t>Horizon HT30C</t>
  </si>
  <si>
    <t>Kensol 65 Hot Stamp</t>
  </si>
  <si>
    <t>Compressor</t>
  </si>
  <si>
    <t>Hardcover Case Maker</t>
  </si>
  <si>
    <t>Smyth Sewing Machine $10,500/ $2100</t>
  </si>
  <si>
    <t>Saddle Sewing Machine $ 10,129 / $2026</t>
  </si>
  <si>
    <t>Head and Tail Band Machine</t>
  </si>
  <si>
    <t>Polar Cutter 76 EM</t>
  </si>
  <si>
    <t>Hydraulic Press Machine</t>
  </si>
  <si>
    <t>L/C Magnetics Inc  Transformer</t>
  </si>
  <si>
    <t>Hot Glue for Hardcover</t>
  </si>
  <si>
    <t>Techkon SpectroDens Basic</t>
  </si>
  <si>
    <t>Wire O crimping and punching machine $400/ $20</t>
  </si>
  <si>
    <t>Ascentium Capital LLC</t>
  </si>
  <si>
    <t>Adjusting Journal Entries JE # 9
To record current year depreciation expense</t>
  </si>
  <si>
    <t>01/31/2025</t>
  </si>
  <si>
    <t>Depreciation of Computer &amp; Office Equipment</t>
  </si>
  <si>
    <t>02/28/2025</t>
  </si>
  <si>
    <t>03/31/2025</t>
  </si>
  <si>
    <t>04/30/2025</t>
  </si>
  <si>
    <t>05/31/2025</t>
  </si>
  <si>
    <t>06/30/2025</t>
  </si>
  <si>
    <t>07/31/2025</t>
  </si>
  <si>
    <t>08/31/2025</t>
  </si>
  <si>
    <t>Leasehold Improvements</t>
  </si>
  <si>
    <t>Cyc Wall systems</t>
  </si>
  <si>
    <t>Depreciation of Leasehold Improvements</t>
  </si>
  <si>
    <t>Goodwill from Asset Purchase</t>
  </si>
  <si>
    <t>Adjustment to Purchase JE for Working Capital / PTO</t>
  </si>
  <si>
    <t>Accumulated Amortization - Goodwill</t>
  </si>
  <si>
    <t>Adjusting Journal Entries JE # 8
To record current year amortization expense</t>
  </si>
  <si>
    <t>Amortization Goodwill</t>
  </si>
  <si>
    <t>Loan Closing Costs</t>
  </si>
  <si>
    <t>Accumulated Amortization - Loan Closing Costs</t>
  </si>
  <si>
    <t>Amortization Loan Closing Cost</t>
  </si>
  <si>
    <t>Security Deposit</t>
  </si>
  <si>
    <t>San Diego Properties LLC</t>
  </si>
  <si>
    <t>Mercedes-Benz of South Bay</t>
  </si>
  <si>
    <t>DEBIT MEMO - Collateral Deposit for HP Lease</t>
  </si>
  <si>
    <t>Deposit - Rayson Enterprises</t>
  </si>
  <si>
    <t>Purchase Cost - NS Printing</t>
  </si>
  <si>
    <t>AMAZON MARKEPLACE NA PA - Network cabling for lobby, new press area</t>
  </si>
  <si>
    <t>10/03/2025</t>
  </si>
  <si>
    <t>HOMEDEPOT.COM 800-430-3376 GA - Network cabling for lobby, new press area</t>
  </si>
  <si>
    <t>CITY ELECTRIC 512-249-7426 TX - Network cabling for lobby, new press area</t>
  </si>
  <si>
    <t>10/13/2025</t>
  </si>
  <si>
    <t>AMAZON.COM AMZN.COM/BILL WA XXXX1091 - Network cabling supplies</t>
  </si>
  <si>
    <t>10/16/2025</t>
  </si>
  <si>
    <t>1HLelec This scope of work includes the complete electrical installation for a
commercial space, in compliance with the latest edition of the National
Electrical Code (NEC) and local jurisdictional requirements. Work consists of
furnishing and installing a new main electrical panel and associated breakers,
grounding system, and distribution conduit (EMT) throughout the premises.
Electrical conductors (THHN/THWN) will be pulled and terminated at all
required outlets, switches, fixtures, and equipment locations. This includes
the installation of GFCI-protected outlets, standard receptacles, and
dedicated circuits for commercial kitchen equipment, HVAC systems, lighting,
and mechanical components. LED light fixtures, emergency lighting, and
illuminated EXIT signs will be installed to meet Title 24 or local energy code
compliance. Occupancy sensors and control switches will be provided in
designated areas such as restrooms and staff zones. All work includes circuit
labeling, electrical testing, and preparation for both rough and final
inspections. Qty: 100 * $120.00</t>
  </si>
  <si>
    <t>1HLS Hours of Labor or Service Description:
1. Research and Replacement Search: This includes time spent
researching suitable replacement parts and components. The
duration may vary depending on the availability of parts and the complexity of the HVAC system.
2. Job Preparation: Time allocated to prepare the work area and gather
necessary tools and equipment. This stage ensures that the job can
be carried out efficiently and safely.
3. Coordination and Planning: Hours spent on coordinating with team
members or subcontractors, planning the sequence of tasks, and
scheduling the job to minimize disruption.
4. Ordering and Delivery of Parts: The process of placing orders for
required parts and components, as well as the waiting period for their
delivery
5. Actual Replacement and Installation: The core labor hours dedicated
to removing old parts, installing new ones, and ensuring everything is
operational and meets quality standards.
Price for HVAC Equipment from 1.5 ton up to 10 tons.
Qty: 100 * $125.00</t>
  </si>
  <si>
    <t>1HL CHILLERS Hourly Labor on Chillers
Qty: 4 * $225.00</t>
  </si>
  <si>
    <t>ELEC-T_110 This scope includes the provision of all standard electrical materials required
for a complete commercial electrical installation. Materials include a new
main electrical panel with circuit breakers, grounding electrodes, and
bonding components. EMT conduit of various sizes with associated fittings
and connectors will be provided for all branch circuits. Electrical wire will
consist of THHN/THWN conductors in compliance with UL and NEC
standards. Standard and GFCI duplex receptacles, weather-resistant devices
(if required), commercial-grade switches, and heavy-duty cover plates are
included. All required LED light fixtures, including surface-mounted, recessed,
emergency lights, and illuminated EXIT signs, will be supplied in accordance
with energy code specifications (e.g., Title 24). Occupancy sensors, dimmers,
and control relays for automatic lighting control will be furnished. Mounting
hardware, electrical boxes, junction boxes, pull strings, labels, and wire
markers are also included as part of the complete material package. All
materials will be UL-listed and installed per code.</t>
  </si>
  <si>
    <t>Comm. Plumb
Mat. This line item includes all necessary plumbing materials required for the
complete installation of the commercial plumbing system as per project
scope and code requirements. Materials provided under this classification
may include, but are not limited to:
Valves,
Pipe insulation and fire-stopping materials (if required)
Fasteners, sealants, adhesives, and installation consumables
All materials are selected to meet California Plumbing Code standards and
project specifications. This is a lump sum material charge designed to
streamline project accounting and simplify estimating. Any specialty items
outside standard scope will be addressed separately if applicable. THIS
MATERIALS IS FOR AIR COMPRESSOR AND CHILLER.</t>
  </si>
  <si>
    <t>Str-CabComp-7356 Aluminum sheets (14–16 gauge) for walls, roof, and doors.
2” x 2” steel tubing for internal framing.
Steel sloped roof with overhang for drainage.
Industrial door hinges (x2) and locking handles (x2).
Weather-seal strips for door and roof edges.
Foundation &amp; Drainage
Ventilation Grills
Electrical and Mechanical.
Flexible air hoses for reconnection.
Brass/stainless fittings, Teflon tape or pipe sealant as needed.
Vibration isolation pads (if not integrated in existing base).
Soundproofing (Optional)
Acoustic panels (fire-rated industrial foam or board).
Industrial-grade adhesive or mounting hardware.
Miscellaneous
Fasteners: screws, bolts, washers, and anchors.
Tools: blades, sealants, PPE, tape measures, cutting tools.
Optional: Safety signage or labeling</t>
  </si>
  <si>
    <t>Tax</t>
  </si>
  <si>
    <t>This transformer is a 75 kVA dry-type step-down unit, designed to convert
480 volts (three-phase) to 208Y/120 volts (three-phase, four-wire). It
provides safe and efficient voltage transformation for commercial and
industrial electrical systems, supplying both 120V single-phase loads and
208V three-phase loads from a 480V distribution source. (Price includes
materials and labor for installation)
The transformer is NEMA 3R rated (optional for indoor/outdoor installation),
built with copper windings for enhanced efficiency and durability, and
includes temperature rise of 150°C with 180°C insulation class. It complies
with DOE 2016 efficiency standards, UL Listed, and CSA certified for reliable
operation and reduced energy losses.</t>
  </si>
  <si>
    <t>During the course of work, it was initially agreed to install drywall only on a
partial section of the wall. However, after on-site review and coordination
with the client, it was determined that completing the full wall up to 12 feet
in height was necessary to properly enclose and finish the area.
This change extends the original scope to include the installation, taping, and
finishing of the entire wall section to 12 ft high, ensuring uniform appearance
and compliance with the overall construction layout. The additional labor,
materials, and finishing required for this full-height drywall installation are
reflected in this Change Order.</t>
  </si>
  <si>
    <t>on-site cabling - CAT6 drops Qty: 16 @ $160.00</t>
  </si>
  <si>
    <t>10/21/2025</t>
  </si>
  <si>
    <t>RIG Rigging Service</t>
  </si>
  <si>
    <t>CITY ELECTRIC XXX-XXX-7426 TX XXXX1091 - Refund</t>
  </si>
  <si>
    <t>AIRBNB * HM3HSWX3DF SAN FRANCISCO CA XXXX3006 - Nonstop acquisiton costs - accomodation for trainer</t>
  </si>
  <si>
    <t>11/06/2025</t>
  </si>
  <si>
    <t>5 gal pail of R103
Qty: 1 Rate: $221.00</t>
  </si>
  <si>
    <t>Outside carrier contracted freight</t>
  </si>
  <si>
    <t>11/10/2025</t>
  </si>
  <si>
    <t>Professional Services - 5 days (40 hours) for the move of Pacific
Media Holdings site into the NonStop Printing site including
additional branding and other needs.</t>
  </si>
  <si>
    <t>Professional Services - 1 day (8 hours) for the set up and training of
Capacity Planner.</t>
  </si>
  <si>
    <t>Addition of the amount between the NS lease and the NS asset acquisition.</t>
  </si>
  <si>
    <t>Rental of a [Electric/Diesel] Bobcat lift (4X4) for elevated work projects,
ideal for HVAC installations, ductwork, and maintenance. Includes safety
harness and lanyard for operator compliance with OSHA standards.
Delivery and pickup options are available for added convenience.
Price is based on a daily rate</t>
  </si>
  <si>
    <t>Original scope was limited to providing electrical power to the wall and
equipment cabinet only.
During installation, additional work outside the original scope was
required to properly integrate the chiller with the Indigo machine. This
work was not contemplated in the original contract nor in the HP
installation manual.
Additional labor included:
Procurement and installation of supply and return line adapters
for the chiller.
Routing and connection of communication cabling between the
Indigo machine and the chiller.
Direct power connections to the chiller and the Indigo machine,
beyond the originally contracted wall and cabinet power.
This work required additional labor hours and materials beyond the
original scope.</t>
  </si>
  <si>
    <t>This scope of work includes the complete electrical installation for a
commercial space, in compliance with the latest edition of the National
Electrical Code (NEC) and local jurisdictional requirements. Work consists
of furnishing and installing a new main electrical panel and associated
breakers, grounding system, and distribution conduit (EMT) throughout
the premises. Electrical conductors (THHN/THWN) will be pulled and
terminated at all required outlets, switches, fixtures, and equipment
locations. This includes the installation of GFCI-protected outlets, standard
receptacles, and dedicated circuits for commercial kitchen equipment,
HVAC systems, lighting, and mechanical components. LED light fixtures,
emergency lighting, and illuminated EXIT signs will be installed to meet
Title 24 or local energy code compliance. Occupancy sensors and control
switches will be provided in designated areas such as restrooms and staff
zones. All work includes circuit labeling, electrical testing, and preparation
for both rough and final inspections</t>
  </si>
  <si>
    <t>This is the additional cost associated with installing the printer ventilation
system and integrating it into the existing ventilation system. Prior price
was $2,000.00</t>
  </si>
  <si>
    <t>Demolition of approved interior walls, drywall installation and finishing,
soffit construction as required, and painting of affected areas. Paint
provided by client; labor included. Dust control included.
Pricing is per hour, per worker. Electrical, plumbing, and HVAC work not
included. Overnight work only if approved in advance.</t>
  </si>
  <si>
    <t>Core Bit rental by day 4</t>
  </si>
  <si>
    <t>This scope includes the provision of all standard electrical materials
required for a complete commercial electrical installation. Materials
include a new main electrical panel with circuit breakers, grounding
electrodes, and bonding components. EMT conduit of various sizes with
associated fittings and connectors will be provided for all branch circuits.
Electrical wire will consist of THHN/THWN conductors in compliance with
UL and NEC standards. Standard and GFCI duplex receptacles, weatherresistant devices (if required), commercial-grade switches, and heavy-duty
cover plates are included. All required LED light fixtures, including surfacemounted, recessed, emergency lights, and illuminated EXIT signs, will be
supplied in accordance with energy code specifications (e.g., Title 24).
Occupancy sensors, dimmers, and control relays for automatic lighting
control will be furnished. Mounting hardware, electrical boxes, junction
boxes, pull strings, labels, and wire markers are also included as part of
the complete material package. All materials will be UL-listed and installed
per code.</t>
  </si>
  <si>
    <t>TThis line item includes all necessary plumbing materials required for the
complete installation of the commercial plumbing system as per project
scope and code requirements. Materials provided under this classification
may include, but are not limited to:
Water supply piping (copper, PEX, CPVC)
Drain, waste, and vent piping (PVC, ABS, cast iron)
Fittings, hangers, and supports
Valves, traps, and cleanouts
Air compressed piping
Pipe insulation and fire-stopping materials (if required)
Fasteners, sealants, adhesives, and installation consumables
All materials are selected to meet California Plumbing Code standards and
project specifications. This is a lump sum material charge designed to
streamline project accounting and simplify estimating. Any specialty items
outside standard scope will be addressed separately if applicable.</t>
  </si>
  <si>
    <t>This item covers all required materials for the complete installation of the
commercial ventilation system, as per project scope, mechanical
drawings, and applicable codes. Materials included in this classification
may consist of:
Sheet metal ductwork (rectangular and/or round)
Flexible ducting and connectors
Volume dampers, backdraft dampers, and fire/smoke dampers
Duct insulation and sealants
Grilles, registers, and diffusers
Roof curbs, supports, hangers, and straps
Fasteners, duct sealants, and installation hardware
Exhaust fans or inline fans (if part of the ventilation scope)
Make-up air system components (if required)
All materials are compliant with California Mechanical Code and Title 24
standards. This is a lump sum material charge, designed to simplify project
documentation. Any non-standard components or custom fabrications will
be addressed separately if needed.</t>
  </si>
  <si>
    <t>Includes materials required for interior wall demolition, drywall
installation and finishing, soffit construction, including drywall panels,
fasteners, joint compound, tape, corner bead, debris protection, and
miscellaneous consumables.
Materials are billed separately from labor. Quantities and total cost may
vary based on project scope and site conditions.</t>
  </si>
  <si>
    <t>Cash Discount</t>
  </si>
  <si>
    <t>Cash Discount by Agreement</t>
  </si>
  <si>
    <t>Transformer 30 KVA</t>
  </si>
  <si>
    <t>Accumulated Amortization - Purchase Cost - NS Printing</t>
  </si>
  <si>
    <t>Amortization of Pre-acquition cost</t>
  </si>
  <si>
    <t>Vendor</t>
  </si>
  <si>
    <t>Open Balance</t>
  </si>
  <si>
    <t>91 or more days past due</t>
  </si>
  <si>
    <t>Mark Andy Inc dba Mark Andy Print Products</t>
  </si>
  <si>
    <t>10/08/2025</t>
  </si>
  <si>
    <t>4174</t>
  </si>
  <si>
    <t>Tesser Grossman LLP</t>
  </si>
  <si>
    <t>11/21/2025</t>
  </si>
  <si>
    <t>We'll pay in Dec'2026 as confirm by Zaheer</t>
  </si>
  <si>
    <t>4173</t>
  </si>
  <si>
    <t>Total for 91 or more days past due</t>
  </si>
  <si>
    <t>06/17/2025</t>
  </si>
  <si>
    <t>3706</t>
  </si>
  <si>
    <t>11/30/2025</t>
  </si>
  <si>
    <t>3707</t>
  </si>
  <si>
    <t>07/24/2025</t>
  </si>
  <si>
    <t>3859</t>
  </si>
  <si>
    <t>3860</t>
  </si>
  <si>
    <t>08/25/2025</t>
  </si>
  <si>
    <t>3944</t>
  </si>
  <si>
    <t>12/18/2025</t>
  </si>
  <si>
    <t>4437</t>
  </si>
  <si>
    <t>CC-10651</t>
  </si>
  <si>
    <t>12/30/2025</t>
  </si>
  <si>
    <t>5072530834</t>
  </si>
  <si>
    <t>Ricoh USA,Inc</t>
  </si>
  <si>
    <t>Kelly Spicers Inc</t>
  </si>
  <si>
    <t>HP-Indigo America Inc.</t>
  </si>
  <si>
    <t>FedEx</t>
  </si>
  <si>
    <t>Bill Payment (Check)</t>
  </si>
  <si>
    <t>CaliforniaChoice</t>
  </si>
  <si>
    <t>Metal Magic</t>
  </si>
  <si>
    <t>Astro Paper &amp; Envelopes</t>
  </si>
  <si>
    <t>02/28/2026</t>
  </si>
  <si>
    <t>Blair Adhesive Products, Inc</t>
  </si>
  <si>
    <t>IQ Workflow Solutions, Inc. dba print IQ</t>
  </si>
  <si>
    <t>03/02/2026</t>
  </si>
  <si>
    <t>Christopher McFarling dba InnerCore IT LLC</t>
  </si>
  <si>
    <t>03/03/2026</t>
  </si>
  <si>
    <t>Toyo Ink America LLC</t>
  </si>
  <si>
    <t>03/07/2026</t>
  </si>
  <si>
    <t>02/20/2026</t>
  </si>
  <si>
    <t>CC-9-186-37999</t>
  </si>
  <si>
    <t>03/13/2026</t>
  </si>
  <si>
    <t>02/12/2026</t>
  </si>
  <si>
    <t>03/15/2026</t>
  </si>
  <si>
    <t>02/15/2026</t>
  </si>
  <si>
    <t>03/17/2026</t>
  </si>
  <si>
    <t>5072799613</t>
  </si>
  <si>
    <t>Wells Fargo VFS, LLC</t>
  </si>
  <si>
    <t>03/19/2026</t>
  </si>
  <si>
    <t>03/20/2026</t>
  </si>
  <si>
    <t>Ink Systems, Inc.</t>
  </si>
  <si>
    <t>03/22/2026</t>
  </si>
  <si>
    <t>03/25/2026</t>
  </si>
  <si>
    <t>02/25/2026</t>
  </si>
  <si>
    <t>Great Western Foils, Inc</t>
  </si>
  <si>
    <t>03/27/2026</t>
  </si>
  <si>
    <t>ULINE Inc</t>
  </si>
  <si>
    <t>207696</t>
  </si>
  <si>
    <t>2026-CINVUS000052603</t>
  </si>
  <si>
    <t>2026-CINVUS000052369</t>
  </si>
  <si>
    <t>INV-325-01574</t>
  </si>
  <si>
    <t>03/30/2026</t>
  </si>
  <si>
    <t>INV-325-01541</t>
  </si>
  <si>
    <t>03/31/2026</t>
  </si>
  <si>
    <t>Accrued Expenses</t>
  </si>
  <si>
    <t>Vendor Name</t>
  </si>
  <si>
    <t>Payroll Accrual</t>
  </si>
  <si>
    <t>Jun'25</t>
  </si>
  <si>
    <t>SDGE</t>
  </si>
  <si>
    <t>Jul'25</t>
  </si>
  <si>
    <t>FCB Loan</t>
  </si>
  <si>
    <t>Accrual of Rent  - Oct to Jan'26</t>
  </si>
  <si>
    <t>Accrual of CAM Charges - Oct'25 to Jan'26</t>
  </si>
  <si>
    <t>Sep'25</t>
  </si>
  <si>
    <t>Accrual of Late Fee - Oct'25</t>
  </si>
  <si>
    <t>Late Fess for Oct'25 has not been wavied off.</t>
  </si>
  <si>
    <t>Accrual of HVAC Repair in Dec'25</t>
  </si>
  <si>
    <t>Intuit Loan</t>
  </si>
  <si>
    <t>This schedule needs to be updated every month as and when there are transactions under GL "2705 Shareholder Loan - Zaheer"</t>
  </si>
  <si>
    <t>Year</t>
  </si>
  <si>
    <t>Split</t>
  </si>
  <si>
    <t>Daily Interest</t>
  </si>
  <si>
    <t>GL00039</t>
  </si>
  <si>
    <t>Cash contribution toward equity purchase - ZGB</t>
  </si>
  <si>
    <t>-Split-</t>
  </si>
  <si>
    <t>GL00065</t>
  </si>
  <si>
    <t>Startup Expenses Due to Shareholder - ZGB</t>
  </si>
  <si>
    <t>Zaheer</t>
  </si>
  <si>
    <t>Zaheer $2k Loan</t>
  </si>
  <si>
    <t>5.3.24 - Zaheer Loan</t>
  </si>
  <si>
    <t>AP000060</t>
  </si>
  <si>
    <t>05132024 Opening Legal Retainer pay</t>
  </si>
  <si>
    <t>INCOMING WIRE-DOM Originator: ZAHEER GOODMAN BHYAT 3515 MANHATTAN AVE HERMOSA BE...</t>
  </si>
  <si>
    <t>Christina Thelin</t>
  </si>
  <si>
    <t>INCOMING WIRE-DOM Originator: CHRISTINA THELIN 3515 MANHATTAN AVE HERMOSA BEACH ...</t>
  </si>
  <si>
    <t>INCOMING WIRE-DOM Originator: ZAHEER GOODMANBHYAT 3515 MANHATTAN AVE HERMOSA BEACH CA 90254, Originator Account: XXXXXX3337, Originator Bank: 124084834, Originator Reference: XXXXXXXXXXXX1700, Originator to Beneficiary Instructions: FROM: ZAHEER GOODMANBHYAT, Delivery Date: 2024-12-04, Delivery Time: 12:45:57.48, IMAD: 1204L1LFB39CXXXXXXXX041544FT03</t>
  </si>
  <si>
    <t>INCOMING WIRE-DOM Originator: ZAHEER GOODMANBHYAT 3515 MANHATTAN AVE HERMOSA BEACH CA 90254, Originator Account: XXXXXX3337, Originator Bank: 124084834, Originator Reference: XXXXXXXXXXXX2700, Originator to Beneficiary Instructions: FROM ZAHEER GOODMANBHYAT, Delivery Date: 2024-12-17, Delivery Time: 12:02:02.67, IMAD: 1217L1LFB39CXXXXXXXX171501FT01</t>
  </si>
  <si>
    <t>2024 AJEs-CPA</t>
  </si>
  <si>
    <t>Adjusting Journal Entries JE # 7
To reclass personal use of auto lease (10%) to offset shareholder loan</t>
  </si>
  <si>
    <t>Zaheer Goodman-Bhyat</t>
  </si>
  <si>
    <t>INCOMING WIRE-DOM Originator: ZAHEER GOODMANBHYAT 3515 MANHATTAN AVE HERMOSA BEACH CA 90254, Originator Account: XXXXXX3337, Originator Bank: 124084834, Originator Reference: XXXXXXXXXXXX5300, Originator to Beneficiary Instructions: FROM ZAHEER GOODMANBHYAT, Delivery Date: 2025-01-02, Delivery Time: 10:56:24.66, IMAD: 0102L1LFB39CXXXXXXXX021345FT01</t>
  </si>
  <si>
    <t>INV-110616</t>
  </si>
  <si>
    <t>Analytix Solution</t>
  </si>
  <si>
    <t>Fee for time spend behind preparing Financial Statements in Spreadsheet for the
Year, 2024</t>
  </si>
  <si>
    <t>PAYMENT - THANK YOU RALEIGH NC</t>
  </si>
  <si>
    <t>PREAUTHORIZED DEBIT 52640PACIFIC MED CORP PAY ACH OFFSET PACIFIC CCD/</t>
  </si>
  <si>
    <t>INCOMING WIRE-DOM Originator: ZAHEER GOODMAN BHYAT 3515 MANHATTAN AVE HERMOSA BEACH CA 90254-2045 US, Originator Account: *****7198, Originator Bank: 021000021, Originator Reference: XXXXXX5171ES, Originator to Beneficiary Instructions: FUNDING FROM ZAHEER, Delivery Date: 2025-06-20, Delivery Time: 09:05:27.30, IMAD: 0620MMQFMP2LXXXXXXXX200810FT03</t>
  </si>
  <si>
    <t>INCOMING WIRE-DOM Originator: ZAHEER GOODMAN BHYAT 3515 MANHATTAN AVE HERMOSA BEACH CA 90254-2045 US, Originator Account: *****7198, Originator Bank: 021000021, Originator Reference: XXXXXX5191ES, Originator to Beneficiary Instructions: OPENING TRANSFER, Delivery Date: 2025-07-10, Delivery Time: 07:47:04.40, IMAD: 0710MMQFMP2MXXXXXXXX100804FT03</t>
  </si>
  <si>
    <t>New Printing Machine</t>
  </si>
  <si>
    <t>Pneumatic Numbering Hot Stamping Machine with Automatic Sequential Numbering</t>
  </si>
  <si>
    <t>INCOMING WIRE-DOM Originator: ZAHEER GOODMAN BHYAT 3515 MANHATTAN AVE HERMOSA BEACH CA 90254-2045 US, Originator Account: 339717198, Originator Bank: 021000021, Originator Reference: XXXXXX5252ES, Originator to Beneficiary Instructions: COVER PAYROLL, Delivery Date: 2025-09-09, Delivery Time: 09:21:02.38, IMAD: 20250909MMQFMP2K020496</t>
  </si>
  <si>
    <t>CNB Checking #2640</t>
  </si>
  <si>
    <t>INCOMING WIRE-DOM Originator: ZAHEER GOODMAN BHYAT 3515 MANHATTAN AVE HERMOSA BEACH CA 90254-2045 US, Originator Account: *****7198, Originator Bank: 021000021, Originator Reference: XXXXXX5301ES, Originator to Beneficiary Instructions: LOAN FROM ZAHEER, Delivery Date: 2025-10-28, Delivery Time: 09:08:16.15, IMAD: 20251028MMQFMP2N005507</t>
  </si>
  <si>
    <t>SHERGELB-PYT</t>
  </si>
  <si>
    <t>Zaheer made payment from persoanl card other than VISA</t>
  </si>
  <si>
    <t>INCOMING WIRE-DOM Originator: ZAHEER GOODMAN BHYAT 3515 MANHATTAN AVE HERMOSA BEACH CA 90254-2045 US, Originator Account: *****7198, Originator Bank: 021000021, Originator Reference: XXXXXX5329ES, Originator to Beneficiary Instructions: FUNDING FROM ZAHEER, Delivery Date: 2025-11-25, Delivery Time: 13:12:13.35, IMAD: 20251125MMQFMP2L033252</t>
  </si>
  <si>
    <t>Paid cash_12.09.25</t>
  </si>
  <si>
    <t>forklift (bill pending to receive)</t>
  </si>
  <si>
    <t>INCOMING WIRE-DOM Originator: ZAHEER GOODMAN BHYAT 3515 MANHATTAN AVE HERMOSA BEACH CA 90254-2045 US, Originator Account: *****7198, Originator Bank: 021000021, Originator Reference: XXXXXX5349ES, Originator to Beneficiary Instructions: FROM ZAHEER, Delivery Date: 2025-12-15, Delivery Time: 15:54:56.22, IMAD: 20251215MMQFMP2L039211</t>
  </si>
  <si>
    <t>Jan</t>
  </si>
  <si>
    <t xml:space="preserve">Deposit &amp; Expense </t>
  </si>
  <si>
    <t>INCOMING WIRE-DOM Originator: ZAHEER GOODMAN BHYAT 3515 MANHATTAN AVE HERMOSA BEACH CA 90254-2045 US, Originator Account: *****7198, Originator Bank: 021000021, Originator Reference: XXXXXX6012ES, Originator to Beneficiary Instructions: OPENING TRANSFER, Delivery Date: 2026-01-12, Delivery Time: 10:34:22.38, IMAD: 20260112MMQFMP2K020322
&amp;
PREAUTHORIZED DEBIT VENMO PAYMENT WEB ZAHEER BHYAT @@XXXXXXXX59205/ - As per feedback from Zaheer this is personal expense.</t>
  </si>
  <si>
    <t>INCOMING WIRE-DOM Originator: ZAHEER GOODMAN BHYAT 3515 MANHATTAN AVE HERMOSA BEACH CA 90254-2045 US, Originator Account: *****7198, Originator Bank: 021000021, Originator Reference: XXXXXX6016ES, Originator to Beneficiary Instructions: NONSTOP ACQUSITION - PR WAVE COSTS, Delivery Date: 2026-01-16, Delivery Time: 12:08:27.14, IMAD: 20260116MMQFMP2M029715</t>
  </si>
  <si>
    <t>Feb</t>
  </si>
  <si>
    <t>07/22/2025</t>
  </si>
  <si>
    <t>PREAUTHORIZED CREDIT LEAF TRADING CAR ACH PAYMEN CCD PACIFIC MEDIA (REISSUED PAYMENT) INV #AR00478/</t>
  </si>
  <si>
    <t>07/25/2025</t>
  </si>
  <si>
    <t>INTUIT QUICKBOOKS PAY818-4367800</t>
  </si>
  <si>
    <t>QBO FEES</t>
  </si>
  <si>
    <t>QBO Will recover its due including fees</t>
  </si>
  <si>
    <t>09/25/2025</t>
  </si>
  <si>
    <t>IN *INTUIT QUICKBOOKS PAY818-4367800 CA</t>
  </si>
  <si>
    <t>Accrual</t>
  </si>
  <si>
    <t>Accrual for the loan repayment for Dec'25</t>
  </si>
  <si>
    <t>05/03/2024</t>
  </si>
  <si>
    <t>05/13/2024</t>
  </si>
  <si>
    <t>05/17/2024</t>
  </si>
  <si>
    <t>07/02/2024</t>
  </si>
  <si>
    <t>07/03/2024</t>
  </si>
  <si>
    <t>07/30/2024</t>
  </si>
  <si>
    <t>08/23/2024</t>
  </si>
  <si>
    <t>12/04/2024</t>
  </si>
  <si>
    <t>12/17/2024</t>
  </si>
  <si>
    <t>Loan 2024</t>
  </si>
  <si>
    <t>01/02/2025</t>
  </si>
  <si>
    <t>02/05/2025</t>
  </si>
  <si>
    <t>04/03/2025</t>
  </si>
  <si>
    <t>05/07/2025</t>
  </si>
  <si>
    <t>05/21/2025</t>
  </si>
  <si>
    <t>06/04/2025</t>
  </si>
  <si>
    <t>06/20/2025</t>
  </si>
  <si>
    <t>07/01/2025</t>
  </si>
  <si>
    <t>07/10/2025</t>
  </si>
  <si>
    <t>07/16/2025</t>
  </si>
  <si>
    <t>07/21/2025</t>
  </si>
  <si>
    <t>Ahn Dental Specialists</t>
  </si>
  <si>
    <t>AHN DENTAL SPECIALISREDONDO BEACH       CA</t>
  </si>
  <si>
    <t>08/13/2025</t>
  </si>
  <si>
    <t>08/19/2025</t>
  </si>
  <si>
    <t>08/27/2025</t>
  </si>
  <si>
    <t>09/09/2025</t>
  </si>
  <si>
    <t>INCOMING WIRE-DOM Originator: ZAHEER GOODMAN BHYAT 3515 MANHATTAN AVE HERMOSA BEACH CA 90254-2045 US, Originator Account: *****7198, Originator Bank: 021000021, Originator Reference: XXXXXX5252ES, Originator to Beneficiary Instructions: COVER PAYROLL, Delivery Date: 2025-09-09, Delivery Time: 09:21:02.38, IMAD: 20250909MMQFMP2K020496</t>
  </si>
  <si>
    <t>09/24/2025</t>
  </si>
  <si>
    <t>11/05/2025</t>
  </si>
  <si>
    <t>12/09/2025</t>
  </si>
  <si>
    <t>12/15/2025</t>
  </si>
  <si>
    <t>Loan 2025</t>
  </si>
  <si>
    <t>INCOMING WIRE-DOM Originator: ZAHEER GOODMAN BHYAT 3515 MANHATTAN AVE HERMOSA BEACH CA 90254-2045 US, Originator Account: *****7198, Originator Bank: 021000021, Originator Reference: XXXXXX6012ES, Originator to Beneficiary Instructions: OPENING TRANSFER, Delivery Date: 2026-01-12, Delivery Time: 10:34:22.38, IMAD: 20260112MMQFMP2K020322</t>
  </si>
  <si>
    <t>PREAUTHORIZED DEBIT VENMO PAYMENT WEB ZAHEER BHYAT @@XXXXXXXX59205/ - As per feedback from Zaheer this is personal expense.</t>
  </si>
  <si>
    <t>Loan 2026</t>
  </si>
  <si>
    <t>Cummulative Loan</t>
  </si>
  <si>
    <t>NS-APA</t>
  </si>
  <si>
    <t>Ricoh Lease</t>
  </si>
  <si>
    <t>70017901</t>
  </si>
  <si>
    <t>RENTCOPIER PURCHASEEQUIPMENT SERIAL / MAKE / MODELC94061417 / RI / PROC7500P</t>
  </si>
  <si>
    <t>70017902</t>
  </si>
  <si>
    <t>12/17/2025</t>
  </si>
  <si>
    <t>70018027</t>
  </si>
  <si>
    <t>RENT
COPIER PURCHASE
EQUIPMENT SERIAL / MAKE / MODEL
C94061417 / RI / PROC7500P</t>
  </si>
  <si>
    <t>Loan Statement</t>
  </si>
  <si>
    <t>Amex Loan Schedule</t>
  </si>
  <si>
    <t>Feb'25</t>
  </si>
  <si>
    <t>Mar'25</t>
  </si>
  <si>
    <t>Apr'25</t>
  </si>
  <si>
    <t>May'25</t>
  </si>
  <si>
    <t>Aug'25</t>
  </si>
  <si>
    <t>Oct'25</t>
  </si>
  <si>
    <t>Nov'25</t>
  </si>
  <si>
    <t>Dec'25</t>
  </si>
  <si>
    <t>Total - 2025</t>
  </si>
  <si>
    <t>12/18/2024</t>
  </si>
  <si>
    <t>American Express Loan</t>
  </si>
  <si>
    <t>PACIFIC NEXUS</t>
  </si>
  <si>
    <t>Month-end-Date</t>
  </si>
  <si>
    <t>Details to be filled-up by Pacific Team</t>
  </si>
  <si>
    <t>Estimate Sent</t>
  </si>
  <si>
    <t>Job No/Name</t>
  </si>
  <si>
    <t>Income (Estimated)</t>
  </si>
  <si>
    <t xml:space="preserve">Invoiced </t>
  </si>
  <si>
    <t>Accrual Amount</t>
  </si>
  <si>
    <t>Material Cost (Estimated)</t>
  </si>
  <si>
    <t>Estimated Profit ($$)</t>
  </si>
  <si>
    <t>Estimated Profit (%)</t>
  </si>
  <si>
    <t xml:space="preserve">Due date Net 30/ Expected receipt date </t>
  </si>
  <si>
    <t>Aix Comment</t>
  </si>
  <si>
    <t>Class</t>
  </si>
  <si>
    <t>Pacific Comment</t>
  </si>
  <si>
    <t>27313-0-Occlusion Balloon Beauty Photo-shoot</t>
  </si>
  <si>
    <t>Philips</t>
  </si>
  <si>
    <t>50% deposit invoiced and payment received</t>
  </si>
  <si>
    <t>Photography</t>
  </si>
  <si>
    <t>14040 Paid on 2/16/26. Job is still open because there is ongoing work</t>
  </si>
  <si>
    <t>Open</t>
  </si>
  <si>
    <t>27342-0-S/S27 - Photo Shoot Product shots</t>
  </si>
  <si>
    <t>27325-0-HO26 Product Photo shoot</t>
  </si>
  <si>
    <t>ENI-JR286, INC</t>
  </si>
  <si>
    <t xml:space="preserve">We have invoiced the $42674.00 already but will be sending another invoice at the end of Feb for around $17000 so if we could please update the estimated income to $17000 that would be great thanks. </t>
  </si>
  <si>
    <t>27348-0-SP27 Product Photo shoot</t>
  </si>
  <si>
    <t>Total PN Photography</t>
  </si>
  <si>
    <t>J400049-2026 Goodwin Champions - Fleer Michael Jordan Auto Pack Redemption</t>
  </si>
  <si>
    <t>J400052-2025-26 Parkhurst Hockey</t>
  </si>
  <si>
    <t>J400056-Game Dated Moments</t>
  </si>
  <si>
    <t>Total PN Printing</t>
  </si>
  <si>
    <t>27329-0-Strategy, Branding, Photography, Web Design and Marketing Plan</t>
  </si>
  <si>
    <t>Adriana Rosberg</t>
  </si>
  <si>
    <t>50% Deposit invoiced. Deposit amount received</t>
  </si>
  <si>
    <t>Aix please note that this is an Agency project</t>
  </si>
  <si>
    <t>Total PN Agency</t>
  </si>
  <si>
    <t>J009105-02-Pantages Greeting Card Evelopes</t>
  </si>
  <si>
    <t>J009146-Luckyscent_Certificates_4.75 x 3.25</t>
  </si>
  <si>
    <t>Lucky Scent</t>
  </si>
  <si>
    <t>Total NS Printing</t>
  </si>
  <si>
    <t>1 Month</t>
  </si>
  <si>
    <t>Credit Card Reconciled as of 03/10/26</t>
  </si>
  <si>
    <t>GEORGES CAMERA EXCHASAN DIEGO CA XXXX1067-Replacement Camera and Lens from Burglary</t>
  </si>
  <si>
    <t xml:space="preserve">   6195 Late Fees</t>
  </si>
  <si>
    <t>Distribution account</t>
  </si>
  <si>
    <t>February 2026</t>
  </si>
  <si>
    <t>February 2025 (PY)</t>
  </si>
  <si>
    <t>Jan 1 - Feb 28 2026</t>
  </si>
  <si>
    <t>Jan 1 - Feb 28 2025 (PY)</t>
  </si>
  <si>
    <t>6540 HP Lease Expense</t>
  </si>
  <si>
    <t>6195 Late Fees</t>
  </si>
  <si>
    <t>Rubios Restaurant Group</t>
  </si>
  <si>
    <t>Lisa Fine Textiles</t>
  </si>
  <si>
    <t>Labour Cost</t>
  </si>
  <si>
    <t>Material Cost</t>
  </si>
  <si>
    <t>Admin &amp; Overhead Cost - YTD</t>
  </si>
  <si>
    <t>NS Printing - YTD</t>
  </si>
  <si>
    <t>PN Agency - YTD</t>
  </si>
  <si>
    <t>PN Photography - YTD</t>
  </si>
  <si>
    <t>PN Printing - YTD</t>
  </si>
  <si>
    <t>Less: Interest Expense+Late Fees</t>
  </si>
  <si>
    <t>Profit/Loss</t>
  </si>
  <si>
    <t>Less: Interest Expense + Late Fees</t>
  </si>
  <si>
    <t>Lease Expense</t>
  </si>
  <si>
    <t>Feb 26</t>
  </si>
  <si>
    <t>Balance C/F 2026</t>
  </si>
  <si>
    <t>Bill Amount</t>
  </si>
  <si>
    <t>Period Ending 03/31/2026</t>
  </si>
  <si>
    <t>Accrued for the period 03/22–03/31 for 10 days, based on the payroll period 03/22-04/04.</t>
  </si>
  <si>
    <t>Accrual of Utility for Mar'26</t>
  </si>
  <si>
    <t>Payroll Accrual for Mar'26</t>
  </si>
  <si>
    <t>Accrual of Loan Interest Payment for Mar'26</t>
  </si>
  <si>
    <t>Accrual of Professional Fees-IT for Mar'26</t>
  </si>
  <si>
    <t>Bay Alarm Company - DEPOSIT FOR INSTALLATION</t>
  </si>
  <si>
    <t>INCOMING WIRE-DOM Originator: ZAHEER GOODMAN BHYAT 3515 MANHATTAN AVE HERMOSA BEACH CA 90254-2045 US, Originator Account: *****7198, Originator Bank: 021000021, Originator Reference: XXXXXX6062ES, Originator to Beneficiary Instructions: LOAN FROM ZAHEER, Delivery Date: 2026-03-03, Delivery Time: 08:55:50.95, IMAD: 20260303MMQFMP2K007306</t>
  </si>
  <si>
    <t>Mar</t>
  </si>
  <si>
    <t>INCOMING WIRE-DOM Originator: ZAHEER GOODMANBHYAT 3515 MANHATTAN AVE HERMOSA BEACH CA 90254, Originator Account: XXXXXX3337, Originator Bank: 124084834, Originator Reference: XXXXXXXXXXXX9200, Originator to Beneficiary Instructions: , Delivery Date: 2026-03-10, Delivery Time: 10:34:03.24, IMAD: 20260310L1LFB39C000262</t>
  </si>
  <si>
    <t>INCOMING WIRE-DOM Originator: ZAHEER GOODMAN BHYAT 3515 MANHATTAN AVE HERMOSA BEACH CA 90254-2045 US, Originator Account: *****7198, Originator Bank: 021000021, Originator Reference: XXXXXX6083ES, Originator to Beneficiary Instructions: LOAN FROM ZAHEER, Delivery Date: 2026-03-24, Delivery Time: 14:43:32.40, IMAD: 20260324MMQFMP2N029699</t>
  </si>
  <si>
    <t>iRestore</t>
  </si>
  <si>
    <t>SP IRESTORE.COM LA MIRADA CA XXXX3006</t>
  </si>
  <si>
    <t>Laboratory Burlington</t>
  </si>
  <si>
    <t>AplPay BT*LABORATORYBURLINGTON NC XXXX3006</t>
  </si>
  <si>
    <t>Credit Card Expense</t>
  </si>
  <si>
    <t>03/10/2026</t>
  </si>
  <si>
    <t>03/24/2026</t>
  </si>
  <si>
    <t>Accrual_R</t>
  </si>
  <si>
    <t>Accrual for the loan repayment for Dec'25_Reversal</t>
  </si>
  <si>
    <t>Work-in-Progress Project</t>
  </si>
  <si>
    <t>Partially Invoiced</t>
  </si>
  <si>
    <t>27353-0-Rubios Restaurant Group</t>
  </si>
  <si>
    <t>Invoiced on 3/4/26</t>
  </si>
  <si>
    <t>27356-0-Formula 1 series Houston/Roswell putter product photography</t>
  </si>
  <si>
    <t xml:space="preserve">
TOULON GOLF LLC</t>
  </si>
  <si>
    <t>Invoiced on 3/25/26</t>
  </si>
  <si>
    <t>Invoiced on 3/15/26</t>
  </si>
  <si>
    <t>J400058-2025-26 CHL F70-71</t>
  </si>
  <si>
    <t xml:space="preserve">
J009288-2025-26 1980-81 NHL Fleer Throwbacks</t>
  </si>
  <si>
    <t>J009283-2025-26 e-Pack 10th Anniversary Free Card</t>
  </si>
  <si>
    <t xml:space="preserve">
J009269-204-25 DC Annual - Form 70</t>
  </si>
  <si>
    <t>J009313-2025-26 PWHL</t>
  </si>
  <si>
    <t>01/18/2026</t>
  </si>
  <si>
    <t>5072642487</t>
  </si>
  <si>
    <t>03/01/2026</t>
  </si>
  <si>
    <t>03.01.2026</t>
  </si>
  <si>
    <t>Jason Shiskowsky</t>
  </si>
  <si>
    <t>95013807</t>
  </si>
  <si>
    <t>Derprosa Speciality Films USA LLC</t>
  </si>
  <si>
    <t>1511</t>
  </si>
  <si>
    <t>03/09/2026</t>
  </si>
  <si>
    <t>03/16/2026</t>
  </si>
  <si>
    <t>Ecological Fibers, Inc.</t>
  </si>
  <si>
    <t>106112</t>
  </si>
  <si>
    <t>03/23/2026</t>
  </si>
  <si>
    <t>I769744</t>
  </si>
  <si>
    <t>LA Grinding</t>
  </si>
  <si>
    <t>204714444</t>
  </si>
  <si>
    <t>1521</t>
  </si>
  <si>
    <t>4627</t>
  </si>
  <si>
    <t>29889</t>
  </si>
  <si>
    <t>55353</t>
  </si>
  <si>
    <t>Color Correct Solutions, Inc</t>
  </si>
  <si>
    <t>0176</t>
  </si>
  <si>
    <t>Jennifer Reed</t>
  </si>
  <si>
    <t>2026-CINVUS000053506</t>
  </si>
  <si>
    <t>04/02/2026</t>
  </si>
  <si>
    <t>50523585</t>
  </si>
  <si>
    <t>04/04/2026</t>
  </si>
  <si>
    <t>205028755</t>
  </si>
  <si>
    <t>2026-CINVUS000054498</t>
  </si>
  <si>
    <t>9-221-29799</t>
  </si>
  <si>
    <t>1105940835</t>
  </si>
  <si>
    <t>04/05/2026</t>
  </si>
  <si>
    <t>208173</t>
  </si>
  <si>
    <t>04/08/2026</t>
  </si>
  <si>
    <t>50526070</t>
  </si>
  <si>
    <t>04/09/2026</t>
  </si>
  <si>
    <t>03/11/2026</t>
  </si>
  <si>
    <t>208353</t>
  </si>
  <si>
    <t>04/10/2026</t>
  </si>
  <si>
    <t>208356</t>
  </si>
  <si>
    <t>2026-CINVUS000056852</t>
  </si>
  <si>
    <t>04/11/2026</t>
  </si>
  <si>
    <t>9-231-98989</t>
  </si>
  <si>
    <t>50528759</t>
  </si>
  <si>
    <t>04/12/2026</t>
  </si>
  <si>
    <t>208548</t>
  </si>
  <si>
    <t>2026-CINVUS000058432</t>
  </si>
  <si>
    <t>04/14/2026</t>
  </si>
  <si>
    <t>208692</t>
  </si>
  <si>
    <t>04/15/2026</t>
  </si>
  <si>
    <t>208613</t>
  </si>
  <si>
    <t>50529623</t>
  </si>
  <si>
    <t>50529729</t>
  </si>
  <si>
    <t>37583</t>
  </si>
  <si>
    <t>5072952698</t>
  </si>
  <si>
    <t>208837</t>
  </si>
  <si>
    <t>04/16/2026</t>
  </si>
  <si>
    <t>205560534</t>
  </si>
  <si>
    <t>70018193</t>
  </si>
  <si>
    <t>2026-CINVUS000060531</t>
  </si>
  <si>
    <t>208938</t>
  </si>
  <si>
    <t>P3002615699</t>
  </si>
  <si>
    <t>P3002615700</t>
  </si>
  <si>
    <t>SIN491988</t>
  </si>
  <si>
    <t>04/18/2026</t>
  </si>
  <si>
    <t>37668</t>
  </si>
  <si>
    <t>168358</t>
  </si>
  <si>
    <t>208995</t>
  </si>
  <si>
    <t>04/19/2026</t>
  </si>
  <si>
    <t>2026-CINVUS000063031</t>
  </si>
  <si>
    <t>209123</t>
  </si>
  <si>
    <t>04/22/2026</t>
  </si>
  <si>
    <t>762</t>
  </si>
  <si>
    <t>Geoff Mau Photo, Inc</t>
  </si>
  <si>
    <t>50534547</t>
  </si>
  <si>
    <t>04/23/2026</t>
  </si>
  <si>
    <t>168507</t>
  </si>
  <si>
    <t>168509</t>
  </si>
  <si>
    <t>209239</t>
  </si>
  <si>
    <t>50535392</t>
  </si>
  <si>
    <t>04/24/2026</t>
  </si>
  <si>
    <t>22865163</t>
  </si>
  <si>
    <t>Bay Alarm Company</t>
  </si>
  <si>
    <t>22865187</t>
  </si>
  <si>
    <t>03/26/2026</t>
  </si>
  <si>
    <t>209463</t>
  </si>
  <si>
    <t>04/25/2026</t>
  </si>
  <si>
    <t>205987752</t>
  </si>
  <si>
    <t>P3002626990</t>
  </si>
  <si>
    <t>04/29/2026</t>
  </si>
  <si>
    <t>168707</t>
  </si>
  <si>
    <t>168708</t>
  </si>
  <si>
    <t>100001761798</t>
  </si>
  <si>
    <t>04/30/2026</t>
  </si>
  <si>
    <t>168760</t>
  </si>
  <si>
    <t>Advance payment made per Zaheer's Confirmation</t>
  </si>
  <si>
    <t>Payment Made for Apr'26's bill.</t>
  </si>
  <si>
    <t>Payment processed in Apr'26.</t>
  </si>
  <si>
    <t>Tax amount is pending to pay per Zaheer's Feedback.</t>
  </si>
  <si>
    <t>INV013339</t>
  </si>
  <si>
    <t>INV013340</t>
  </si>
  <si>
    <t>INV013320</t>
  </si>
  <si>
    <t>Asian Pacific Health Care Ventures (Zest Anchors):J009255-01-Envelopes - WINDOW #10 - General-2020</t>
  </si>
  <si>
    <t>INV013378</t>
  </si>
  <si>
    <t>Design Hive:J009305-Flat Prints - Pinwheel with Custom Cutting</t>
  </si>
  <si>
    <t>INV013388</t>
  </si>
  <si>
    <t>Julien's Auctions:J009317-JulienAuctions _Stickers/LotCards</t>
  </si>
  <si>
    <t>INV013392</t>
  </si>
  <si>
    <t>Bespoke Boheme:J009319-Running Point 516 Numbered, 30 blanks</t>
  </si>
  <si>
    <t>INV013393</t>
  </si>
  <si>
    <t>Julien's Auctions:J009321-Softcover Books - Rush</t>
  </si>
  <si>
    <t>INV013394</t>
  </si>
  <si>
    <t>Sushi Bar:J009322-Kiana/Wesley Nashville Buscards</t>
  </si>
  <si>
    <t>INV013395</t>
  </si>
  <si>
    <t>LA Homefarm:J009323-Lauri_LAHomefarm_BC Reprint December '25</t>
  </si>
  <si>
    <t>INV013396</t>
  </si>
  <si>
    <t>Santiago Arana:J009324-  N Rockingham Avenue/Stone Canyon Road ID Brochure</t>
  </si>
  <si>
    <t>03/04/2026</t>
  </si>
  <si>
    <t>AR00663</t>
  </si>
  <si>
    <t>TOULON GOLF LLC:27352-0-Columbus 86 putter product photography</t>
  </si>
  <si>
    <t>04/03/2026</t>
  </si>
  <si>
    <t>INV013372</t>
  </si>
  <si>
    <t>CSA Center Stage Advertising:J009302-Hell's Kitchen 14x22 Posters</t>
  </si>
  <si>
    <t>INV013373</t>
  </si>
  <si>
    <t>CSA Center Stage Advertising:J009299-Sound of Music 14x22 Posters</t>
  </si>
  <si>
    <t>INV013374</t>
  </si>
  <si>
    <t>CSA Center Stage Advertising:J009303-MJ 14x22 Posters</t>
  </si>
  <si>
    <t>INV013379</t>
  </si>
  <si>
    <t>CSA Center Stage Advertising:J009306-PntgsSeasn2627 Seat Back Row Cards</t>
  </si>
  <si>
    <t>04/07/2026</t>
  </si>
  <si>
    <t>AR00664</t>
  </si>
  <si>
    <t>Colorescience:27341-0-1 Day Model photography and video</t>
  </si>
  <si>
    <t>INV013386</t>
  </si>
  <si>
    <t>CSA Center Stage Advertising:J009315-Rush SPAMALOT Vouchers</t>
  </si>
  <si>
    <t>INV013366</t>
  </si>
  <si>
    <t>Living Room:J009295-Living Room</t>
  </si>
  <si>
    <t>AR00665</t>
  </si>
  <si>
    <t>Olukai:27349-0-FA26 Late - Product shots</t>
  </si>
  <si>
    <t>AR00666</t>
  </si>
  <si>
    <t>TOULON GOLF LLC:27355-0-Formula Miami and Collection Rosewell retouching</t>
  </si>
  <si>
    <t>AR00667</t>
  </si>
  <si>
    <t>TOULON GOLF LLC:27354-0-Formula 1 series putter product photography</t>
  </si>
  <si>
    <t>INV013387</t>
  </si>
  <si>
    <t>04/26/2026</t>
  </si>
  <si>
    <t>INV400050</t>
  </si>
  <si>
    <t>05/29/2026</t>
  </si>
  <si>
    <t>Amount Received/Settled in Apr'26</t>
  </si>
  <si>
    <t>Mar 26</t>
  </si>
  <si>
    <t>Accured Amount</t>
  </si>
  <si>
    <t>This has been accrued from Oct ’25 to Feb ’26 for the remaining outstanding amount. Refer to the table below for more details. In addition, Zaheer has entered into an agreement to repay the deferred amount of $17,545.88 starting from Apr ’26.</t>
  </si>
  <si>
    <t xml:space="preserve">Rent Deferred details </t>
  </si>
  <si>
    <t>General Accrual</t>
  </si>
  <si>
    <t>An accrual has been created ($500.00 per month) to spread the tax cost over the year for 2026.</t>
  </si>
  <si>
    <t>1540 Purchase Cost - NS Printing</t>
  </si>
  <si>
    <t>1545 Accumulated Amortization - Purchase Cost - NS Printing</t>
  </si>
  <si>
    <t>Total for 1540 Purchase Cost - NS Printing</t>
  </si>
  <si>
    <t>1600 Security Deposit</t>
  </si>
  <si>
    <t>Bank is reconciled as of 03/31/2026</t>
  </si>
  <si>
    <t>There was an addition of $8,725.00 in March ’26 related to alarm installation.</t>
  </si>
  <si>
    <t>Credit Card Reconciled as of 03/18/26</t>
  </si>
  <si>
    <r>
      <t>Payroll Tax Adjustments (</t>
    </r>
    <r>
      <rPr>
        <b/>
        <sz val="11"/>
        <color theme="1"/>
        <rFont val="Calibri"/>
        <family val="2"/>
      </rPr>
      <t>Reconciled as of 03/31/2026</t>
    </r>
    <r>
      <rPr>
        <sz val="11"/>
        <color theme="1"/>
        <rFont val="Calibri"/>
        <family val="2"/>
      </rPr>
      <t>):
Rippling has recorded a Q1 payroll tax reconciliation adjustment of $2,494.23 and a FUTA credit reduction accrual of $2,270.86 related to Form 940. Both entries impact the payroll clearing account and do not involve an immediate cash debit. We have reviewed and reconciled these balances as of March 31, 2026, and they will be settled through Rippling’s scheduled tax filings and payments.</t>
    </r>
  </si>
  <si>
    <t xml:space="preserve">   7010 Other Income – Insurance Proceeds</t>
  </si>
  <si>
    <t xml:space="preserve">   5015 Travels and Meals</t>
  </si>
  <si>
    <t>The insurance reimbursement has been recorded here, as all cameras and other items mentioned in the claim email were recorded under Equipment in the P&amp;L.</t>
  </si>
  <si>
    <t>We have recorded the Amazon transactions of $3,559.00 and $3,038.00 in Feb ’26, as they are below the capitalization threshold and relate to replacement studio equipment following the burglary. The expense reclassification was completed due to delayed responses on the AMEX spreadsheet.</t>
  </si>
  <si>
    <t>The fees paid to AR CPA for the 2025 tax return, amounting to $5,500, have been recorded here, which is why the cost is higher in Feb ’26. To smooth this impact in 2026, we have started accruing $500.00 per month.</t>
  </si>
  <si>
    <t>1545 Purchase Cost - NS Printing:Accumulated Amortization - Purchase Cost - NS Printing</t>
  </si>
  <si>
    <t>2241 Payroll liabilities:Payroll Clearing</t>
  </si>
  <si>
    <t>7010 Other Income – Insurance Proceeds</t>
  </si>
  <si>
    <t>Mar 2025 (PY)</t>
  </si>
  <si>
    <t>March 2026</t>
  </si>
  <si>
    <t>27349-0-FA26 Late - Product shots</t>
  </si>
  <si>
    <t>27352-0-Columbus 86 putter product photography</t>
  </si>
  <si>
    <t>27355-0-Formula Miami and Collection Rosewell retouching</t>
  </si>
  <si>
    <t>TOULON GOLF LLC</t>
  </si>
  <si>
    <t>J009269-204-25 DC Annual - Form 70</t>
  </si>
  <si>
    <t>J400040-01-Form 71</t>
  </si>
  <si>
    <t>J400040-02-Form 72</t>
  </si>
  <si>
    <t>J400040-03-Form 73</t>
  </si>
  <si>
    <t>J400040-04-Form 74 - COA</t>
  </si>
  <si>
    <t>J400040-05-Form 75</t>
  </si>
  <si>
    <t>J400040-06-Form 76</t>
  </si>
  <si>
    <t>J400040-07-Form 77</t>
  </si>
  <si>
    <t>J400040-08-Form 78</t>
  </si>
  <si>
    <t>J400040-09-Form 79</t>
  </si>
  <si>
    <t>J400047 GDM</t>
  </si>
  <si>
    <t>J400054-2025-26 UD Hockey Extended Series</t>
  </si>
  <si>
    <t>J400055-2026 My MVP Cards - Team Winner Singles</t>
  </si>
  <si>
    <t>12/29/2025</t>
  </si>
  <si>
    <t>02/04/2026</t>
  </si>
  <si>
    <t>02/26/2026</t>
  </si>
  <si>
    <t>J009206-PRINTIQ_FEDEX_TEST JOB</t>
  </si>
  <si>
    <t>J009230-Pat's Simple Seating Chart</t>
  </si>
  <si>
    <t>J009239-Snack and Beverage Vouchers_2.5x6</t>
  </si>
  <si>
    <t>J009243-CSA_2026-2027 Pantages Outbound Add-On Bookmark</t>
  </si>
  <si>
    <t>J009245-CSA_NEDOutbound 5.5x8.5 Mini Flyer Feb2026</t>
  </si>
  <si>
    <t>J009247-CSA_Backstage Signage for Ushers- 2 qty</t>
  </si>
  <si>
    <t>J009253-CSA_NdGrps 10Show Seasn2627 Flyr_5.5x8.5</t>
  </si>
  <si>
    <t>J009254-CSA_NedGrps TktStffr FEB_ 8.925x3.45</t>
  </si>
  <si>
    <t>J009255-01-Envelopes - WINDOW #10 - General-2020</t>
  </si>
  <si>
    <t>J009256-14x22 Beetle Juice Posters</t>
  </si>
  <si>
    <t>J009257-Passport Booklets - 3.5 x 5in</t>
  </si>
  <si>
    <t>J009258-01-JulienAuctions_Stickers_3.2x4.8</t>
  </si>
  <si>
    <t>J009259-Scent Bar Hand Cards Reorder 3.25x4.25</t>
  </si>
  <si>
    <t>J009260-Flat Prints - Pinwheel with Custom Cutting 2 differnt papers</t>
  </si>
  <si>
    <t>J009262-Van Pelt Spring 2026 Cards REORDER 4.291x5.984</t>
  </si>
  <si>
    <t>J009264-Linda_BizCards</t>
  </si>
  <si>
    <t>J009265-PBB - Smooth Uncoated Paper, Lamination, Spot UV</t>
  </si>
  <si>
    <t>J009268-Clint_CoffeeBagLabels_3.5x2.5</t>
  </si>
  <si>
    <t>J009273-01-17x11 Presentation Covers with foil</t>
  </si>
  <si>
    <t>J009274-Maya_8x8 Illustrations - 15*5kinds - 60qty Prints</t>
  </si>
  <si>
    <t>J009275-Luxury Living Hardcover Book</t>
  </si>
  <si>
    <t>J009276-NEW 2026 Tag Order including setting 15 images up</t>
  </si>
  <si>
    <t>J009278-Jordan Harding Bus Card</t>
  </si>
  <si>
    <t>J009279-Candi Lombard Bus Card</t>
  </si>
  <si>
    <t>J009280-Softcover Books - Rush</t>
  </si>
  <si>
    <t>J009281-14x22 SPAMALOT posters</t>
  </si>
  <si>
    <t>J009282-Shawn Abreu BizCards REORDER 2x3.5</t>
  </si>
  <si>
    <t>J009285-Business Cards printing. Mounted to pre provided shells</t>
  </si>
  <si>
    <t>J009286-Prints Needed - Duplexed - NO EMBOSS/Reserved Signs</t>
  </si>
  <si>
    <t>J009287-Buscard recreation</t>
  </si>
  <si>
    <t>J009289-Avery Label Sheets- 5400 logo - 600 compliments of</t>
  </si>
  <si>
    <t>J009291-My Friend's Place Rebrand</t>
  </si>
  <si>
    <t>J009292-WNBA WELCOME</t>
  </si>
  <si>
    <t>J009293-LotCards_ALL_SALE</t>
  </si>
  <si>
    <t>J009295-Living Room</t>
  </si>
  <si>
    <t>J009296-THE REITMAN ESTATE</t>
  </si>
  <si>
    <t>J009297-Brilliant Earth Brand Book</t>
  </si>
  <si>
    <t>J009298-BL GP_Stickers_3.2x4.8</t>
  </si>
  <si>
    <t>J009299-Sound of Music 14x22 Posters</t>
  </si>
  <si>
    <t>J009300-March 2026 Tag order</t>
  </si>
  <si>
    <t>J009301-2016-2020/21-25 Report - Larger Version</t>
  </si>
  <si>
    <t>J009302-Hell's Kitchen 14x22 Posters</t>
  </si>
  <si>
    <t>J009303-MJ 14x22 Posters</t>
  </si>
  <si>
    <t>J009304-Johnny_Photobook_11 x 8.5 - 6x6 foil stamp plate-Custom linen</t>
  </si>
  <si>
    <t>J009305-Flat Prints - Pinwheel with Custom Cutting</t>
  </si>
  <si>
    <t>J009306-PntgsSeasn2627 Seat Back Row Cards</t>
  </si>
  <si>
    <t>J009307-Perfect Bound Books</t>
  </si>
  <si>
    <t>J009308-Postcards</t>
  </si>
  <si>
    <t>J009309-A2 Envelope w/ Logo</t>
  </si>
  <si>
    <t>J009310-Limelight Check Presenter - March 2026</t>
  </si>
  <si>
    <t>J009311-Invite 2 ply/Letterhead with Foil Stamp</t>
  </si>
  <si>
    <t>J009312-SP26_Exhibitions_Postcard</t>
  </si>
  <si>
    <t>J009314-Salon Welcome Flight Info Loose no foil</t>
  </si>
  <si>
    <t>J009315-Rush SPAMALOT Vouchers</t>
  </si>
  <si>
    <t>J009316-Suite Welcome Flight Info Loose with Foil- BE READY AT text</t>
  </si>
  <si>
    <t>J009317-JulienAuctions _Stickers/LotCards</t>
  </si>
  <si>
    <t>J009319-Running Point 516 Numbered, 30 blanks</t>
  </si>
  <si>
    <t>J009321-Softcover Books - Rush</t>
  </si>
  <si>
    <t>J009322-Kiana/Wesley Nashville Buscards</t>
  </si>
  <si>
    <t>J009323-Lauri_LAHomefarm_BC Reprint December '25</t>
  </si>
  <si>
    <t>J009324-  N Rockingham Avenue/Stone Canyon Road ID Brochure</t>
  </si>
  <si>
    <t>DELKIN DEVICES INC</t>
  </si>
  <si>
    <t>Asian Pacific Health Care Ventures (Zest Anchors)</t>
  </si>
  <si>
    <t>Julien's Auctions</t>
  </si>
  <si>
    <t>Luckyscent</t>
  </si>
  <si>
    <t>Design Hive</t>
  </si>
  <si>
    <t>Van Pelt</t>
  </si>
  <si>
    <t>Nuvis</t>
  </si>
  <si>
    <t>Salvage Europe</t>
  </si>
  <si>
    <t>Deadbeat Club</t>
  </si>
  <si>
    <t>Carolwood Real Estate</t>
  </si>
  <si>
    <t>Maya Lior</t>
  </si>
  <si>
    <t>MGAC</t>
  </si>
  <si>
    <t>Musashino Sushi</t>
  </si>
  <si>
    <t>My Friend's Place</t>
  </si>
  <si>
    <t>Living Room</t>
  </si>
  <si>
    <t>Brilliant Earth</t>
  </si>
  <si>
    <t>Johnny Goodson</t>
  </si>
  <si>
    <t>Brian Pratt</t>
  </si>
  <si>
    <t>Thousand Acres</t>
  </si>
  <si>
    <t>MOCA</t>
  </si>
  <si>
    <t>LA Homefarm</t>
  </si>
  <si>
    <t>03/08/2026</t>
  </si>
  <si>
    <t>03/06/2026</t>
  </si>
  <si>
    <t>$0.00</t>
  </si>
  <si>
    <t>$270.43</t>
  </si>
  <si>
    <t>$374.38</t>
  </si>
  <si>
    <t>$19.64</t>
  </si>
  <si>
    <t>$374.14</t>
  </si>
  <si>
    <t>$366.36</t>
  </si>
  <si>
    <t>$171.41</t>
  </si>
  <si>
    <t>$1,256.37</t>
  </si>
  <si>
    <t>$20.97</t>
  </si>
  <si>
    <t>$259.50</t>
  </si>
  <si>
    <t>$28.92</t>
  </si>
  <si>
    <t>$1,753.00</t>
  </si>
  <si>
    <t>$386.90</t>
  </si>
  <si>
    <t>$437.73</t>
  </si>
  <si>
    <t>$2,131.37</t>
  </si>
  <si>
    <t>$2,892.47</t>
  </si>
  <si>
    <t>$332.03</t>
  </si>
  <si>
    <t>$369.81</t>
  </si>
  <si>
    <t>$261.01</t>
  </si>
  <si>
    <t>$2,384.84</t>
  </si>
  <si>
    <t>$2,344.28</t>
  </si>
  <si>
    <t>$120.00</t>
  </si>
  <si>
    <t>$293.80</t>
  </si>
  <si>
    <t>$2,228.00</t>
  </si>
  <si>
    <t>$70.07</t>
  </si>
  <si>
    <t>$307.95</t>
  </si>
  <si>
    <t>$17,350.05</t>
  </si>
  <si>
    <t>$233.57</t>
  </si>
  <si>
    <t>$349.67</t>
  </si>
  <si>
    <t>$13.18</t>
  </si>
  <si>
    <t>$104.73</t>
  </si>
  <si>
    <t>$3,310.17</t>
  </si>
  <si>
    <t>$492.49</t>
  </si>
  <si>
    <t>$200.58</t>
  </si>
  <si>
    <t>$461.11</t>
  </si>
  <si>
    <t>$365.89</t>
  </si>
  <si>
    <t>$689.71</t>
  </si>
  <si>
    <t>$500.00</t>
  </si>
  <si>
    <t>$3,111.31</t>
  </si>
  <si>
    <t>$100.44</t>
  </si>
  <si>
    <t>$393.92</t>
  </si>
  <si>
    <t>$625.83</t>
  </si>
  <si>
    <t>$618.68</t>
  </si>
  <si>
    <t>$3,272.68</t>
  </si>
  <si>
    <t>$3,727.67</t>
  </si>
  <si>
    <t>$8.00</t>
  </si>
  <si>
    <t>$15,135.00</t>
  </si>
  <si>
    <t>$1,127.56</t>
  </si>
  <si>
    <t>$113.27</t>
  </si>
  <si>
    <t>$5,660.70</t>
  </si>
  <si>
    <t>$21.44</t>
  </si>
  <si>
    <t>$3,290.84</t>
  </si>
  <si>
    <t>$113.26</t>
  </si>
  <si>
    <t>$402.42</t>
  </si>
  <si>
    <t>$5,769.21</t>
  </si>
  <si>
    <t>$5,969.59</t>
  </si>
  <si>
    <t>$2,730.17</t>
  </si>
  <si>
    <t>$350.00</t>
  </si>
  <si>
    <t>$8,729.53</t>
  </si>
  <si>
    <t>$325.84</t>
  </si>
  <si>
    <t>$1,266.58</t>
  </si>
  <si>
    <t>$17.11</t>
  </si>
  <si>
    <t>$484.01</t>
  </si>
  <si>
    <t>$5,376.28</t>
  </si>
  <si>
    <t>$165.40</t>
  </si>
  <si>
    <t>$1,392.26</t>
  </si>
  <si>
    <t>$1,884.43</t>
  </si>
  <si>
    <t>$546.34</t>
  </si>
  <si>
    <t>$37.65</t>
  </si>
  <si>
    <t>$3,783.85</t>
  </si>
  <si>
    <t>$1,421.49</t>
  </si>
  <si>
    <t>$19.04</t>
  </si>
  <si>
    <t>$1,150.88</t>
  </si>
  <si>
    <t>$3,024.33</t>
  </si>
  <si>
    <t>$1,086.02</t>
  </si>
  <si>
    <t>$223.32</t>
  </si>
  <si>
    <t>$2,271.42</t>
  </si>
  <si>
    <t>Goodwill:</t>
  </si>
  <si>
    <t>Accrual of CPA Fees 2026 ($500.00 per Month)</t>
  </si>
  <si>
    <t>This relates to a bill where Graphic Dies Inc. charged us less than the actual billed amount, and the discrepancy has not yet been resolved. Should we write off this?</t>
  </si>
  <si>
    <t>This project appears to have an unusual margin, which may indicate a gap in the costs allocated to the project. Could you please check this with Leiman?</t>
  </si>
  <si>
    <t>The invoice and costs are the same for this project, resulting in no profit. Could you please check this with Leiman?</t>
  </si>
  <si>
    <t>The margin on this project is lower than what we typically see on similar projects. Could you please check this with Leiman?</t>
  </si>
  <si>
    <t>We achieved approximately 83% of the budgeted sales for Mar ’26. 
Compared to Jan ’26 and Feb ’26, this reflects an improvement and indicates that we are moving closer to the budgeted sales levels.</t>
  </si>
  <si>
    <t>We achieved approximately 65% of the targeted gross profit, which is an improvement compared to Jan ’26 and Feb ’26, primarily driven by a 10% increase in sales. The shortfall is largely volume‑driven, and margins are expected to improve as sales continue to pick up.</t>
  </si>
  <si>
    <t>We need to check with Leiman whether these items have been cancelled or if the work has been completed and payment is expected to be received.</t>
  </si>
  <si>
    <t>This may be cancelled; Leiman is currently following up per your feedback received on 03/31/2026.</t>
  </si>
  <si>
    <t>Auto-pay</t>
  </si>
  <si>
    <t>Check</t>
  </si>
  <si>
    <t>Advance-ACH</t>
  </si>
  <si>
    <t>We observed that the Intuit loan payment has not been made for December 2025 to March 2026, which is usually paid using your personal VISA card.</t>
  </si>
  <si>
    <t>Dec'25 HVAC Repair</t>
  </si>
  <si>
    <t>January 1-March 31, 2026</t>
  </si>
  <si>
    <t>The amount will be transferred from NS on 05/31/2026, as per Leiman’s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</si>
</sst>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7" formatCode="&quot;$&quot;#,##0.00_);\(&quot;$&quot;#,##0.00\)"/>
    <numFmt numFmtId="8" formatCode="&quot;$&quot;#,##0.00_);[Red]\(&quot;$&quot;#,##0.00\)"/>
    <numFmt numFmtId="44" formatCode="_(&quot;$&quot;* #,##0.00_);_(&quot;$&quot;* \(#,##0.00\);_(&quot;$&quot;* &quot;-&quot;??_);_(@_)"/>
    <numFmt numFmtId="43" formatCode="_(* #,##0.00_);_(* \(#,##0.00\);_(* &quot;-&quot;??_);_(@_)"/>
    <numFmt numFmtId="164" formatCode="_-* #,##0.00_-;\-* #,##0.00_-;_-* &quot;-&quot;??_-;_-@_-"/>
    <numFmt numFmtId="165" formatCode="mmmm\ dd\,\ yyyy"/>
    <numFmt numFmtId="166" formatCode="_(* #,##0_);_(* \(#,##0\);_(* &quot;-&quot;??_);_(@_)"/>
    <numFmt numFmtId="167" formatCode="#,##0.00\ _€"/>
    <numFmt numFmtId="168" formatCode="&quot;$&quot;* #,##0.00\ _€"/>
    <numFmt numFmtId="169" formatCode="&quot;£&quot;#,##0.00"/>
    <numFmt numFmtId="170" formatCode="0.00%;[Red]\(0.00%\)"/>
    <numFmt numFmtId="171" formatCode="\$#,##0.00"/>
    <numFmt numFmtId="172" formatCode="#,##0.00\%;[Red]\(#,##0.00\%\);#,##0.00\%"/>
    <numFmt numFmtId="173" formatCode="[$-409]mmm\-yy;@"/>
    <numFmt numFmtId="174" formatCode="#,##0.0000_);[Red]\(#,##0.0000\)"/>
    <numFmt numFmtId="175" formatCode="#,##0.00\%"/>
    <numFmt numFmtId="176" formatCode="&quot;$&quot;#,##0.00_);[Red]\(&quot;$&quot;#,##0.00\);\-"/>
    <numFmt numFmtId="177" formatCode="mmm\'yy"/>
  </numFmts>
  <fonts count="55" x14ac:knownFonts="1">
    <font>
      <sz val="11"/>
      <color theme="1"/>
      <name val="Aptos Narrow"/>
      <family val="2"/>
      <scheme val="minor"/>
    </font>
    <font>
      <sz val="11"/>
      <color theme="1"/>
      <name val="Aptos Narrow"/>
      <family val="2"/>
      <scheme val="minor"/>
    </font>
    <font>
      <b/>
      <sz val="18"/>
      <name val="Calibri"/>
      <family val="2"/>
    </font>
    <font>
      <b/>
      <sz val="16"/>
      <name val="Calibri"/>
      <family val="2"/>
    </font>
    <font>
      <b/>
      <u/>
      <sz val="12"/>
      <color rgb="FF000000"/>
      <name val="Calibri"/>
      <family val="2"/>
    </font>
    <font>
      <sz val="12"/>
      <color rgb="FF000000"/>
      <name val="Calibri"/>
      <family val="2"/>
    </font>
    <font>
      <b/>
      <sz val="12"/>
      <color rgb="FF000000"/>
      <name val="Calibri"/>
      <family val="2"/>
    </font>
    <font>
      <b/>
      <i/>
      <sz val="11"/>
      <color rgb="FFFF0000"/>
      <name val="Calibri"/>
      <family val="2"/>
    </font>
    <font>
      <u/>
      <sz val="11"/>
      <color theme="10"/>
      <name val="Aptos Narrow"/>
      <family val="2"/>
      <scheme val="minor"/>
    </font>
    <font>
      <b/>
      <sz val="14"/>
      <color rgb="FF000000"/>
      <name val="Calibri"/>
      <family val="2"/>
    </font>
    <font>
      <b/>
      <sz val="11"/>
      <color rgb="FF000000"/>
      <name val="Calibri"/>
      <family val="2"/>
    </font>
    <font>
      <sz val="11"/>
      <name val="Calibri"/>
      <family val="2"/>
    </font>
    <font>
      <u/>
      <sz val="11"/>
      <color rgb="FF0563C1"/>
      <name val="Calibri"/>
      <family val="2"/>
    </font>
    <font>
      <b/>
      <u/>
      <sz val="12"/>
      <color theme="1"/>
      <name val="Calibri"/>
      <family val="2"/>
    </font>
    <font>
      <sz val="11"/>
      <color theme="1"/>
      <name val="Calibri"/>
      <family val="2"/>
    </font>
    <font>
      <b/>
      <sz val="11"/>
      <color theme="1"/>
      <name val="Calibri"/>
      <family val="2"/>
    </font>
    <font>
      <u/>
      <sz val="11"/>
      <color theme="10"/>
      <name val="Calibri"/>
      <family val="2"/>
    </font>
    <font>
      <b/>
      <sz val="12"/>
      <color theme="1"/>
      <name val="Calibri"/>
      <family val="2"/>
    </font>
    <font>
      <b/>
      <sz val="11"/>
      <color indexed="8"/>
      <name val="Calibri"/>
      <family val="2"/>
    </font>
    <font>
      <sz val="11"/>
      <color indexed="8"/>
      <name val="Calibri"/>
      <family val="2"/>
    </font>
    <font>
      <sz val="11"/>
      <color indexed="8"/>
      <name val="Aptos Narrow"/>
      <family val="2"/>
      <scheme val="minor"/>
    </font>
    <font>
      <b/>
      <sz val="11"/>
      <color theme="0"/>
      <name val="Calibri"/>
      <family val="2"/>
    </font>
    <font>
      <b/>
      <sz val="11"/>
      <name val="Calibri"/>
      <family val="2"/>
    </font>
    <font>
      <sz val="12"/>
      <color theme="1"/>
      <name val="Calibri"/>
      <family val="2"/>
    </font>
    <font>
      <b/>
      <sz val="12"/>
      <color indexed="8"/>
      <name val="Calibri"/>
      <family val="2"/>
    </font>
    <font>
      <sz val="12"/>
      <color indexed="8"/>
      <name val="Calibri"/>
      <family val="2"/>
    </font>
    <font>
      <sz val="14"/>
      <color indexed="8"/>
      <name val="Calibri"/>
      <family val="2"/>
    </font>
    <font>
      <sz val="11"/>
      <color rgb="FF000000"/>
      <name val="Calibri"/>
      <family val="2"/>
    </font>
    <font>
      <sz val="11"/>
      <color theme="1" tint="0.24994659260841701"/>
      <name val="Aptos Narrow"/>
      <family val="2"/>
      <scheme val="minor"/>
    </font>
    <font>
      <sz val="11"/>
      <name val="Arial"/>
      <family val="2"/>
    </font>
    <font>
      <i/>
      <sz val="11"/>
      <color theme="1" tint="0.34998626667073579"/>
      <name val="Aptos Narrow"/>
      <family val="2"/>
      <scheme val="minor"/>
    </font>
    <font>
      <b/>
      <sz val="11"/>
      <color theme="1" tint="0.24994659260841701"/>
      <name val="Aptos Display"/>
      <family val="2"/>
      <scheme val="major"/>
    </font>
    <font>
      <b/>
      <sz val="16"/>
      <color theme="1" tint="0.24994659260841701"/>
      <name val="Aptos Display"/>
      <family val="2"/>
      <scheme val="major"/>
    </font>
    <font>
      <sz val="11"/>
      <color rgb="FFFF00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3"/>
      <color theme="1"/>
      <name val="Calibri"/>
      <family val="2"/>
    </font>
    <font>
      <b/>
      <sz val="12"/>
      <color theme="0"/>
      <name val="Calibri"/>
      <family val="2"/>
    </font>
    <font>
      <b/>
      <sz val="10"/>
      <color indexed="81"/>
      <name val="Calibri"/>
      <family val="2"/>
    </font>
    <font>
      <sz val="11"/>
      <color rgb="FFFF0000"/>
      <name val="Calibri"/>
      <family val="2"/>
    </font>
    <font>
      <b/>
      <sz val="11"/>
      <color rgb="FFFF0000"/>
      <name val="Calibri"/>
      <family val="2"/>
    </font>
    <font>
      <sz val="12"/>
      <name val="Verdana"/>
      <family val="2"/>
    </font>
    <font>
      <sz val="12"/>
      <name val="Verdana"/>
      <family val="2"/>
    </font>
    <font>
      <b/>
      <sz val="14"/>
      <name val="Calibri"/>
      <family val="2"/>
    </font>
    <font>
      <sz val="14"/>
      <name val="Calibri"/>
      <family val="2"/>
    </font>
    <font>
      <b/>
      <sz val="12"/>
      <name val="Calibri"/>
      <family val="2"/>
    </font>
    <font>
      <u/>
      <sz val="12"/>
      <color theme="10"/>
      <name val="Verdana"/>
      <family val="2"/>
    </font>
    <font>
      <sz val="12"/>
      <name val="Calibri"/>
      <family val="2"/>
    </font>
    <font>
      <b/>
      <u/>
      <sz val="11"/>
      <name val="Calibri"/>
      <family val="2"/>
    </font>
    <font>
      <u/>
      <sz val="11"/>
      <name val="Calibri"/>
      <family val="2"/>
    </font>
    <font>
      <sz val="10"/>
      <color rgb="FF393A3D"/>
      <name val="Arial"/>
      <family val="2"/>
    </font>
    <font>
      <sz val="8"/>
      <name val="Aptos Narrow"/>
      <family val="2"/>
      <scheme val="minor"/>
    </font>
    <font>
      <sz val="8"/>
      <color theme="1"/>
      <name val="Arial"/>
      <family val="2"/>
    </font>
    <font>
      <b/>
      <sz val="9"/>
      <color theme="1"/>
      <name val="Arial"/>
      <family val="2"/>
    </font>
  </fonts>
  <fills count="26">
    <fill>
      <patternFill patternType="none"/>
    </fill>
    <fill>
      <patternFill patternType="gray125"/>
    </fill>
    <fill>
      <patternFill patternType="solid">
        <fgColor theme="2" tint="-0.249977111117893"/>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5"/>
      </patternFill>
    </fill>
    <fill>
      <patternFill patternType="solid">
        <fgColor rgb="FFCAEDFB"/>
        <bgColor indexed="64"/>
      </patternFill>
    </fill>
    <fill>
      <patternFill patternType="solid">
        <fgColor theme="3" tint="0.89999084444715716"/>
        <bgColor indexed="64"/>
      </patternFill>
    </fill>
    <fill>
      <patternFill patternType="solid">
        <fgColor theme="1"/>
        <bgColor indexed="64"/>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s>
  <borders count="7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auto="1"/>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auto="1"/>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thin">
        <color indexed="64"/>
      </top>
      <bottom/>
      <diagonal/>
    </border>
    <border>
      <left/>
      <right style="medium">
        <color indexed="64"/>
      </right>
      <top style="thin">
        <color auto="1"/>
      </top>
      <bottom style="medium">
        <color indexed="64"/>
      </bottom>
      <diagonal/>
    </border>
    <border>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right/>
      <top style="thin">
        <color theme="1" tint="0.499984740745262"/>
      </top>
      <bottom style="thin">
        <color theme="1" tint="0.499984740745262"/>
      </bottom>
      <diagonal/>
    </border>
    <border>
      <left/>
      <right/>
      <top/>
      <bottom style="medium">
        <color theme="4" tint="-0.499984740745262"/>
      </bottom>
      <diagonal/>
    </border>
    <border>
      <left/>
      <right/>
      <top/>
      <bottom style="thick">
        <color theme="4" tint="-0.499984740745262"/>
      </bottom>
      <diagonal/>
    </border>
    <border>
      <left/>
      <right style="medium">
        <color indexed="64"/>
      </right>
      <top style="medium">
        <color indexed="64"/>
      </top>
      <bottom style="thin">
        <color auto="1"/>
      </bottom>
      <diagonal/>
    </border>
    <border>
      <left/>
      <right/>
      <top style="medium">
        <color indexed="64"/>
      </top>
      <bottom style="thin">
        <color auto="1"/>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rgb="FF000000"/>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s>
  <cellStyleXfs count="23">
    <xf numFmtId="0" fontId="0" fillId="0" borderId="0"/>
    <xf numFmtId="43" fontId="1" fillId="0" borderId="0" applyFont="0" applyFill="0" applyBorder="0" applyAlignment="0" applyProtection="0"/>
    <xf numFmtId="44" fontId="1" fillId="0" borderId="0" applyFont="0" applyFill="0" applyBorder="0" applyAlignment="0" applyProtection="0"/>
    <xf numFmtId="0" fontId="8" fillId="0" borderId="0" applyNumberFormat="0" applyFill="0" applyBorder="0" applyAlignment="0" applyProtection="0"/>
    <xf numFmtId="0" fontId="20" fillId="0" borderId="0"/>
    <xf numFmtId="164" fontId="1" fillId="0" borderId="0" applyFont="0" applyFill="0" applyBorder="0" applyAlignment="0" applyProtection="0"/>
    <xf numFmtId="43" fontId="20" fillId="0" borderId="0" applyFont="0" applyFill="0" applyBorder="0" applyAlignment="0" applyProtection="0"/>
    <xf numFmtId="0" fontId="28" fillId="0" borderId="0">
      <alignment vertical="center"/>
    </xf>
    <xf numFmtId="169" fontId="29" fillId="0" borderId="0" applyFont="0" applyFill="0" applyBorder="0" applyProtection="0">
      <alignment horizontal="right"/>
    </xf>
    <xf numFmtId="14" fontId="28" fillId="0" borderId="0" applyFont="0" applyFill="0" applyBorder="0" applyAlignment="0">
      <alignment vertical="center"/>
    </xf>
    <xf numFmtId="3" fontId="28" fillId="0" borderId="0" applyFont="0" applyFill="0" applyBorder="0" applyAlignment="0" applyProtection="0"/>
    <xf numFmtId="0" fontId="30" fillId="0" borderId="35" applyNumberFormat="0" applyProtection="0">
      <alignment vertical="center"/>
    </xf>
    <xf numFmtId="10" fontId="28" fillId="0" borderId="0" applyFont="0" applyFill="0" applyBorder="0" applyAlignment="0" applyProtection="0"/>
    <xf numFmtId="0" fontId="31" fillId="0" borderId="36" applyNumberFormat="0" applyFill="0" applyProtection="0"/>
    <xf numFmtId="0" fontId="32" fillId="0" borderId="37" applyNumberFormat="0" applyFill="0" applyProtection="0">
      <alignment vertical="center"/>
    </xf>
    <xf numFmtId="9" fontId="1" fillId="0" borderId="0" applyFont="0" applyFill="0" applyBorder="0" applyAlignment="0" applyProtection="0"/>
    <xf numFmtId="0" fontId="35" fillId="0" borderId="0"/>
    <xf numFmtId="0" fontId="36" fillId="0" borderId="8"/>
    <xf numFmtId="0" fontId="1" fillId="19" borderId="0" applyNumberFormat="0" applyBorder="0" applyAlignment="0" applyProtection="0"/>
    <xf numFmtId="0" fontId="42" fillId="0" borderId="0"/>
    <xf numFmtId="9" fontId="43" fillId="0" borderId="0" applyFont="0" applyFill="0" applyBorder="0" applyAlignment="0" applyProtection="0"/>
    <xf numFmtId="44" fontId="43" fillId="0" borderId="0" applyFont="0" applyFill="0" applyBorder="0" applyAlignment="0" applyProtection="0"/>
    <xf numFmtId="0" fontId="47" fillId="0" borderId="0" applyNumberFormat="0" applyFill="0" applyBorder="0" applyAlignment="0" applyProtection="0"/>
  </cellStyleXfs>
  <cellXfs count="913">
    <xf numFmtId="0" fontId="0" fillId="0" borderId="0" xfId="0"/>
    <xf numFmtId="0" fontId="5" fillId="0" borderId="0" xfId="0" applyFont="1"/>
    <xf numFmtId="0" fontId="6" fillId="0" borderId="0" xfId="0" applyFont="1" applyAlignment="1">
      <alignment horizontal="center"/>
    </xf>
    <xf numFmtId="0" fontId="6" fillId="0" borderId="0" xfId="0" applyFont="1"/>
    <xf numFmtId="165" fontId="6" fillId="0" borderId="0" xfId="0" applyNumberFormat="1" applyFont="1"/>
    <xf numFmtId="0" fontId="9" fillId="0" borderId="0" xfId="0" applyFont="1" applyAlignment="1">
      <alignment horizontal="center"/>
    </xf>
    <xf numFmtId="0" fontId="4" fillId="0" borderId="0" xfId="0" applyFont="1"/>
    <xf numFmtId="0" fontId="10" fillId="0" borderId="2" xfId="0" applyFont="1" applyBorder="1" applyAlignment="1">
      <alignment horizontal="center" vertical="center"/>
    </xf>
    <xf numFmtId="0" fontId="11" fillId="0" borderId="2" xfId="0" applyFont="1" applyBorder="1" applyAlignment="1">
      <alignment vertical="center"/>
    </xf>
    <xf numFmtId="0" fontId="10" fillId="0" borderId="2" xfId="0" applyFont="1" applyBorder="1" applyAlignment="1">
      <alignment horizontal="center"/>
    </xf>
    <xf numFmtId="0" fontId="12" fillId="0" borderId="2" xfId="0" applyFont="1" applyBorder="1" applyAlignment="1">
      <alignment horizontal="center" vertical="center"/>
    </xf>
    <xf numFmtId="0" fontId="11" fillId="0" borderId="3" xfId="0" applyFont="1" applyBorder="1" applyAlignment="1">
      <alignment vertical="center"/>
    </xf>
    <xf numFmtId="0" fontId="10" fillId="0" borderId="0" xfId="0" applyFont="1" applyAlignment="1">
      <alignment horizontal="center" vertical="center"/>
    </xf>
    <xf numFmtId="0" fontId="11" fillId="0" borderId="0" xfId="0" applyFont="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14" fillId="0" borderId="0" xfId="0" applyFont="1"/>
    <xf numFmtId="0" fontId="14" fillId="0" borderId="0" xfId="0" applyFont="1" applyAlignment="1">
      <alignment horizontal="left"/>
    </xf>
    <xf numFmtId="0" fontId="17" fillId="0" borderId="0" xfId="0" applyFont="1"/>
    <xf numFmtId="44" fontId="14" fillId="0" borderId="0" xfId="0" applyNumberFormat="1" applyFont="1"/>
    <xf numFmtId="166" fontId="12" fillId="0" borderId="0" xfId="1" applyNumberFormat="1" applyFont="1" applyAlignment="1">
      <alignment horizontal="left"/>
    </xf>
    <xf numFmtId="0" fontId="15" fillId="0" borderId="0" xfId="0" applyFont="1"/>
    <xf numFmtId="0" fontId="15" fillId="2" borderId="6" xfId="0" applyFont="1" applyFill="1" applyBorder="1"/>
    <xf numFmtId="44" fontId="15" fillId="2" borderId="7" xfId="2" applyFont="1" applyFill="1" applyBorder="1"/>
    <xf numFmtId="44" fontId="14" fillId="0" borderId="0" xfId="0" applyNumberFormat="1" applyFont="1" applyAlignment="1">
      <alignment horizontal="left"/>
    </xf>
    <xf numFmtId="0" fontId="17" fillId="0" borderId="0" xfId="0" applyFont="1" applyAlignment="1">
      <alignment horizontal="left"/>
    </xf>
    <xf numFmtId="44" fontId="15" fillId="0" borderId="0" xfId="2" applyFont="1" applyFill="1" applyBorder="1"/>
    <xf numFmtId="0" fontId="14" fillId="0" borderId="4" xfId="0" applyFont="1" applyBorder="1"/>
    <xf numFmtId="0" fontId="10" fillId="0" borderId="3" xfId="0" applyFont="1" applyBorder="1" applyAlignment="1">
      <alignment horizontal="center" vertical="center"/>
    </xf>
    <xf numFmtId="0" fontId="21" fillId="3" borderId="4" xfId="0" applyFont="1" applyFill="1" applyBorder="1" applyAlignment="1">
      <alignment horizontal="center"/>
    </xf>
    <xf numFmtId="17" fontId="21" fillId="3" borderId="4" xfId="0" applyNumberFormat="1" applyFont="1" applyFill="1" applyBorder="1" applyAlignment="1">
      <alignment horizontal="center"/>
    </xf>
    <xf numFmtId="44" fontId="14" fillId="0" borderId="4" xfId="0" applyNumberFormat="1" applyFont="1" applyBorder="1"/>
    <xf numFmtId="0" fontId="15" fillId="0" borderId="4" xfId="0" applyFont="1" applyBorder="1"/>
    <xf numFmtId="44" fontId="15" fillId="0" borderId="4" xfId="0" applyNumberFormat="1" applyFont="1" applyBorder="1"/>
    <xf numFmtId="44" fontId="15" fillId="0" borderId="8" xfId="0" applyNumberFormat="1" applyFont="1" applyBorder="1"/>
    <xf numFmtId="0" fontId="15" fillId="2" borderId="4" xfId="0" applyFont="1" applyFill="1" applyBorder="1"/>
    <xf numFmtId="44" fontId="15" fillId="2" borderId="4" xfId="0" applyNumberFormat="1" applyFont="1" applyFill="1" applyBorder="1"/>
    <xf numFmtId="0" fontId="14" fillId="0" borderId="4" xfId="0" applyFont="1" applyBorder="1" applyAlignment="1">
      <alignment horizontal="left" wrapText="1"/>
    </xf>
    <xf numFmtId="44" fontId="15" fillId="4" borderId="4" xfId="0" applyNumberFormat="1" applyFont="1" applyFill="1" applyBorder="1"/>
    <xf numFmtId="0" fontId="18" fillId="2" borderId="4" xfId="0" applyFont="1" applyFill="1" applyBorder="1" applyAlignment="1">
      <alignment horizontal="center"/>
    </xf>
    <xf numFmtId="44" fontId="18" fillId="2" borderId="4" xfId="0" applyNumberFormat="1" applyFont="1" applyFill="1" applyBorder="1" applyAlignment="1">
      <alignment horizontal="left"/>
    </xf>
    <xf numFmtId="14" fontId="19" fillId="0" borderId="4" xfId="0" applyNumberFormat="1" applyFont="1" applyBorder="1" applyAlignment="1">
      <alignment horizontal="left"/>
    </xf>
    <xf numFmtId="0" fontId="19" fillId="0" borderId="4" xfId="0" applyFont="1" applyBorder="1" applyAlignment="1">
      <alignment horizontal="left"/>
    </xf>
    <xf numFmtId="44" fontId="19" fillId="0" borderId="4" xfId="0" applyNumberFormat="1" applyFont="1" applyBorder="1" applyAlignment="1">
      <alignment horizontal="left"/>
    </xf>
    <xf numFmtId="0" fontId="19" fillId="0" borderId="4" xfId="0" applyFont="1" applyBorder="1" applyAlignment="1">
      <alignment wrapText="1"/>
    </xf>
    <xf numFmtId="0" fontId="14" fillId="0" borderId="4" xfId="0" applyFont="1" applyBorder="1" applyAlignment="1">
      <alignment horizontal="left"/>
    </xf>
    <xf numFmtId="44" fontId="15" fillId="0" borderId="4" xfId="0" applyNumberFormat="1" applyFont="1" applyBorder="1" applyAlignment="1">
      <alignment horizontal="left"/>
    </xf>
    <xf numFmtId="0" fontId="19" fillId="0" borderId="4" xfId="0" applyFont="1" applyBorder="1"/>
    <xf numFmtId="0" fontId="14" fillId="0" borderId="0" xfId="0" applyFont="1" applyAlignment="1">
      <alignment wrapText="1"/>
    </xf>
    <xf numFmtId="44" fontId="19" fillId="0" borderId="4" xfId="0" applyNumberFormat="1" applyFont="1" applyBorder="1"/>
    <xf numFmtId="0" fontId="18" fillId="0" borderId="4" xfId="0" applyFont="1" applyBorder="1"/>
    <xf numFmtId="44" fontId="15" fillId="6" borderId="4" xfId="0" applyNumberFormat="1" applyFont="1" applyFill="1" applyBorder="1"/>
    <xf numFmtId="0" fontId="21" fillId="3" borderId="4" xfId="0" applyFont="1" applyFill="1" applyBorder="1" applyAlignment="1">
      <alignment horizontal="left"/>
    </xf>
    <xf numFmtId="14" fontId="14" fillId="0" borderId="4" xfId="0" applyNumberFormat="1" applyFont="1" applyBorder="1" applyAlignment="1">
      <alignment horizontal="left"/>
    </xf>
    <xf numFmtId="0" fontId="15" fillId="0" borderId="4" xfId="0" applyFont="1" applyBorder="1" applyAlignment="1">
      <alignment horizontal="left"/>
    </xf>
    <xf numFmtId="44" fontId="15" fillId="2" borderId="7" xfId="2" applyFont="1" applyFill="1" applyBorder="1" applyAlignment="1">
      <alignment horizontal="left"/>
    </xf>
    <xf numFmtId="0" fontId="23" fillId="0" borderId="0" xfId="0" applyFont="1"/>
    <xf numFmtId="0" fontId="23" fillId="0" borderId="0" xfId="0" applyFont="1" applyAlignment="1">
      <alignment horizontal="left"/>
    </xf>
    <xf numFmtId="44" fontId="14" fillId="0" borderId="4" xfId="0" applyNumberFormat="1" applyFont="1" applyBorder="1" applyAlignment="1">
      <alignment horizontal="left"/>
    </xf>
    <xf numFmtId="0" fontId="15" fillId="0" borderId="4" xfId="0" applyFont="1" applyBorder="1" applyAlignment="1">
      <alignment horizontal="center" vertical="center"/>
    </xf>
    <xf numFmtId="0" fontId="15" fillId="0" borderId="0" xfId="0" applyFont="1" applyAlignment="1">
      <alignment horizontal="center" vertical="center"/>
    </xf>
    <xf numFmtId="44" fontId="15" fillId="0" borderId="0" xfId="0" applyNumberFormat="1" applyFont="1" applyAlignment="1">
      <alignment horizontal="left"/>
    </xf>
    <xf numFmtId="0" fontId="18" fillId="5" borderId="9" xfId="0" applyFont="1" applyFill="1" applyBorder="1" applyAlignment="1">
      <alignment horizontal="center" vertical="center"/>
    </xf>
    <xf numFmtId="14" fontId="19" fillId="0" borderId="4" xfId="0" applyNumberFormat="1" applyFont="1" applyBorder="1" applyAlignment="1">
      <alignment horizontal="right"/>
    </xf>
    <xf numFmtId="164" fontId="14" fillId="0" borderId="0" xfId="0" applyNumberFormat="1" applyFont="1"/>
    <xf numFmtId="44" fontId="15" fillId="0" borderId="0" xfId="0" applyNumberFormat="1" applyFont="1"/>
    <xf numFmtId="49" fontId="19" fillId="0" borderId="4" xfId="0" applyNumberFormat="1" applyFont="1" applyBorder="1" applyAlignment="1">
      <alignment horizontal="right"/>
    </xf>
    <xf numFmtId="44" fontId="18" fillId="4" borderId="5" xfId="0" applyNumberFormat="1" applyFont="1" applyFill="1" applyBorder="1"/>
    <xf numFmtId="49" fontId="19" fillId="0" borderId="4" xfId="0" applyNumberFormat="1" applyFont="1" applyBorder="1" applyAlignment="1">
      <alignment horizontal="center"/>
    </xf>
    <xf numFmtId="0" fontId="19" fillId="0" borderId="0" xfId="4" applyFont="1"/>
    <xf numFmtId="40" fontId="19" fillId="0" borderId="0" xfId="4" applyNumberFormat="1" applyFont="1"/>
    <xf numFmtId="0" fontId="19" fillId="0" borderId="14" xfId="4" applyFont="1" applyBorder="1"/>
    <xf numFmtId="0" fontId="19" fillId="0" borderId="15" xfId="4" applyFont="1" applyBorder="1"/>
    <xf numFmtId="0" fontId="18" fillId="0" borderId="20" xfId="4" applyFont="1" applyBorder="1" applyAlignment="1">
      <alignment horizontal="left"/>
    </xf>
    <xf numFmtId="40" fontId="14" fillId="0" borderId="0" xfId="2" applyNumberFormat="1" applyFont="1" applyAlignment="1">
      <alignment horizontal="left"/>
    </xf>
    <xf numFmtId="0" fontId="14" fillId="0" borderId="20" xfId="0" applyFont="1" applyBorder="1"/>
    <xf numFmtId="0" fontId="14" fillId="0" borderId="15" xfId="0" applyFont="1" applyBorder="1"/>
    <xf numFmtId="0" fontId="15" fillId="2" borderId="18" xfId="0" applyFont="1" applyFill="1" applyBorder="1" applyAlignment="1">
      <alignment horizontal="center" vertical="center"/>
    </xf>
    <xf numFmtId="40" fontId="15" fillId="2" borderId="21" xfId="2" applyNumberFormat="1" applyFont="1" applyFill="1" applyBorder="1" applyAlignment="1">
      <alignment horizontal="center" vertical="center"/>
    </xf>
    <xf numFmtId="40" fontId="14" fillId="0" borderId="23" xfId="2" applyNumberFormat="1" applyFont="1" applyBorder="1" applyAlignment="1">
      <alignment horizontal="left"/>
    </xf>
    <xf numFmtId="40" fontId="14" fillId="0" borderId="22" xfId="2" applyNumberFormat="1" applyFont="1" applyBorder="1" applyAlignment="1">
      <alignment horizontal="left"/>
    </xf>
    <xf numFmtId="0" fontId="16" fillId="0" borderId="0" xfId="3" applyFont="1" applyBorder="1" applyAlignment="1">
      <alignment horizontal="center"/>
    </xf>
    <xf numFmtId="40" fontId="15" fillId="6" borderId="23" xfId="2" applyNumberFormat="1" applyFont="1" applyFill="1" applyBorder="1" applyAlignment="1">
      <alignment horizontal="center"/>
    </xf>
    <xf numFmtId="0" fontId="15" fillId="6" borderId="20" xfId="0" applyFont="1" applyFill="1" applyBorder="1"/>
    <xf numFmtId="40" fontId="19" fillId="0" borderId="13" xfId="4" applyNumberFormat="1" applyFont="1" applyBorder="1"/>
    <xf numFmtId="40" fontId="19" fillId="0" borderId="19" xfId="4" applyNumberFormat="1" applyFont="1" applyBorder="1" applyAlignment="1">
      <alignment horizontal="right"/>
    </xf>
    <xf numFmtId="40" fontId="19" fillId="0" borderId="19" xfId="4" applyNumberFormat="1" applyFont="1" applyBorder="1"/>
    <xf numFmtId="40" fontId="18" fillId="0" borderId="19" xfId="4" applyNumberFormat="1" applyFont="1" applyBorder="1" applyAlignment="1">
      <alignment horizontal="right"/>
    </xf>
    <xf numFmtId="40" fontId="26" fillId="0" borderId="14" xfId="4" applyNumberFormat="1" applyFont="1" applyBorder="1"/>
    <xf numFmtId="0" fontId="14" fillId="0" borderId="23" xfId="0" applyFont="1" applyBorder="1" applyAlignment="1">
      <alignment horizontal="left"/>
    </xf>
    <xf numFmtId="0" fontId="14" fillId="0" borderId="22" xfId="0" applyFont="1" applyBorder="1" applyAlignment="1">
      <alignment horizontal="left"/>
    </xf>
    <xf numFmtId="0" fontId="15" fillId="2" borderId="17" xfId="0" applyFont="1" applyFill="1" applyBorder="1" applyAlignment="1">
      <alignment horizontal="center" vertical="center"/>
    </xf>
    <xf numFmtId="0" fontId="15" fillId="2" borderId="21" xfId="0" applyFont="1" applyFill="1" applyBorder="1" applyAlignment="1">
      <alignment horizontal="center" vertical="center"/>
    </xf>
    <xf numFmtId="0" fontId="13" fillId="0" borderId="0" xfId="0" applyFont="1" applyAlignment="1">
      <alignment horizontal="right"/>
    </xf>
    <xf numFmtId="0" fontId="19" fillId="0" borderId="0" xfId="0" applyFont="1"/>
    <xf numFmtId="0" fontId="18" fillId="5" borderId="18" xfId="0" applyFont="1" applyFill="1" applyBorder="1" applyAlignment="1">
      <alignment horizontal="center" vertical="center"/>
    </xf>
    <xf numFmtId="0" fontId="18" fillId="5" borderId="17" xfId="0" applyFont="1" applyFill="1" applyBorder="1" applyAlignment="1">
      <alignment horizontal="center" vertical="center" wrapText="1"/>
    </xf>
    <xf numFmtId="40" fontId="14" fillId="0" borderId="0" xfId="0" applyNumberFormat="1" applyFont="1"/>
    <xf numFmtId="40" fontId="21" fillId="3" borderId="4" xfId="0" applyNumberFormat="1" applyFont="1" applyFill="1" applyBorder="1" applyAlignment="1">
      <alignment horizontal="center"/>
    </xf>
    <xf numFmtId="40" fontId="14" fillId="0" borderId="4" xfId="0" applyNumberFormat="1" applyFont="1" applyBorder="1"/>
    <xf numFmtId="40" fontId="15" fillId="0" borderId="4" xfId="0" applyNumberFormat="1" applyFont="1" applyBorder="1"/>
    <xf numFmtId="14" fontId="21" fillId="3" borderId="4" xfId="0" applyNumberFormat="1" applyFont="1" applyFill="1" applyBorder="1" applyAlignment="1">
      <alignment horizontal="center"/>
    </xf>
    <xf numFmtId="0" fontId="14" fillId="0" borderId="4" xfId="0" applyFont="1" applyBorder="1" applyAlignment="1">
      <alignment wrapText="1"/>
    </xf>
    <xf numFmtId="0" fontId="14" fillId="0" borderId="4" xfId="0" applyFont="1" applyBorder="1" applyAlignment="1">
      <alignment horizontal="left" vertical="center"/>
    </xf>
    <xf numFmtId="0" fontId="15" fillId="9" borderId="0" xfId="0" applyFont="1" applyFill="1"/>
    <xf numFmtId="0" fontId="18" fillId="9" borderId="0" xfId="0" applyFont="1" applyFill="1" applyAlignment="1">
      <alignment horizontal="left" wrapText="1"/>
    </xf>
    <xf numFmtId="0" fontId="17" fillId="0" borderId="0" xfId="0" applyFont="1" applyAlignment="1">
      <alignment wrapText="1"/>
    </xf>
    <xf numFmtId="0" fontId="15" fillId="2" borderId="6" xfId="0" applyFont="1" applyFill="1" applyBorder="1" applyAlignment="1">
      <alignment wrapText="1"/>
    </xf>
    <xf numFmtId="0" fontId="15" fillId="0" borderId="0" xfId="0" applyFont="1" applyAlignment="1">
      <alignment wrapText="1"/>
    </xf>
    <xf numFmtId="0" fontId="15" fillId="2" borderId="4" xfId="0" applyFont="1" applyFill="1" applyBorder="1" applyAlignment="1">
      <alignment wrapText="1"/>
    </xf>
    <xf numFmtId="0" fontId="18" fillId="2" borderId="4" xfId="0" applyFont="1" applyFill="1" applyBorder="1" applyAlignment="1">
      <alignment horizontal="center" wrapText="1"/>
    </xf>
    <xf numFmtId="14" fontId="19" fillId="0" borderId="4" xfId="0" applyNumberFormat="1" applyFont="1" applyBorder="1" applyAlignment="1">
      <alignment horizontal="left" wrapText="1"/>
    </xf>
    <xf numFmtId="14" fontId="14" fillId="0" borderId="4" xfId="0" applyNumberFormat="1" applyFont="1" applyBorder="1" applyAlignment="1">
      <alignment horizontal="left" wrapText="1"/>
    </xf>
    <xf numFmtId="0" fontId="15" fillId="9" borderId="0" xfId="0" applyFont="1" applyFill="1" applyAlignment="1">
      <alignment wrapText="1"/>
    </xf>
    <xf numFmtId="14" fontId="14" fillId="0" borderId="4" xfId="0" applyNumberFormat="1" applyFont="1" applyBorder="1" applyAlignment="1">
      <alignment wrapText="1"/>
    </xf>
    <xf numFmtId="0" fontId="14" fillId="0" borderId="14" xfId="0" applyFont="1" applyBorder="1"/>
    <xf numFmtId="0" fontId="18" fillId="5" borderId="10" xfId="0" applyFont="1" applyFill="1" applyBorder="1" applyAlignment="1">
      <alignment horizontal="left" vertical="center"/>
    </xf>
    <xf numFmtId="0" fontId="18" fillId="5" borderId="10" xfId="0" applyFont="1" applyFill="1" applyBorder="1" applyAlignment="1">
      <alignment vertical="center"/>
    </xf>
    <xf numFmtId="0" fontId="18" fillId="5" borderId="10" xfId="0" applyFont="1" applyFill="1" applyBorder="1" applyAlignment="1">
      <alignment horizontal="center" vertical="center"/>
    </xf>
    <xf numFmtId="44" fontId="18" fillId="5" borderId="11" xfId="0" applyNumberFormat="1" applyFont="1" applyFill="1" applyBorder="1" applyAlignment="1">
      <alignment horizontal="center" vertical="center"/>
    </xf>
    <xf numFmtId="0" fontId="18" fillId="0" borderId="20" xfId="0" applyFont="1" applyBorder="1" applyAlignment="1">
      <alignment horizontal="left" wrapText="1"/>
    </xf>
    <xf numFmtId="0" fontId="14" fillId="0" borderId="19" xfId="0" applyFont="1" applyBorder="1"/>
    <xf numFmtId="0" fontId="18" fillId="0" borderId="15" xfId="0" applyFont="1" applyBorder="1" applyAlignment="1">
      <alignment horizontal="left" wrapText="1"/>
    </xf>
    <xf numFmtId="0" fontId="14" fillId="0" borderId="13" xfId="0" applyFont="1" applyBorder="1"/>
    <xf numFmtId="40" fontId="18" fillId="0" borderId="12" xfId="0" applyNumberFormat="1" applyFont="1" applyBorder="1" applyAlignment="1">
      <alignment horizontal="right" wrapText="1"/>
    </xf>
    <xf numFmtId="0" fontId="15" fillId="10" borderId="0" xfId="0" applyFont="1" applyFill="1" applyAlignment="1">
      <alignment horizontal="left"/>
    </xf>
    <xf numFmtId="14" fontId="22" fillId="12" borderId="21" xfId="0" applyNumberFormat="1" applyFont="1" applyFill="1" applyBorder="1" applyAlignment="1">
      <alignment horizontal="center" vertical="top"/>
    </xf>
    <xf numFmtId="0" fontId="22" fillId="12" borderId="21" xfId="0" applyFont="1" applyFill="1" applyBorder="1" applyAlignment="1">
      <alignment horizontal="center" vertical="top"/>
    </xf>
    <xf numFmtId="44" fontId="22" fillId="12" borderId="21" xfId="2" applyFont="1" applyFill="1" applyBorder="1" applyAlignment="1">
      <alignment horizontal="center" vertical="top"/>
    </xf>
    <xf numFmtId="49" fontId="22" fillId="12" borderId="21" xfId="0" applyNumberFormat="1" applyFont="1" applyFill="1" applyBorder="1" applyAlignment="1">
      <alignment horizontal="center" vertical="top"/>
    </xf>
    <xf numFmtId="0" fontId="18" fillId="0" borderId="18" xfId="4" applyFont="1" applyBorder="1" applyAlignment="1">
      <alignment horizontal="center" vertical="center"/>
    </xf>
    <xf numFmtId="0" fontId="18" fillId="0" borderId="17" xfId="4" applyFont="1" applyBorder="1" applyAlignment="1">
      <alignment horizontal="center" vertical="center"/>
    </xf>
    <xf numFmtId="40" fontId="18" fillId="0" borderId="16" xfId="4" applyNumberFormat="1" applyFont="1" applyBorder="1" applyAlignment="1">
      <alignment horizontal="center" vertical="center"/>
    </xf>
    <xf numFmtId="0" fontId="19" fillId="0" borderId="0" xfId="4" applyFont="1" applyAlignment="1">
      <alignment horizontal="center" vertical="center"/>
    </xf>
    <xf numFmtId="0" fontId="19" fillId="0" borderId="20" xfId="4" applyFont="1" applyBorder="1"/>
    <xf numFmtId="0" fontId="19" fillId="0" borderId="20" xfId="4" applyFont="1" applyBorder="1" applyAlignment="1">
      <alignment horizontal="left"/>
    </xf>
    <xf numFmtId="0" fontId="18" fillId="0" borderId="34" xfId="4" applyFont="1" applyBorder="1" applyAlignment="1">
      <alignment horizontal="left"/>
    </xf>
    <xf numFmtId="0" fontId="19" fillId="0" borderId="32" xfId="4" applyFont="1" applyBorder="1" applyAlignment="1">
      <alignment horizontal="left"/>
    </xf>
    <xf numFmtId="40" fontId="18" fillId="0" borderId="31" xfId="4" applyNumberFormat="1" applyFont="1" applyBorder="1" applyAlignment="1">
      <alignment horizontal="right"/>
    </xf>
    <xf numFmtId="40" fontId="18" fillId="6" borderId="31" xfId="4" applyNumberFormat="1" applyFont="1" applyFill="1" applyBorder="1" applyAlignment="1">
      <alignment horizontal="right"/>
    </xf>
    <xf numFmtId="0" fontId="17" fillId="0" borderId="29" xfId="0" applyFont="1" applyBorder="1"/>
    <xf numFmtId="0" fontId="17" fillId="0" borderId="28" xfId="0" applyFont="1" applyBorder="1"/>
    <xf numFmtId="0" fontId="14" fillId="0" borderId="28" xfId="0" applyFont="1" applyBorder="1"/>
    <xf numFmtId="0" fontId="17" fillId="0" borderId="20" xfId="0" applyFont="1" applyBorder="1"/>
    <xf numFmtId="0" fontId="23" fillId="0" borderId="20" xfId="0" applyFont="1" applyBorder="1"/>
    <xf numFmtId="0" fontId="17" fillId="0" borderId="20" xfId="0" applyFont="1" applyBorder="1" applyAlignment="1">
      <alignment horizontal="left"/>
    </xf>
    <xf numFmtId="0" fontId="14" fillId="0" borderId="23" xfId="0" applyFont="1" applyBorder="1" applyAlignment="1">
      <alignment horizontal="left" wrapText="1"/>
    </xf>
    <xf numFmtId="14" fontId="22" fillId="12" borderId="23" xfId="0" applyNumberFormat="1" applyFont="1" applyFill="1" applyBorder="1" applyAlignment="1">
      <alignment horizontal="center" vertical="top"/>
    </xf>
    <xf numFmtId="0" fontId="22" fillId="12" borderId="23" xfId="0" applyFont="1" applyFill="1" applyBorder="1" applyAlignment="1">
      <alignment horizontal="center" vertical="top"/>
    </xf>
    <xf numFmtId="44" fontId="22" fillId="12" borderId="23" xfId="2" applyFont="1" applyFill="1" applyBorder="1" applyAlignment="1">
      <alignment horizontal="center" vertical="top"/>
    </xf>
    <xf numFmtId="49" fontId="22" fillId="12" borderId="23" xfId="0" applyNumberFormat="1" applyFont="1" applyFill="1" applyBorder="1" applyAlignment="1">
      <alignment horizontal="center" vertical="top"/>
    </xf>
    <xf numFmtId="166" fontId="12" fillId="0" borderId="0" xfId="6" applyNumberFormat="1" applyFont="1" applyAlignment="1">
      <alignment horizontal="left"/>
    </xf>
    <xf numFmtId="0" fontId="24" fillId="0" borderId="29" xfId="4" applyFont="1" applyBorder="1"/>
    <xf numFmtId="0" fontId="24" fillId="0" borderId="20" xfId="4" applyFont="1" applyBorder="1"/>
    <xf numFmtId="49" fontId="19" fillId="0" borderId="4" xfId="0" applyNumberFormat="1" applyFont="1" applyBorder="1" applyAlignment="1">
      <alignment horizontal="center" vertical="center"/>
    </xf>
    <xf numFmtId="44" fontId="19" fillId="0" borderId="1" xfId="0" applyNumberFormat="1" applyFont="1" applyBorder="1"/>
    <xf numFmtId="0" fontId="18" fillId="5" borderId="4" xfId="0" applyFont="1" applyFill="1" applyBorder="1" applyAlignment="1">
      <alignment horizontal="center" vertical="center"/>
    </xf>
    <xf numFmtId="0" fontId="16" fillId="0" borderId="0" xfId="3" applyFont="1" applyFill="1" applyBorder="1" applyAlignment="1">
      <alignment horizontal="center"/>
    </xf>
    <xf numFmtId="40" fontId="19" fillId="0" borderId="23" xfId="0" applyNumberFormat="1" applyFont="1" applyBorder="1" applyAlignment="1">
      <alignment wrapText="1"/>
    </xf>
    <xf numFmtId="40" fontId="19" fillId="0" borderId="23" xfId="0" applyNumberFormat="1" applyFont="1" applyBorder="1" applyAlignment="1">
      <alignment horizontal="right" wrapText="1"/>
    </xf>
    <xf numFmtId="40" fontId="18" fillId="0" borderId="30" xfId="0" applyNumberFormat="1" applyFont="1" applyBorder="1" applyAlignment="1">
      <alignment horizontal="right" wrapText="1"/>
    </xf>
    <xf numFmtId="44" fontId="15" fillId="7" borderId="4" xfId="0" applyNumberFormat="1" applyFont="1" applyFill="1" applyBorder="1"/>
    <xf numFmtId="40" fontId="19" fillId="0" borderId="0" xfId="0" applyNumberFormat="1" applyFont="1"/>
    <xf numFmtId="0" fontId="19" fillId="7" borderId="29" xfId="0" applyFont="1" applyFill="1" applyBorder="1" applyAlignment="1">
      <alignment wrapText="1"/>
    </xf>
    <xf numFmtId="0" fontId="19" fillId="7" borderId="15" xfId="0" applyFont="1" applyFill="1" applyBorder="1" applyAlignment="1">
      <alignment wrapText="1"/>
    </xf>
    <xf numFmtId="0" fontId="18" fillId="7" borderId="13" xfId="0" applyFont="1" applyFill="1" applyBorder="1" applyAlignment="1">
      <alignment horizontal="center" wrapText="1"/>
    </xf>
    <xf numFmtId="40" fontId="19" fillId="0" borderId="20" xfId="0" applyNumberFormat="1" applyFont="1" applyBorder="1" applyAlignment="1">
      <alignment wrapText="1"/>
    </xf>
    <xf numFmtId="0" fontId="18" fillId="10" borderId="20" xfId="0" applyFont="1" applyFill="1" applyBorder="1" applyAlignment="1">
      <alignment horizontal="left" wrapText="1"/>
    </xf>
    <xf numFmtId="40" fontId="19" fillId="0" borderId="15" xfId="0" applyNumberFormat="1" applyFont="1" applyBorder="1" applyAlignment="1">
      <alignment wrapText="1"/>
    </xf>
    <xf numFmtId="167" fontId="19" fillId="0" borderId="13" xfId="0" applyNumberFormat="1" applyFont="1" applyBorder="1" applyAlignment="1">
      <alignment wrapText="1"/>
    </xf>
    <xf numFmtId="40" fontId="19" fillId="0" borderId="0" xfId="0" applyNumberFormat="1" applyFont="1" applyAlignment="1">
      <alignment wrapText="1"/>
    </xf>
    <xf numFmtId="10" fontId="18" fillId="0" borderId="23" xfId="4" applyNumberFormat="1" applyFont="1" applyBorder="1" applyAlignment="1">
      <alignment horizontal="left" vertical="center" wrapText="1"/>
    </xf>
    <xf numFmtId="40" fontId="19" fillId="0" borderId="0" xfId="4" applyNumberFormat="1" applyFont="1" applyAlignment="1">
      <alignment vertical="center"/>
    </xf>
    <xf numFmtId="0" fontId="19" fillId="0" borderId="0" xfId="4" applyFont="1" applyAlignment="1">
      <alignment vertical="center"/>
    </xf>
    <xf numFmtId="0" fontId="19" fillId="0" borderId="0" xfId="4" applyFont="1" applyAlignment="1">
      <alignment horizontal="left" vertical="center" wrapText="1"/>
    </xf>
    <xf numFmtId="166" fontId="12" fillId="0" borderId="0" xfId="1" applyNumberFormat="1" applyFont="1" applyAlignment="1">
      <alignment horizontal="left" vertical="center"/>
    </xf>
    <xf numFmtId="0" fontId="18" fillId="0" borderId="23" xfId="4" applyFont="1" applyBorder="1" applyAlignment="1">
      <alignment horizontal="left" vertical="center"/>
    </xf>
    <xf numFmtId="167" fontId="19" fillId="0" borderId="23" xfId="4" applyNumberFormat="1" applyFont="1" applyBorder="1" applyAlignment="1">
      <alignment horizontal="left" vertical="center" wrapText="1"/>
    </xf>
    <xf numFmtId="10" fontId="18" fillId="7" borderId="23" xfId="4" applyNumberFormat="1" applyFont="1" applyFill="1" applyBorder="1" applyAlignment="1">
      <alignment horizontal="left" vertical="center" wrapText="1"/>
    </xf>
    <xf numFmtId="0" fontId="18" fillId="0" borderId="23" xfId="4" applyFont="1" applyBorder="1" applyAlignment="1">
      <alignment horizontal="left" vertical="center" wrapText="1"/>
    </xf>
    <xf numFmtId="39" fontId="18" fillId="8" borderId="22" xfId="4" applyNumberFormat="1" applyFont="1" applyFill="1" applyBorder="1" applyAlignment="1">
      <alignment horizontal="left" vertical="center" wrapText="1"/>
    </xf>
    <xf numFmtId="40" fontId="18" fillId="15" borderId="12" xfId="0" applyNumberFormat="1" applyFont="1" applyFill="1" applyBorder="1" applyAlignment="1">
      <alignment horizontal="right" wrapText="1"/>
    </xf>
    <xf numFmtId="40" fontId="18" fillId="15" borderId="30" xfId="0" applyNumberFormat="1" applyFont="1" applyFill="1" applyBorder="1" applyAlignment="1">
      <alignment horizontal="right" wrapText="1"/>
    </xf>
    <xf numFmtId="40" fontId="18" fillId="14" borderId="32" xfId="0" applyNumberFormat="1" applyFont="1" applyFill="1" applyBorder="1" applyAlignment="1">
      <alignment horizontal="right" wrapText="1"/>
    </xf>
    <xf numFmtId="40" fontId="18" fillId="14" borderId="33" xfId="0" applyNumberFormat="1" applyFont="1" applyFill="1" applyBorder="1" applyAlignment="1">
      <alignment horizontal="right" wrapText="1"/>
    </xf>
    <xf numFmtId="0" fontId="19" fillId="0" borderId="21" xfId="0" applyFont="1" applyBorder="1" applyAlignment="1">
      <alignment wrapText="1"/>
    </xf>
    <xf numFmtId="40" fontId="18" fillId="14" borderId="21" xfId="0" applyNumberFormat="1" applyFont="1" applyFill="1" applyBorder="1" applyAlignment="1">
      <alignment horizontal="center" wrapText="1"/>
    </xf>
    <xf numFmtId="43" fontId="0" fillId="0" borderId="0" xfId="1" applyFont="1" applyFill="1"/>
    <xf numFmtId="49" fontId="24" fillId="0" borderId="1" xfId="4" applyNumberFormat="1" applyFont="1" applyBorder="1" applyAlignment="1">
      <alignment horizontal="center"/>
    </xf>
    <xf numFmtId="0" fontId="19" fillId="0" borderId="4" xfId="4" applyFont="1" applyBorder="1" applyAlignment="1">
      <alignment horizontal="left"/>
    </xf>
    <xf numFmtId="10" fontId="19" fillId="0" borderId="4" xfId="15" applyNumberFormat="1" applyFont="1" applyFill="1" applyBorder="1" applyAlignment="1">
      <alignment horizontal="center"/>
    </xf>
    <xf numFmtId="10" fontId="19" fillId="0" borderId="4" xfId="15" applyNumberFormat="1" applyFont="1" applyFill="1" applyBorder="1" applyAlignment="1">
      <alignment horizontal="right"/>
    </xf>
    <xf numFmtId="49" fontId="19" fillId="0" borderId="4" xfId="4" applyNumberFormat="1" applyFont="1" applyBorder="1" applyAlignment="1">
      <alignment horizontal="center"/>
    </xf>
    <xf numFmtId="43" fontId="19" fillId="0" borderId="3" xfId="1" applyFont="1" applyFill="1" applyBorder="1" applyAlignment="1">
      <alignment horizontal="center"/>
    </xf>
    <xf numFmtId="4" fontId="19" fillId="0" borderId="3" xfId="1" applyNumberFormat="1" applyFont="1" applyFill="1" applyBorder="1" applyAlignment="1">
      <alignment horizontal="center"/>
    </xf>
    <xf numFmtId="0" fontId="1" fillId="0" borderId="3" xfId="0" applyFont="1" applyBorder="1"/>
    <xf numFmtId="0" fontId="1" fillId="0" borderId="4" xfId="0" applyFont="1" applyBorder="1" applyAlignment="1">
      <alignment horizontal="left"/>
    </xf>
    <xf numFmtId="0" fontId="1" fillId="0" borderId="4" xfId="0" applyFont="1" applyBorder="1"/>
    <xf numFmtId="43" fontId="14" fillId="0" borderId="4" xfId="1" applyFont="1" applyFill="1" applyBorder="1"/>
    <xf numFmtId="10" fontId="14" fillId="0" borderId="4" xfId="15" applyNumberFormat="1" applyFont="1" applyFill="1" applyBorder="1"/>
    <xf numFmtId="0" fontId="19" fillId="0" borderId="4" xfId="4" applyFont="1" applyBorder="1" applyAlignment="1">
      <alignment horizontal="left" vertical="center"/>
    </xf>
    <xf numFmtId="40" fontId="19" fillId="0" borderId="4" xfId="4" applyNumberFormat="1" applyFont="1" applyBorder="1" applyAlignment="1">
      <alignment vertical="center"/>
    </xf>
    <xf numFmtId="10" fontId="19" fillId="0" borderId="4" xfId="15" applyNumberFormat="1" applyFont="1" applyFill="1" applyBorder="1" applyAlignment="1">
      <alignment vertical="center"/>
    </xf>
    <xf numFmtId="40" fontId="19" fillId="0" borderId="4" xfId="4" applyNumberFormat="1" applyFont="1" applyBorder="1" applyAlignment="1">
      <alignment horizontal="right" vertical="center"/>
    </xf>
    <xf numFmtId="49" fontId="18" fillId="0" borderId="4" xfId="4" applyNumberFormat="1" applyFont="1" applyBorder="1" applyAlignment="1">
      <alignment horizontal="center"/>
    </xf>
    <xf numFmtId="0" fontId="15" fillId="0" borderId="0" xfId="0" applyFont="1" applyAlignment="1">
      <alignment horizontal="left" vertical="center" indent="1"/>
    </xf>
    <xf numFmtId="0" fontId="14" fillId="0" borderId="0" xfId="0" applyFont="1" applyAlignment="1">
      <alignment vertical="center"/>
    </xf>
    <xf numFmtId="0" fontId="0" fillId="0" borderId="0" xfId="0" applyAlignment="1">
      <alignment vertical="center"/>
    </xf>
    <xf numFmtId="0" fontId="14" fillId="0" borderId="0" xfId="0" applyFont="1" applyAlignment="1">
      <alignment horizontal="left" vertical="center" indent="1"/>
    </xf>
    <xf numFmtId="0" fontId="14" fillId="0" borderId="0" xfId="0" applyFont="1" applyAlignment="1">
      <alignment horizontal="left" vertical="center" indent="2"/>
    </xf>
    <xf numFmtId="40" fontId="18" fillId="10" borderId="25" xfId="0" applyNumberFormat="1" applyFont="1" applyFill="1" applyBorder="1" applyAlignment="1">
      <alignment wrapText="1"/>
    </xf>
    <xf numFmtId="40" fontId="18" fillId="0" borderId="25" xfId="0" applyNumberFormat="1" applyFont="1" applyBorder="1" applyAlignment="1">
      <alignment wrapText="1"/>
    </xf>
    <xf numFmtId="0" fontId="15" fillId="6" borderId="0" xfId="0" applyFont="1" applyFill="1" applyAlignment="1">
      <alignment horizontal="left" vertical="center" indent="1"/>
    </xf>
    <xf numFmtId="0" fontId="15" fillId="10" borderId="0" xfId="0" applyFont="1" applyFill="1" applyAlignment="1">
      <alignment vertical="center"/>
    </xf>
    <xf numFmtId="0" fontId="15" fillId="16" borderId="0" xfId="0" applyFont="1" applyFill="1" applyAlignment="1">
      <alignment vertical="center"/>
    </xf>
    <xf numFmtId="0" fontId="15" fillId="8" borderId="0" xfId="0" applyFont="1" applyFill="1" applyAlignment="1">
      <alignment vertical="center"/>
    </xf>
    <xf numFmtId="0" fontId="15" fillId="2" borderId="40" xfId="0" applyFont="1" applyFill="1" applyBorder="1"/>
    <xf numFmtId="44" fontId="15" fillId="2" borderId="41" xfId="2" applyFont="1" applyFill="1" applyBorder="1"/>
    <xf numFmtId="44" fontId="15" fillId="2" borderId="38" xfId="2" applyFont="1" applyFill="1" applyBorder="1"/>
    <xf numFmtId="0" fontId="18" fillId="10" borderId="18" xfId="0" applyFont="1" applyFill="1" applyBorder="1" applyAlignment="1">
      <alignment horizontal="left" wrapText="1"/>
    </xf>
    <xf numFmtId="40" fontId="18" fillId="10" borderId="18" xfId="0" applyNumberFormat="1" applyFont="1" applyFill="1" applyBorder="1" applyAlignment="1">
      <alignment wrapText="1"/>
    </xf>
    <xf numFmtId="166" fontId="12" fillId="0" borderId="27" xfId="6" applyNumberFormat="1" applyFont="1" applyBorder="1" applyAlignment="1">
      <alignment horizontal="left"/>
    </xf>
    <xf numFmtId="0" fontId="14" fillId="0" borderId="27" xfId="0" applyFont="1" applyBorder="1"/>
    <xf numFmtId="0" fontId="17" fillId="0" borderId="15" xfId="0" applyFont="1" applyBorder="1"/>
    <xf numFmtId="40" fontId="26" fillId="0" borderId="0" xfId="4" applyNumberFormat="1" applyFont="1"/>
    <xf numFmtId="40" fontId="19" fillId="0" borderId="0" xfId="0" applyNumberFormat="1" applyFont="1" applyAlignment="1">
      <alignment horizontal="right" wrapText="1"/>
    </xf>
    <xf numFmtId="40" fontId="19" fillId="0" borderId="27" xfId="4" applyNumberFormat="1" applyFont="1" applyBorder="1"/>
    <xf numFmtId="0" fontId="24" fillId="0" borderId="15" xfId="4" applyFont="1" applyBorder="1"/>
    <xf numFmtId="0" fontId="24" fillId="0" borderId="26" xfId="4" applyFont="1" applyBorder="1"/>
    <xf numFmtId="0" fontId="24" fillId="0" borderId="23" xfId="4" applyFont="1" applyBorder="1"/>
    <xf numFmtId="0" fontId="24" fillId="0" borderId="22" xfId="4" applyFont="1" applyBorder="1"/>
    <xf numFmtId="0" fontId="26" fillId="0" borderId="14" xfId="4" applyFont="1" applyBorder="1"/>
    <xf numFmtId="0" fontId="24" fillId="0" borderId="26" xfId="4" applyFont="1" applyBorder="1" applyAlignment="1">
      <alignment horizontal="left" vertical="center"/>
    </xf>
    <xf numFmtId="0" fontId="24" fillId="0" borderId="23" xfId="4" applyFont="1" applyBorder="1" applyAlignment="1">
      <alignment horizontal="left" vertical="center"/>
    </xf>
    <xf numFmtId="0" fontId="17" fillId="0" borderId="26" xfId="0" applyFont="1" applyBorder="1" applyAlignment="1">
      <alignment horizontal="right"/>
    </xf>
    <xf numFmtId="0" fontId="17" fillId="0" borderId="23" xfId="0" applyFont="1" applyBorder="1" applyAlignment="1">
      <alignment horizontal="right"/>
    </xf>
    <xf numFmtId="0" fontId="13" fillId="0" borderId="22" xfId="0" applyFont="1" applyBorder="1" applyAlignment="1">
      <alignment horizontal="right"/>
    </xf>
    <xf numFmtId="14" fontId="14" fillId="0" borderId="4" xfId="0" applyNumberFormat="1" applyFont="1" applyBorder="1"/>
    <xf numFmtId="166" fontId="16" fillId="0" borderId="0" xfId="3" applyNumberFormat="1" applyFont="1" applyAlignment="1">
      <alignment horizontal="left"/>
    </xf>
    <xf numFmtId="14" fontId="18" fillId="2" borderId="4" xfId="0" applyNumberFormat="1" applyFont="1" applyFill="1" applyBorder="1" applyAlignment="1">
      <alignment horizontal="center" wrapText="1"/>
    </xf>
    <xf numFmtId="49" fontId="19" fillId="0" borderId="4" xfId="0" applyNumberFormat="1" applyFont="1" applyBorder="1" applyAlignment="1">
      <alignment horizontal="center" vertical="center" wrapText="1"/>
    </xf>
    <xf numFmtId="0" fontId="14" fillId="0" borderId="0" xfId="0" applyFont="1" applyAlignment="1">
      <alignment horizontal="center"/>
    </xf>
    <xf numFmtId="166" fontId="16" fillId="0" borderId="19" xfId="3" applyNumberFormat="1" applyFont="1" applyBorder="1" applyAlignment="1">
      <alignment horizontal="left"/>
    </xf>
    <xf numFmtId="14" fontId="14" fillId="0" borderId="0" xfId="0" applyNumberFormat="1" applyFont="1" applyAlignment="1">
      <alignment horizontal="center"/>
    </xf>
    <xf numFmtId="44" fontId="14" fillId="0" borderId="0" xfId="2" applyFont="1"/>
    <xf numFmtId="49" fontId="14" fillId="0" borderId="0" xfId="0" applyNumberFormat="1" applyFont="1"/>
    <xf numFmtId="44" fontId="14" fillId="2" borderId="15" xfId="2" applyFont="1" applyFill="1" applyBorder="1"/>
    <xf numFmtId="0" fontId="14" fillId="2" borderId="14" xfId="0" applyFont="1" applyFill="1" applyBorder="1"/>
    <xf numFmtId="44" fontId="14" fillId="2" borderId="13" xfId="2" applyFont="1" applyFill="1" applyBorder="1"/>
    <xf numFmtId="0" fontId="15" fillId="0" borderId="0" xfId="0" applyFont="1" applyAlignment="1">
      <alignment horizontal="left" vertical="top" wrapText="1"/>
    </xf>
    <xf numFmtId="0" fontId="14" fillId="0" borderId="0" xfId="0" applyFont="1" applyAlignment="1">
      <alignment horizontal="left" vertical="top" wrapText="1"/>
    </xf>
    <xf numFmtId="14" fontId="14" fillId="0" borderId="23" xfId="0" applyNumberFormat="1" applyFont="1" applyBorder="1" applyAlignment="1">
      <alignment horizontal="center"/>
    </xf>
    <xf numFmtId="0" fontId="14" fillId="0" borderId="23" xfId="0" applyFont="1" applyBorder="1" applyAlignment="1">
      <alignment horizontal="center"/>
    </xf>
    <xf numFmtId="44" fontId="14" fillId="0" borderId="23" xfId="2" applyFont="1" applyBorder="1"/>
    <xf numFmtId="49" fontId="14" fillId="0" borderId="23" xfId="0" applyNumberFormat="1" applyFont="1" applyBorder="1"/>
    <xf numFmtId="0" fontId="14" fillId="0" borderId="23" xfId="0" applyFont="1" applyBorder="1"/>
    <xf numFmtId="14" fontId="14" fillId="0" borderId="21" xfId="0" applyNumberFormat="1" applyFont="1" applyBorder="1" applyAlignment="1">
      <alignment horizontal="center"/>
    </xf>
    <xf numFmtId="0" fontId="14" fillId="0" borderId="21" xfId="0" applyFont="1" applyBorder="1" applyAlignment="1">
      <alignment horizontal="center"/>
    </xf>
    <xf numFmtId="44" fontId="14" fillId="12" borderId="21" xfId="2" applyFont="1" applyFill="1" applyBorder="1"/>
    <xf numFmtId="49" fontId="14" fillId="0" borderId="21" xfId="0" applyNumberFormat="1" applyFont="1" applyBorder="1"/>
    <xf numFmtId="44" fontId="14" fillId="0" borderId="21" xfId="2" applyFont="1" applyBorder="1"/>
    <xf numFmtId="0" fontId="14" fillId="0" borderId="21" xfId="0" applyFont="1" applyBorder="1"/>
    <xf numFmtId="166" fontId="16" fillId="0" borderId="0" xfId="3" applyNumberFormat="1" applyFont="1" applyAlignment="1">
      <alignment horizontal="left" vertical="center"/>
    </xf>
    <xf numFmtId="0" fontId="16" fillId="0" borderId="0" xfId="3" applyFont="1" applyBorder="1" applyAlignment="1">
      <alignment vertical="center"/>
    </xf>
    <xf numFmtId="0" fontId="16" fillId="0" borderId="19" xfId="3" applyFont="1" applyFill="1" applyBorder="1" applyAlignment="1">
      <alignment horizontal="center" vertical="center"/>
    </xf>
    <xf numFmtId="0" fontId="14" fillId="0" borderId="1" xfId="0" applyFont="1" applyBorder="1" applyAlignment="1">
      <alignment vertical="center"/>
    </xf>
    <xf numFmtId="0" fontId="14" fillId="0" borderId="1" xfId="0" applyFont="1" applyBorder="1" applyAlignment="1">
      <alignment horizontal="center"/>
    </xf>
    <xf numFmtId="0" fontId="16" fillId="0" borderId="2" xfId="3" applyFont="1" applyBorder="1" applyAlignment="1">
      <alignment horizontal="center" vertical="center"/>
    </xf>
    <xf numFmtId="0" fontId="16" fillId="0" borderId="3" xfId="3" applyFont="1" applyBorder="1" applyAlignment="1">
      <alignment horizontal="center" vertical="center"/>
    </xf>
    <xf numFmtId="0" fontId="16" fillId="0" borderId="0" xfId="3" applyFont="1" applyAlignment="1">
      <alignment horizontal="center"/>
    </xf>
    <xf numFmtId="40" fontId="18" fillId="7" borderId="18" xfId="4" applyNumberFormat="1" applyFont="1" applyFill="1" applyBorder="1" applyAlignment="1">
      <alignment horizontal="right" vertical="center"/>
    </xf>
    <xf numFmtId="40" fontId="18" fillId="7" borderId="17" xfId="4" applyNumberFormat="1" applyFont="1" applyFill="1" applyBorder="1" applyAlignment="1">
      <alignment horizontal="right" vertical="center"/>
    </xf>
    <xf numFmtId="40" fontId="18" fillId="0" borderId="20" xfId="4" applyNumberFormat="1" applyFont="1" applyBorder="1" applyAlignment="1">
      <alignment horizontal="right" vertical="center"/>
    </xf>
    <xf numFmtId="40" fontId="18" fillId="0" borderId="20" xfId="4" applyNumberFormat="1" applyFont="1" applyBorder="1" applyAlignment="1">
      <alignment vertical="center"/>
    </xf>
    <xf numFmtId="40" fontId="18" fillId="8" borderId="18" xfId="4" applyNumberFormat="1" applyFont="1" applyFill="1" applyBorder="1" applyAlignment="1">
      <alignment vertical="center"/>
    </xf>
    <xf numFmtId="40" fontId="18" fillId="8" borderId="17" xfId="4" applyNumberFormat="1" applyFont="1" applyFill="1" applyBorder="1" applyAlignment="1">
      <alignment vertical="center"/>
    </xf>
    <xf numFmtId="170" fontId="19" fillId="0" borderId="0" xfId="4" applyNumberFormat="1" applyFont="1" applyAlignment="1">
      <alignment vertical="center"/>
    </xf>
    <xf numFmtId="170" fontId="19" fillId="0" borderId="19" xfId="4" applyNumberFormat="1" applyFont="1" applyBorder="1" applyAlignment="1">
      <alignment horizontal="right" vertical="center"/>
    </xf>
    <xf numFmtId="0" fontId="1" fillId="0" borderId="0" xfId="16" applyFont="1"/>
    <xf numFmtId="0" fontId="1" fillId="9" borderId="0" xfId="16" applyFont="1" applyFill="1"/>
    <xf numFmtId="4" fontId="1" fillId="9" borderId="0" xfId="16" applyNumberFormat="1" applyFont="1" applyFill="1"/>
    <xf numFmtId="4" fontId="33" fillId="9" borderId="0" xfId="16" applyNumberFormat="1" applyFont="1" applyFill="1"/>
    <xf numFmtId="0" fontId="34" fillId="0" borderId="8" xfId="17" applyFont="1" applyAlignment="1">
      <alignment horizontal="center"/>
    </xf>
    <xf numFmtId="0" fontId="14" fillId="0" borderId="0" xfId="0" pivotButton="1" applyFont="1"/>
    <xf numFmtId="0" fontId="14" fillId="6" borderId="0" xfId="0" applyFont="1" applyFill="1"/>
    <xf numFmtId="4" fontId="14" fillId="0" borderId="0" xfId="0" applyNumberFormat="1" applyFont="1"/>
    <xf numFmtId="0" fontId="19" fillId="0" borderId="0" xfId="4" applyFont="1" applyAlignment="1">
      <alignment horizontal="left"/>
    </xf>
    <xf numFmtId="40" fontId="14" fillId="0" borderId="0" xfId="0" applyNumberFormat="1" applyFont="1" applyAlignment="1">
      <alignment horizontal="right" vertical="center"/>
    </xf>
    <xf numFmtId="40" fontId="18" fillId="5" borderId="10" xfId="0" applyNumberFormat="1" applyFont="1" applyFill="1" applyBorder="1" applyAlignment="1">
      <alignment horizontal="right" vertical="center"/>
    </xf>
    <xf numFmtId="9" fontId="21" fillId="3" borderId="9" xfId="15" applyFont="1" applyFill="1" applyBorder="1" applyAlignment="1">
      <alignment horizontal="left"/>
    </xf>
    <xf numFmtId="9" fontId="21" fillId="3" borderId="10" xfId="15" applyFont="1" applyFill="1" applyBorder="1" applyAlignment="1">
      <alignment horizontal="left"/>
    </xf>
    <xf numFmtId="40" fontId="21" fillId="3" borderId="10" xfId="15" applyNumberFormat="1" applyFont="1" applyFill="1" applyBorder="1" applyAlignment="1">
      <alignment horizontal="left"/>
    </xf>
    <xf numFmtId="40" fontId="21" fillId="3" borderId="11" xfId="15" applyNumberFormat="1" applyFont="1" applyFill="1" applyBorder="1" applyAlignment="1">
      <alignment horizontal="left"/>
    </xf>
    <xf numFmtId="0" fontId="14" fillId="0" borderId="42" xfId="0" applyFont="1" applyBorder="1"/>
    <xf numFmtId="40" fontId="14" fillId="0" borderId="43" xfId="0" applyNumberFormat="1" applyFont="1" applyBorder="1"/>
    <xf numFmtId="0" fontId="15" fillId="0" borderId="44" xfId="0" applyFont="1" applyBorder="1" applyAlignment="1">
      <alignment horizontal="centerContinuous" vertical="center"/>
    </xf>
    <xf numFmtId="0" fontId="15" fillId="0" borderId="5" xfId="0" applyFont="1" applyBorder="1" applyAlignment="1">
      <alignment horizontal="centerContinuous" vertical="center"/>
    </xf>
    <xf numFmtId="40" fontId="15" fillId="0" borderId="5" xfId="0" applyNumberFormat="1" applyFont="1" applyBorder="1"/>
    <xf numFmtId="40" fontId="15" fillId="0" borderId="45" xfId="0" applyNumberFormat="1" applyFont="1" applyBorder="1"/>
    <xf numFmtId="9" fontId="21" fillId="3" borderId="10" xfId="15" applyFont="1" applyFill="1" applyBorder="1" applyAlignment="1">
      <alignment horizontal="left" wrapText="1"/>
    </xf>
    <xf numFmtId="0" fontId="15" fillId="0" borderId="5" xfId="0" applyFont="1" applyBorder="1" applyAlignment="1">
      <alignment horizontal="centerContinuous" vertical="center" wrapText="1"/>
    </xf>
    <xf numFmtId="40" fontId="15" fillId="18" borderId="4" xfId="0" applyNumberFormat="1" applyFont="1" applyFill="1" applyBorder="1"/>
    <xf numFmtId="170" fontId="19" fillId="0" borderId="0" xfId="1" applyNumberFormat="1" applyFont="1" applyAlignment="1">
      <alignment vertical="center"/>
    </xf>
    <xf numFmtId="170" fontId="18" fillId="7" borderId="16" xfId="1" applyNumberFormat="1" applyFont="1" applyFill="1" applyBorder="1" applyAlignment="1">
      <alignment horizontal="right" vertical="center"/>
    </xf>
    <xf numFmtId="170" fontId="18" fillId="0" borderId="19" xfId="1" applyNumberFormat="1" applyFont="1" applyBorder="1" applyAlignment="1">
      <alignment horizontal="right" vertical="center"/>
    </xf>
    <xf numFmtId="170" fontId="18" fillId="0" borderId="19" xfId="1" applyNumberFormat="1" applyFont="1" applyBorder="1" applyAlignment="1">
      <alignment vertical="center"/>
    </xf>
    <xf numFmtId="170" fontId="18" fillId="8" borderId="16" xfId="1" applyNumberFormat="1" applyFont="1" applyFill="1" applyBorder="1" applyAlignment="1">
      <alignment vertical="center"/>
    </xf>
    <xf numFmtId="167" fontId="19" fillId="0" borderId="14" xfId="0" applyNumberFormat="1" applyFont="1" applyBorder="1" applyAlignment="1">
      <alignment wrapText="1"/>
    </xf>
    <xf numFmtId="40" fontId="18" fillId="10" borderId="20" xfId="0" applyNumberFormat="1" applyFont="1" applyFill="1" applyBorder="1" applyAlignment="1">
      <alignment wrapText="1"/>
    </xf>
    <xf numFmtId="40" fontId="15" fillId="6" borderId="4" xfId="0" applyNumberFormat="1" applyFont="1" applyFill="1" applyBorder="1"/>
    <xf numFmtId="0" fontId="14" fillId="0" borderId="4" xfId="0" applyFont="1" applyBorder="1" applyAlignment="1">
      <alignment horizontal="left" vertical="top" wrapText="1"/>
    </xf>
    <xf numFmtId="0" fontId="14" fillId="0" borderId="0" xfId="0" applyFont="1" applyAlignment="1">
      <alignment horizontal="left" wrapText="1"/>
    </xf>
    <xf numFmtId="44" fontId="14" fillId="0" borderId="0" xfId="0" applyNumberFormat="1" applyFont="1" applyAlignment="1">
      <alignment horizontal="left" wrapText="1"/>
    </xf>
    <xf numFmtId="0" fontId="14" fillId="0" borderId="0" xfId="0" applyFont="1" applyAlignment="1">
      <alignment vertical="center" wrapText="1"/>
    </xf>
    <xf numFmtId="14" fontId="14" fillId="0" borderId="42" xfId="0" applyNumberFormat="1" applyFont="1" applyBorder="1" applyAlignment="1">
      <alignment horizontal="left"/>
    </xf>
    <xf numFmtId="0" fontId="14" fillId="0" borderId="0" xfId="0" applyFont="1" applyAlignment="1">
      <alignment horizontal="left" vertical="center"/>
    </xf>
    <xf numFmtId="44" fontId="14" fillId="0" borderId="0" xfId="0" applyNumberFormat="1" applyFont="1" applyAlignment="1">
      <alignment horizontal="right"/>
    </xf>
    <xf numFmtId="44" fontId="18" fillId="5" borderId="16" xfId="0" applyNumberFormat="1" applyFont="1" applyFill="1" applyBorder="1" applyAlignment="1">
      <alignment horizontal="right" vertical="center" wrapText="1"/>
    </xf>
    <xf numFmtId="0" fontId="14" fillId="0" borderId="0" xfId="0" applyFont="1" applyProtection="1">
      <protection locked="0"/>
    </xf>
    <xf numFmtId="44" fontId="14" fillId="0" borderId="0" xfId="0" applyNumberFormat="1" applyFont="1" applyProtection="1">
      <protection locked="0"/>
    </xf>
    <xf numFmtId="8" fontId="14" fillId="0" borderId="0" xfId="0" applyNumberFormat="1" applyFont="1" applyProtection="1">
      <protection locked="0"/>
    </xf>
    <xf numFmtId="49" fontId="15" fillId="7" borderId="48" xfId="0" applyNumberFormat="1" applyFont="1" applyFill="1" applyBorder="1" applyAlignment="1" applyProtection="1">
      <alignment horizontal="center"/>
      <protection locked="0"/>
    </xf>
    <xf numFmtId="0" fontId="38" fillId="3" borderId="4" xfId="0" applyFont="1" applyFill="1" applyBorder="1" applyAlignment="1" applyProtection="1">
      <alignment horizontal="center" vertical="center" wrapText="1"/>
      <protection locked="0"/>
    </xf>
    <xf numFmtId="44" fontId="38" fillId="3" borderId="3" xfId="0" applyNumberFormat="1" applyFont="1" applyFill="1" applyBorder="1" applyAlignment="1" applyProtection="1">
      <alignment horizontal="center" vertical="center" wrapText="1"/>
      <protection locked="0"/>
    </xf>
    <xf numFmtId="0" fontId="38" fillId="3" borderId="3" xfId="0" applyFont="1" applyFill="1" applyBorder="1" applyAlignment="1" applyProtection="1">
      <alignment horizontal="center" vertical="center" wrapText="1"/>
      <protection locked="0"/>
    </xf>
    <xf numFmtId="10" fontId="38" fillId="3" borderId="3" xfId="0" applyNumberFormat="1" applyFont="1" applyFill="1" applyBorder="1" applyAlignment="1" applyProtection="1">
      <alignment horizontal="center" vertical="center" wrapText="1"/>
      <protection locked="0"/>
    </xf>
    <xf numFmtId="10" fontId="38" fillId="3" borderId="3" xfId="15" applyNumberFormat="1" applyFont="1" applyFill="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44" fontId="21" fillId="0" borderId="4" xfId="0" applyNumberFormat="1" applyFont="1" applyBorder="1" applyAlignment="1" applyProtection="1">
      <alignment horizontal="center" wrapText="1"/>
      <protection locked="0"/>
    </xf>
    <xf numFmtId="0" fontId="21" fillId="0" borderId="4" xfId="0" applyFont="1" applyBorder="1" applyProtection="1">
      <protection locked="0"/>
    </xf>
    <xf numFmtId="0" fontId="21" fillId="0" borderId="4" xfId="0" applyFont="1" applyBorder="1" applyAlignment="1" applyProtection="1">
      <alignment horizontal="center" wrapText="1"/>
      <protection locked="0"/>
    </xf>
    <xf numFmtId="10" fontId="21" fillId="0" borderId="4" xfId="0" applyNumberFormat="1" applyFont="1" applyBorder="1" applyAlignment="1">
      <alignment vertical="center" wrapText="1"/>
    </xf>
    <xf numFmtId="10" fontId="21" fillId="0" borderId="4" xfId="15" applyNumberFormat="1" applyFont="1" applyFill="1" applyBorder="1" applyAlignment="1" applyProtection="1">
      <alignment vertical="center" wrapText="1"/>
    </xf>
    <xf numFmtId="0" fontId="22" fillId="7" borderId="4" xfId="0" applyFont="1" applyFill="1" applyBorder="1" applyAlignment="1" applyProtection="1">
      <alignment horizontal="center" vertical="center" wrapText="1"/>
      <protection locked="0"/>
    </xf>
    <xf numFmtId="0" fontId="14" fillId="0" borderId="4" xfId="0" applyFont="1" applyBorder="1" applyAlignment="1" applyProtection="1">
      <alignment vertical="center"/>
      <protection locked="0"/>
    </xf>
    <xf numFmtId="44" fontId="14" fillId="0" borderId="4" xfId="0" applyNumberFormat="1" applyFont="1" applyBorder="1" applyAlignment="1" applyProtection="1">
      <alignment vertical="center"/>
      <protection locked="0"/>
    </xf>
    <xf numFmtId="44" fontId="14" fillId="0" borderId="4" xfId="0" applyNumberFormat="1" applyFont="1" applyBorder="1" applyAlignment="1">
      <alignment vertical="center"/>
    </xf>
    <xf numFmtId="10" fontId="14" fillId="0" borderId="4" xfId="0" applyNumberFormat="1" applyFont="1" applyBorder="1" applyAlignment="1">
      <alignment vertical="center"/>
    </xf>
    <xf numFmtId="14" fontId="14" fillId="0" borderId="4" xfId="0" applyNumberFormat="1" applyFont="1" applyBorder="1" applyAlignment="1" applyProtection="1">
      <alignment horizontal="right" vertical="center"/>
      <protection locked="0"/>
    </xf>
    <xf numFmtId="14" fontId="14" fillId="0" borderId="4" xfId="0" applyNumberFormat="1" applyFont="1" applyBorder="1" applyAlignment="1" applyProtection="1">
      <alignment horizontal="right" vertical="center" wrapText="1"/>
      <protection locked="0"/>
    </xf>
    <xf numFmtId="0" fontId="11" fillId="0" borderId="4" xfId="0" applyFont="1" applyBorder="1" applyAlignment="1" applyProtection="1">
      <alignment vertical="center"/>
      <protection locked="0"/>
    </xf>
    <xf numFmtId="0" fontId="27" fillId="0" borderId="4" xfId="0" applyFont="1" applyBorder="1" applyProtection="1">
      <protection locked="0"/>
    </xf>
    <xf numFmtId="0" fontId="14" fillId="0" borderId="51" xfId="0" applyFont="1" applyBorder="1" applyAlignment="1" applyProtection="1">
      <alignment vertical="center"/>
      <protection locked="0"/>
    </xf>
    <xf numFmtId="0" fontId="14" fillId="0" borderId="1" xfId="0" applyFont="1" applyBorder="1" applyAlignment="1" applyProtection="1">
      <alignment vertical="center"/>
      <protection locked="0"/>
    </xf>
    <xf numFmtId="44" fontId="14" fillId="0" borderId="1" xfId="0" applyNumberFormat="1" applyFont="1" applyBorder="1" applyAlignment="1">
      <alignment vertical="center"/>
    </xf>
    <xf numFmtId="14" fontId="14" fillId="0" borderId="1" xfId="0" applyNumberFormat="1" applyFont="1" applyBorder="1" applyAlignment="1" applyProtection="1">
      <alignment horizontal="right" vertical="center"/>
      <protection locked="0"/>
    </xf>
    <xf numFmtId="0" fontId="11" fillId="0" borderId="1" xfId="0" applyFont="1" applyBorder="1" applyAlignment="1" applyProtection="1">
      <alignment vertical="center"/>
      <protection locked="0"/>
    </xf>
    <xf numFmtId="0" fontId="14" fillId="0" borderId="52" xfId="0" applyFont="1" applyBorder="1" applyAlignment="1" applyProtection="1">
      <alignment vertical="center"/>
      <protection locked="0"/>
    </xf>
    <xf numFmtId="44" fontId="14" fillId="0" borderId="1" xfId="0" applyNumberFormat="1" applyFont="1" applyBorder="1" applyAlignment="1" applyProtection="1">
      <alignment vertical="center"/>
      <protection locked="0"/>
    </xf>
    <xf numFmtId="14" fontId="14" fillId="0" borderId="1" xfId="0" applyNumberFormat="1" applyFont="1" applyBorder="1" applyAlignment="1" applyProtection="1">
      <alignment horizontal="right" vertical="center" wrapText="1"/>
      <protection locked="0"/>
    </xf>
    <xf numFmtId="14" fontId="14" fillId="0" borderId="1" xfId="0" applyNumberFormat="1" applyFont="1" applyBorder="1" applyAlignment="1" applyProtection="1">
      <alignment horizontal="right" wrapText="1"/>
      <protection locked="0"/>
    </xf>
    <xf numFmtId="0" fontId="14" fillId="0" borderId="3" xfId="0" applyFont="1" applyBorder="1" applyProtection="1">
      <protection locked="0"/>
    </xf>
    <xf numFmtId="44" fontId="14" fillId="0" borderId="3" xfId="0" applyNumberFormat="1" applyFont="1" applyBorder="1" applyAlignment="1" applyProtection="1">
      <alignment horizontal="center" vertical="center"/>
      <protection locked="0"/>
    </xf>
    <xf numFmtId="44" fontId="14" fillId="0" borderId="3" xfId="0" applyNumberFormat="1" applyFont="1" applyBorder="1" applyProtection="1">
      <protection locked="0"/>
    </xf>
    <xf numFmtId="14" fontId="14" fillId="0" borderId="3" xfId="0" applyNumberFormat="1" applyFont="1" applyBorder="1" applyAlignment="1" applyProtection="1">
      <alignment horizontal="center" vertical="center"/>
      <protection locked="0"/>
    </xf>
    <xf numFmtId="14" fontId="14" fillId="0" borderId="3" xfId="0" applyNumberFormat="1" applyFont="1" applyBorder="1" applyAlignment="1" applyProtection="1">
      <alignment horizontal="right" vertical="center" wrapText="1"/>
      <protection locked="0"/>
    </xf>
    <xf numFmtId="0" fontId="11" fillId="0" borderId="3" xfId="0" applyFont="1" applyBorder="1" applyProtection="1">
      <protection locked="0"/>
    </xf>
    <xf numFmtId="0" fontId="27" fillId="0" borderId="3" xfId="0" applyFont="1" applyBorder="1" applyProtection="1">
      <protection locked="0"/>
    </xf>
    <xf numFmtId="0" fontId="14" fillId="0" borderId="4" xfId="0" applyFont="1" applyBorder="1" applyProtection="1">
      <protection locked="0"/>
    </xf>
    <xf numFmtId="44" fontId="14" fillId="0" borderId="4" xfId="0" applyNumberFormat="1" applyFont="1" applyBorder="1" applyAlignment="1" applyProtection="1">
      <alignment horizontal="center" vertical="center"/>
      <protection locked="0"/>
    </xf>
    <xf numFmtId="44" fontId="14" fillId="0" borderId="4" xfId="0" applyNumberFormat="1" applyFont="1" applyBorder="1" applyProtection="1">
      <protection locked="0"/>
    </xf>
    <xf numFmtId="14" fontId="14" fillId="0" borderId="4" xfId="0" applyNumberFormat="1" applyFont="1" applyBorder="1" applyAlignment="1" applyProtection="1">
      <alignment horizontal="center" vertical="center"/>
      <protection locked="0"/>
    </xf>
    <xf numFmtId="0" fontId="11" fillId="0" borderId="4" xfId="0" applyFont="1" applyBorder="1" applyProtection="1">
      <protection locked="0"/>
    </xf>
    <xf numFmtId="10" fontId="14" fillId="0" borderId="1" xfId="0" applyNumberFormat="1" applyFont="1" applyBorder="1" applyAlignment="1">
      <alignment vertical="center"/>
    </xf>
    <xf numFmtId="14" fontId="14" fillId="0" borderId="4" xfId="0" applyNumberFormat="1" applyFont="1" applyBorder="1" applyAlignment="1" applyProtection="1">
      <alignment horizontal="right"/>
      <protection locked="0"/>
    </xf>
    <xf numFmtId="14" fontId="14" fillId="0" borderId="4" xfId="0" applyNumberFormat="1" applyFont="1" applyBorder="1" applyAlignment="1" applyProtection="1">
      <alignment horizontal="right" wrapText="1"/>
      <protection locked="0"/>
    </xf>
    <xf numFmtId="14" fontId="14" fillId="0" borderId="4" xfId="0" applyNumberFormat="1" applyFont="1" applyBorder="1" applyAlignment="1" applyProtection="1">
      <alignment horizontal="center"/>
      <protection locked="0"/>
    </xf>
    <xf numFmtId="0" fontId="14" fillId="0" borderId="51" xfId="0" applyFont="1" applyBorder="1" applyProtection="1">
      <protection locked="0"/>
    </xf>
    <xf numFmtId="10" fontId="14" fillId="0" borderId="1" xfId="0" applyNumberFormat="1" applyFont="1" applyBorder="1" applyAlignment="1" applyProtection="1">
      <alignment vertical="center"/>
      <protection locked="0"/>
    </xf>
    <xf numFmtId="14" fontId="14" fillId="0" borderId="4" xfId="0" applyNumberFormat="1" applyFont="1" applyBorder="1" applyProtection="1">
      <protection locked="0"/>
    </xf>
    <xf numFmtId="0" fontId="14" fillId="0" borderId="47" xfId="0" applyFont="1" applyBorder="1" applyAlignment="1" applyProtection="1">
      <alignment vertical="center" wrapText="1"/>
      <protection locked="0"/>
    </xf>
    <xf numFmtId="0" fontId="14" fillId="0" borderId="1" xfId="0" applyFont="1" applyBorder="1" applyProtection="1">
      <protection locked="0"/>
    </xf>
    <xf numFmtId="44" fontId="14" fillId="0" borderId="1" xfId="0" applyNumberFormat="1" applyFont="1" applyBorder="1" applyProtection="1">
      <protection locked="0"/>
    </xf>
    <xf numFmtId="44" fontId="14" fillId="0" borderId="1" xfId="0" applyNumberFormat="1" applyFont="1" applyBorder="1"/>
    <xf numFmtId="14" fontId="14" fillId="0" borderId="1" xfId="0" applyNumberFormat="1" applyFont="1" applyBorder="1" applyAlignment="1" applyProtection="1">
      <alignment horizontal="center"/>
      <protection locked="0"/>
    </xf>
    <xf numFmtId="14" fontId="14" fillId="0" borderId="1" xfId="0" applyNumberFormat="1" applyFont="1" applyBorder="1" applyAlignment="1" applyProtection="1">
      <alignment horizontal="right"/>
      <protection locked="0"/>
    </xf>
    <xf numFmtId="0" fontId="11" fillId="0" borderId="1" xfId="0" applyFont="1" applyBorder="1" applyProtection="1">
      <protection locked="0"/>
    </xf>
    <xf numFmtId="0" fontId="14" fillId="0" borderId="52" xfId="0" applyFont="1" applyBorder="1" applyProtection="1">
      <protection locked="0"/>
    </xf>
    <xf numFmtId="10" fontId="14" fillId="0" borderId="1" xfId="0" applyNumberFormat="1" applyFont="1" applyBorder="1" applyProtection="1">
      <protection locked="0"/>
    </xf>
    <xf numFmtId="14" fontId="14" fillId="0" borderId="1" xfId="0" applyNumberFormat="1" applyFont="1" applyBorder="1" applyProtection="1">
      <protection locked="0"/>
    </xf>
    <xf numFmtId="0" fontId="15" fillId="0" borderId="26" xfId="0" applyFont="1" applyBorder="1" applyAlignment="1">
      <alignment horizontal="left" wrapText="1"/>
    </xf>
    <xf numFmtId="0" fontId="15" fillId="0" borderId="23" xfId="0" applyFont="1" applyBorder="1" applyAlignment="1">
      <alignment horizontal="left" wrapText="1" indent="1"/>
    </xf>
    <xf numFmtId="0" fontId="15" fillId="0" borderId="23" xfId="0" applyFont="1" applyBorder="1" applyAlignment="1">
      <alignment horizontal="left" wrapText="1" indent="2"/>
    </xf>
    <xf numFmtId="0" fontId="15" fillId="0" borderId="23" xfId="0" applyFont="1" applyBorder="1" applyAlignment="1">
      <alignment horizontal="left" wrapText="1" indent="3"/>
    </xf>
    <xf numFmtId="0" fontId="15" fillId="0" borderId="23" xfId="0" applyFont="1" applyBorder="1" applyAlignment="1">
      <alignment horizontal="left" wrapText="1"/>
    </xf>
    <xf numFmtId="0" fontId="15" fillId="0" borderId="23" xfId="0" applyFont="1" applyBorder="1" applyAlignment="1">
      <alignment horizontal="left" wrapText="1" indent="4"/>
    </xf>
    <xf numFmtId="0" fontId="15" fillId="0" borderId="23" xfId="0" applyFont="1" applyBorder="1" applyAlignment="1">
      <alignment horizontal="left" wrapText="1" indent="5"/>
    </xf>
    <xf numFmtId="0" fontId="15" fillId="0" borderId="22" xfId="0" applyFont="1" applyBorder="1" applyAlignment="1">
      <alignment horizontal="left" wrapText="1"/>
    </xf>
    <xf numFmtId="40" fontId="15" fillId="0" borderId="27" xfId="0" applyNumberFormat="1" applyFont="1" applyBorder="1" applyAlignment="1">
      <alignment wrapText="1"/>
    </xf>
    <xf numFmtId="40" fontId="15" fillId="0" borderId="19" xfId="0" applyNumberFormat="1" applyFont="1" applyBorder="1" applyAlignment="1">
      <alignment wrapText="1"/>
    </xf>
    <xf numFmtId="40" fontId="15" fillId="0" borderId="24" xfId="0" applyNumberFormat="1" applyFont="1" applyBorder="1" applyAlignment="1">
      <alignment wrapText="1"/>
    </xf>
    <xf numFmtId="40" fontId="15" fillId="0" borderId="31" xfId="0" applyNumberFormat="1" applyFont="1" applyBorder="1" applyAlignment="1">
      <alignment wrapText="1"/>
    </xf>
    <xf numFmtId="0" fontId="14" fillId="0" borderId="18" xfId="0" applyFont="1" applyBorder="1" applyAlignment="1">
      <alignment wrapText="1"/>
    </xf>
    <xf numFmtId="0" fontId="15" fillId="0" borderId="17" xfId="0" applyFont="1" applyBorder="1" applyAlignment="1">
      <alignment wrapText="1"/>
    </xf>
    <xf numFmtId="0" fontId="14" fillId="0" borderId="17" xfId="0" applyFont="1" applyBorder="1" applyAlignment="1">
      <alignment wrapText="1"/>
    </xf>
    <xf numFmtId="0" fontId="14" fillId="0" borderId="16" xfId="0" applyFont="1" applyBorder="1"/>
    <xf numFmtId="0" fontId="18" fillId="7" borderId="21" xfId="4" applyFont="1" applyFill="1" applyBorder="1" applyAlignment="1">
      <alignment horizontal="left" vertical="center"/>
    </xf>
    <xf numFmtId="0" fontId="18" fillId="0" borderId="23" xfId="4" applyFont="1" applyBorder="1" applyAlignment="1">
      <alignment vertical="center"/>
    </xf>
    <xf numFmtId="39" fontId="18" fillId="8" borderId="21" xfId="4" applyNumberFormat="1" applyFont="1" applyFill="1" applyBorder="1" applyAlignment="1">
      <alignment vertical="center"/>
    </xf>
    <xf numFmtId="0" fontId="15" fillId="20" borderId="23" xfId="0" applyFont="1" applyFill="1" applyBorder="1" applyAlignment="1">
      <alignment horizontal="left" wrapText="1"/>
    </xf>
    <xf numFmtId="172" fontId="19" fillId="0" borderId="0" xfId="0" applyNumberFormat="1" applyFont="1"/>
    <xf numFmtId="0" fontId="14" fillId="0" borderId="52" xfId="0" applyFont="1" applyBorder="1" applyAlignment="1" applyProtection="1">
      <alignment vertical="center" wrapText="1"/>
      <protection locked="0"/>
    </xf>
    <xf numFmtId="0" fontId="8" fillId="0" borderId="0" xfId="3" applyBorder="1" applyAlignment="1">
      <alignment horizontal="center"/>
    </xf>
    <xf numFmtId="14" fontId="14" fillId="10" borderId="4" xfId="0" applyNumberFormat="1" applyFont="1" applyFill="1" applyBorder="1" applyAlignment="1">
      <alignment horizontal="left"/>
    </xf>
    <xf numFmtId="0" fontId="19" fillId="10" borderId="4" xfId="0" applyFont="1" applyFill="1" applyBorder="1" applyAlignment="1">
      <alignment horizontal="left"/>
    </xf>
    <xf numFmtId="0" fontId="19" fillId="10" borderId="4" xfId="0" applyFont="1" applyFill="1" applyBorder="1" applyAlignment="1">
      <alignment wrapText="1"/>
    </xf>
    <xf numFmtId="44" fontId="14" fillId="10" borderId="4" xfId="0" applyNumberFormat="1" applyFont="1" applyFill="1" applyBorder="1" applyAlignment="1">
      <alignment horizontal="left"/>
    </xf>
    <xf numFmtId="0" fontId="14" fillId="10" borderId="4" xfId="0" applyFont="1" applyFill="1" applyBorder="1"/>
    <xf numFmtId="40" fontId="18" fillId="7" borderId="15" xfId="0" quotePrefix="1" applyNumberFormat="1" applyFont="1" applyFill="1" applyBorder="1" applyAlignment="1">
      <alignment horizontal="center" wrapText="1"/>
    </xf>
    <xf numFmtId="173" fontId="21" fillId="3" borderId="4" xfId="0" applyNumberFormat="1" applyFont="1" applyFill="1" applyBorder="1" applyAlignment="1">
      <alignment horizontal="center"/>
    </xf>
    <xf numFmtId="7" fontId="21" fillId="3" borderId="4" xfId="1" applyNumberFormat="1" applyFont="1" applyFill="1" applyBorder="1" applyAlignment="1">
      <alignment horizontal="center"/>
    </xf>
    <xf numFmtId="44" fontId="15" fillId="0" borderId="21" xfId="0" applyNumberFormat="1" applyFont="1" applyBorder="1"/>
    <xf numFmtId="49" fontId="14" fillId="0" borderId="23" xfId="0" applyNumberFormat="1" applyFont="1" applyBorder="1" applyAlignment="1">
      <alignment vertical="center"/>
    </xf>
    <xf numFmtId="0" fontId="1" fillId="0" borderId="0" xfId="0" applyFont="1"/>
    <xf numFmtId="0" fontId="18" fillId="0" borderId="15" xfId="4" applyFont="1" applyBorder="1" applyAlignment="1">
      <alignment horizontal="left"/>
    </xf>
    <xf numFmtId="0" fontId="19" fillId="0" borderId="14" xfId="4" applyFont="1" applyBorder="1" applyAlignment="1">
      <alignment horizontal="left"/>
    </xf>
    <xf numFmtId="40" fontId="18" fillId="0" borderId="13" xfId="4" applyNumberFormat="1" applyFont="1" applyBorder="1" applyAlignment="1">
      <alignment horizontal="right"/>
    </xf>
    <xf numFmtId="0" fontId="18" fillId="0" borderId="0" xfId="4" applyFont="1"/>
    <xf numFmtId="8" fontId="14" fillId="0" borderId="0" xfId="0" applyNumberFormat="1" applyFont="1"/>
    <xf numFmtId="0" fontId="37" fillId="0" borderId="26" xfId="0" applyFont="1" applyBorder="1" applyProtection="1">
      <protection locked="0"/>
    </xf>
    <xf numFmtId="14" fontId="14" fillId="0" borderId="46" xfId="0" applyNumberFormat="1" applyFont="1" applyBorder="1" applyProtection="1">
      <protection locked="0"/>
    </xf>
    <xf numFmtId="0" fontId="14" fillId="6" borderId="4" xfId="0" applyFont="1" applyFill="1" applyBorder="1" applyProtection="1">
      <protection locked="0"/>
    </xf>
    <xf numFmtId="14" fontId="14" fillId="0" borderId="0" xfId="0" applyNumberFormat="1" applyFont="1" applyProtection="1">
      <protection locked="0"/>
    </xf>
    <xf numFmtId="0" fontId="17" fillId="0" borderId="22" xfId="0" applyFont="1" applyBorder="1" applyProtection="1">
      <protection locked="0"/>
    </xf>
    <xf numFmtId="0" fontId="14" fillId="4" borderId="47" xfId="0" applyFont="1" applyFill="1" applyBorder="1" applyAlignment="1" applyProtection="1">
      <alignment vertical="center"/>
      <protection locked="0"/>
    </xf>
    <xf numFmtId="44" fontId="15" fillId="7" borderId="48" xfId="0" applyNumberFormat="1" applyFont="1" applyFill="1" applyBorder="1"/>
    <xf numFmtId="10" fontId="15" fillId="7" borderId="50" xfId="15" applyNumberFormat="1" applyFont="1" applyFill="1" applyBorder="1" applyProtection="1"/>
    <xf numFmtId="43" fontId="14" fillId="0" borderId="4" xfId="1" applyFont="1" applyBorder="1" applyAlignment="1" applyProtection="1">
      <alignment vertical="center"/>
    </xf>
    <xf numFmtId="0" fontId="14" fillId="0" borderId="7" xfId="0" applyFont="1" applyBorder="1" applyAlignment="1" applyProtection="1">
      <alignment vertical="center"/>
      <protection locked="0"/>
    </xf>
    <xf numFmtId="44" fontId="14" fillId="6" borderId="4" xfId="0" applyNumberFormat="1" applyFont="1" applyFill="1" applyBorder="1" applyAlignment="1" applyProtection="1">
      <alignment vertical="center"/>
      <protection locked="0"/>
    </xf>
    <xf numFmtId="0" fontId="14" fillId="0" borderId="53" xfId="0" applyFont="1" applyBorder="1" applyAlignment="1" applyProtection="1">
      <alignment vertical="center"/>
      <protection locked="0"/>
    </xf>
    <xf numFmtId="44" fontId="14" fillId="6" borderId="1" xfId="0" applyNumberFormat="1" applyFont="1" applyFill="1" applyBorder="1" applyAlignment="1" applyProtection="1">
      <alignment vertical="center"/>
      <protection locked="0"/>
    </xf>
    <xf numFmtId="0" fontId="34" fillId="19" borderId="5" xfId="18" applyFont="1" applyBorder="1" applyAlignment="1" applyProtection="1">
      <alignment horizontal="center" vertical="center" wrapText="1"/>
      <protection locked="0"/>
    </xf>
    <xf numFmtId="0" fontId="34" fillId="19" borderId="5" xfId="18" applyFont="1" applyBorder="1" applyProtection="1">
      <protection locked="0"/>
    </xf>
    <xf numFmtId="44" fontId="34" fillId="19" borderId="5" xfId="18" applyNumberFormat="1" applyFont="1" applyBorder="1" applyAlignment="1" applyProtection="1">
      <alignment horizontal="center" vertical="center"/>
    </xf>
    <xf numFmtId="14" fontId="34" fillId="19" borderId="5" xfId="18" applyNumberFormat="1" applyFont="1" applyBorder="1" applyAlignment="1" applyProtection="1">
      <alignment horizontal="center" vertical="center"/>
      <protection locked="0"/>
    </xf>
    <xf numFmtId="14" fontId="34" fillId="19" borderId="5" xfId="18" applyNumberFormat="1" applyFont="1" applyBorder="1" applyAlignment="1" applyProtection="1">
      <alignment horizontal="right" vertical="center" wrapText="1"/>
      <protection locked="0"/>
    </xf>
    <xf numFmtId="0" fontId="15" fillId="7" borderId="4" xfId="0" applyFont="1" applyFill="1" applyBorder="1" applyAlignment="1" applyProtection="1">
      <alignment horizontal="center"/>
      <protection locked="0"/>
    </xf>
    <xf numFmtId="0" fontId="15" fillId="0" borderId="4" xfId="0" applyFont="1" applyBorder="1" applyAlignment="1" applyProtection="1">
      <alignment horizontal="center"/>
      <protection locked="0"/>
    </xf>
    <xf numFmtId="43" fontId="14" fillId="0" borderId="4" xfId="1" applyFont="1" applyFill="1" applyBorder="1" applyAlignment="1" applyProtection="1">
      <alignment vertical="center"/>
    </xf>
    <xf numFmtId="0" fontId="14" fillId="0" borderId="7" xfId="0" applyFont="1" applyBorder="1" applyProtection="1">
      <protection locked="0"/>
    </xf>
    <xf numFmtId="0" fontId="15" fillId="7" borderId="7" xfId="0" applyFont="1" applyFill="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55" xfId="0" applyFont="1" applyBorder="1" applyAlignment="1" applyProtection="1">
      <alignment vertical="center"/>
      <protection locked="0"/>
    </xf>
    <xf numFmtId="43" fontId="14" fillId="0" borderId="1" xfId="1" applyFont="1" applyFill="1" applyBorder="1" applyAlignment="1" applyProtection="1">
      <alignment vertical="center"/>
    </xf>
    <xf numFmtId="0" fontId="14" fillId="0" borderId="53" xfId="0" applyFont="1" applyBorder="1" applyAlignment="1" applyProtection="1">
      <alignment horizontal="left"/>
      <protection locked="0"/>
    </xf>
    <xf numFmtId="0" fontId="34" fillId="0" borderId="53" xfId="18" applyFont="1" applyFill="1" applyBorder="1" applyAlignment="1" applyProtection="1">
      <alignment horizontal="center" vertical="center" wrapText="1"/>
      <protection locked="0"/>
    </xf>
    <xf numFmtId="0" fontId="34" fillId="0" borderId="1" xfId="18" applyFont="1" applyFill="1" applyBorder="1" applyProtection="1">
      <protection locked="0"/>
    </xf>
    <xf numFmtId="44" fontId="34" fillId="0" borderId="1" xfId="18" applyNumberFormat="1" applyFont="1" applyFill="1" applyBorder="1" applyAlignment="1" applyProtection="1">
      <alignment horizontal="center" vertical="center"/>
      <protection locked="0"/>
    </xf>
    <xf numFmtId="14" fontId="34" fillId="0" borderId="1" xfId="18" applyNumberFormat="1" applyFont="1" applyFill="1" applyBorder="1" applyAlignment="1" applyProtection="1">
      <alignment horizontal="center" vertical="center"/>
      <protection locked="0"/>
    </xf>
    <xf numFmtId="14" fontId="34" fillId="0" borderId="1" xfId="18" applyNumberFormat="1" applyFont="1" applyFill="1" applyBorder="1" applyAlignment="1" applyProtection="1">
      <alignment horizontal="right" vertical="center" wrapText="1"/>
      <protection locked="0"/>
    </xf>
    <xf numFmtId="0" fontId="34" fillId="0" borderId="52" xfId="18" applyFont="1" applyFill="1" applyBorder="1" applyProtection="1">
      <protection locked="0"/>
    </xf>
    <xf numFmtId="0" fontId="14" fillId="0" borderId="7" xfId="0" applyFont="1" applyBorder="1" applyAlignment="1" applyProtection="1">
      <alignment horizontal="left"/>
      <protection locked="0"/>
    </xf>
    <xf numFmtId="44" fontId="14" fillId="6" borderId="4" xfId="0" applyNumberFormat="1" applyFont="1" applyFill="1" applyBorder="1" applyAlignment="1" applyProtection="1">
      <alignment horizontal="center" vertical="center"/>
      <protection locked="0"/>
    </xf>
    <xf numFmtId="43" fontId="14" fillId="0" borderId="4" xfId="1" applyFont="1" applyFill="1" applyBorder="1" applyProtection="1"/>
    <xf numFmtId="14" fontId="14" fillId="6" borderId="4" xfId="0" applyNumberFormat="1" applyFont="1" applyFill="1" applyBorder="1" applyAlignment="1" applyProtection="1">
      <alignment horizontal="center" vertical="center"/>
      <protection locked="0"/>
    </xf>
    <xf numFmtId="44" fontId="14" fillId="6" borderId="4" xfId="0" applyNumberFormat="1" applyFont="1" applyFill="1" applyBorder="1" applyProtection="1">
      <protection locked="0"/>
    </xf>
    <xf numFmtId="43" fontId="14" fillId="0" borderId="1" xfId="1" applyFont="1" applyFill="1" applyBorder="1" applyProtection="1"/>
    <xf numFmtId="14" fontId="14" fillId="6" borderId="1" xfId="0" applyNumberFormat="1" applyFont="1" applyFill="1" applyBorder="1" applyAlignment="1" applyProtection="1">
      <alignment horizontal="center"/>
      <protection locked="0"/>
    </xf>
    <xf numFmtId="14" fontId="14" fillId="6" borderId="1" xfId="0" applyNumberFormat="1" applyFont="1" applyFill="1" applyBorder="1" applyAlignment="1" applyProtection="1">
      <alignment horizontal="right"/>
      <protection locked="0"/>
    </xf>
    <xf numFmtId="0" fontId="14" fillId="0" borderId="53" xfId="0" applyFont="1" applyBorder="1" applyProtection="1">
      <protection locked="0"/>
    </xf>
    <xf numFmtId="0" fontId="19" fillId="0" borderId="0" xfId="4" applyFont="1" applyAlignment="1">
      <alignment horizontal="left" wrapText="1"/>
    </xf>
    <xf numFmtId="40" fontId="18" fillId="0" borderId="0" xfId="4" applyNumberFormat="1" applyFont="1" applyAlignment="1">
      <alignment horizontal="right" vertical="center"/>
    </xf>
    <xf numFmtId="40" fontId="18" fillId="0" borderId="0" xfId="4" applyNumberFormat="1" applyFont="1" applyAlignment="1">
      <alignment vertical="center"/>
    </xf>
    <xf numFmtId="8" fontId="18" fillId="7" borderId="18" xfId="4" applyNumberFormat="1" applyFont="1" applyFill="1" applyBorder="1" applyAlignment="1">
      <alignment horizontal="right" vertical="center"/>
    </xf>
    <xf numFmtId="40" fontId="19" fillId="0" borderId="20" xfId="0" applyNumberFormat="1" applyFont="1" applyBorder="1" applyAlignment="1">
      <alignment horizontal="right" wrapText="1"/>
    </xf>
    <xf numFmtId="40" fontId="18" fillId="7" borderId="14" xfId="0" quotePrefix="1" applyNumberFormat="1" applyFont="1" applyFill="1" applyBorder="1" applyAlignment="1">
      <alignment horizontal="center" wrapText="1"/>
    </xf>
    <xf numFmtId="40" fontId="18" fillId="10" borderId="17" xfId="0" applyNumberFormat="1" applyFont="1" applyFill="1" applyBorder="1" applyAlignment="1">
      <alignment wrapText="1"/>
    </xf>
    <xf numFmtId="40" fontId="18" fillId="10" borderId="12" xfId="0" applyNumberFormat="1" applyFont="1" applyFill="1" applyBorder="1" applyAlignment="1">
      <alignment wrapText="1"/>
    </xf>
    <xf numFmtId="40" fontId="18" fillId="0" borderId="12" xfId="0" applyNumberFormat="1" applyFont="1" applyBorder="1" applyAlignment="1">
      <alignment wrapText="1"/>
    </xf>
    <xf numFmtId="40" fontId="18" fillId="10" borderId="0" xfId="0" applyNumberFormat="1" applyFont="1" applyFill="1" applyAlignment="1">
      <alignment wrapText="1"/>
    </xf>
    <xf numFmtId="40" fontId="19" fillId="0" borderId="14" xfId="0" applyNumberFormat="1" applyFont="1" applyBorder="1" applyAlignment="1">
      <alignment wrapText="1"/>
    </xf>
    <xf numFmtId="170" fontId="19" fillId="0" borderId="19" xfId="0" applyNumberFormat="1" applyFont="1" applyBorder="1" applyAlignment="1">
      <alignment wrapText="1"/>
    </xf>
    <xf numFmtId="170" fontId="18" fillId="10" borderId="16" xfId="0" applyNumberFormat="1" applyFont="1" applyFill="1" applyBorder="1" applyAlignment="1">
      <alignment wrapText="1"/>
    </xf>
    <xf numFmtId="170" fontId="18" fillId="10" borderId="24" xfId="0" applyNumberFormat="1" applyFont="1" applyFill="1" applyBorder="1" applyAlignment="1">
      <alignment wrapText="1"/>
    </xf>
    <xf numFmtId="170" fontId="18" fillId="0" borderId="24" xfId="0" applyNumberFormat="1" applyFont="1" applyBorder="1" applyAlignment="1">
      <alignment wrapText="1"/>
    </xf>
    <xf numFmtId="170" fontId="18" fillId="10" borderId="19" xfId="0" applyNumberFormat="1" applyFont="1" applyFill="1" applyBorder="1" applyAlignment="1">
      <alignment wrapText="1"/>
    </xf>
    <xf numFmtId="170" fontId="19" fillId="0" borderId="13" xfId="0" applyNumberFormat="1" applyFont="1" applyBorder="1" applyAlignment="1">
      <alignment wrapText="1"/>
    </xf>
    <xf numFmtId="170" fontId="19" fillId="0" borderId="0" xfId="0" applyNumberFormat="1" applyFont="1" applyAlignment="1">
      <alignment wrapText="1"/>
    </xf>
    <xf numFmtId="170" fontId="19" fillId="0" borderId="14" xfId="0" applyNumberFormat="1" applyFont="1" applyBorder="1" applyAlignment="1">
      <alignment wrapText="1"/>
    </xf>
    <xf numFmtId="170" fontId="19" fillId="0" borderId="19" xfId="0" applyNumberFormat="1" applyFont="1" applyBorder="1" applyAlignment="1">
      <alignment horizontal="right" wrapText="1"/>
    </xf>
    <xf numFmtId="170" fontId="18" fillId="20" borderId="24" xfId="0" applyNumberFormat="1" applyFont="1" applyFill="1" applyBorder="1" applyAlignment="1">
      <alignment horizontal="right" wrapText="1"/>
    </xf>
    <xf numFmtId="170" fontId="18" fillId="0" borderId="24" xfId="0" applyNumberFormat="1" applyFont="1" applyBorder="1" applyAlignment="1">
      <alignment horizontal="right" wrapText="1"/>
    </xf>
    <xf numFmtId="170" fontId="24" fillId="0" borderId="22" xfId="4" applyNumberFormat="1" applyFont="1" applyBorder="1" applyAlignment="1">
      <alignment horizontal="left" vertical="center"/>
    </xf>
    <xf numFmtId="40" fontId="18" fillId="14" borderId="17" xfId="0" quotePrefix="1" applyNumberFormat="1" applyFont="1" applyFill="1" applyBorder="1" applyAlignment="1">
      <alignment horizontal="center" wrapText="1"/>
    </xf>
    <xf numFmtId="0" fontId="14" fillId="6" borderId="21" xfId="0" applyFont="1" applyFill="1" applyBorder="1" applyAlignment="1">
      <alignment horizontal="left" wrapText="1"/>
    </xf>
    <xf numFmtId="8" fontId="18" fillId="7" borderId="17" xfId="4" applyNumberFormat="1" applyFont="1" applyFill="1" applyBorder="1" applyAlignment="1">
      <alignment horizontal="right" vertical="center"/>
    </xf>
    <xf numFmtId="4" fontId="14" fillId="0" borderId="4" xfId="5" applyNumberFormat="1" applyFont="1" applyBorder="1"/>
    <xf numFmtId="4" fontId="40" fillId="0" borderId="4" xfId="5" applyNumberFormat="1" applyFont="1" applyBorder="1"/>
    <xf numFmtId="164" fontId="14" fillId="0" borderId="4" xfId="5" applyFont="1" applyBorder="1"/>
    <xf numFmtId="0" fontId="1" fillId="0" borderId="0" xfId="16" applyFont="1" applyAlignment="1">
      <alignment wrapText="1"/>
    </xf>
    <xf numFmtId="4" fontId="34" fillId="0" borderId="12" xfId="16" applyNumberFormat="1" applyFont="1" applyBorder="1" applyAlignment="1">
      <alignment wrapText="1"/>
    </xf>
    <xf numFmtId="0" fontId="34" fillId="0" borderId="0" xfId="16" applyFont="1" applyAlignment="1">
      <alignment horizontal="left" wrapText="1"/>
    </xf>
    <xf numFmtId="4" fontId="1" fillId="0" borderId="0" xfId="16" applyNumberFormat="1" applyFont="1" applyAlignment="1">
      <alignment wrapText="1"/>
    </xf>
    <xf numFmtId="0" fontId="1" fillId="0" borderId="0" xfId="16" applyFont="1" applyAlignment="1">
      <alignment horizontal="left" wrapText="1" indent="1"/>
    </xf>
    <xf numFmtId="0" fontId="1" fillId="0" borderId="0" xfId="16" applyFont="1" applyAlignment="1">
      <alignment horizontal="left" wrapText="1"/>
    </xf>
    <xf numFmtId="0" fontId="34" fillId="0" borderId="0" xfId="16" applyFont="1" applyAlignment="1">
      <alignment horizontal="left" wrapText="1" indent="1"/>
    </xf>
    <xf numFmtId="0" fontId="1" fillId="0" borderId="0" xfId="16" applyFont="1" applyAlignment="1">
      <alignment horizontal="left" wrapText="1" indent="2"/>
    </xf>
    <xf numFmtId="0" fontId="34" fillId="0" borderId="8" xfId="17" applyFont="1" applyAlignment="1">
      <alignment horizontal="center" wrapText="1"/>
    </xf>
    <xf numFmtId="0" fontId="34" fillId="6" borderId="0" xfId="16" applyFont="1" applyFill="1" applyAlignment="1">
      <alignment horizontal="left" wrapText="1"/>
    </xf>
    <xf numFmtId="4" fontId="34" fillId="6" borderId="12" xfId="16" applyNumberFormat="1" applyFont="1" applyFill="1" applyBorder="1" applyAlignment="1">
      <alignment wrapText="1"/>
    </xf>
    <xf numFmtId="0" fontId="1" fillId="6" borderId="0" xfId="16" applyFont="1" applyFill="1"/>
    <xf numFmtId="40" fontId="14" fillId="0" borderId="4" xfId="5" applyNumberFormat="1" applyFont="1" applyBorder="1"/>
    <xf numFmtId="40" fontId="0" fillId="0" borderId="0" xfId="0" applyNumberFormat="1"/>
    <xf numFmtId="0" fontId="15" fillId="0" borderId="42" xfId="0" applyFont="1" applyBorder="1"/>
    <xf numFmtId="0" fontId="15" fillId="0" borderId="58" xfId="0" applyFont="1" applyBorder="1"/>
    <xf numFmtId="4" fontId="14" fillId="0" borderId="59" xfId="5" applyNumberFormat="1" applyFont="1" applyBorder="1"/>
    <xf numFmtId="40" fontId="14" fillId="0" borderId="59" xfId="5" applyNumberFormat="1" applyFont="1" applyBorder="1"/>
    <xf numFmtId="164" fontId="14" fillId="0" borderId="59" xfId="5" applyFont="1" applyBorder="1"/>
    <xf numFmtId="0" fontId="15" fillId="0" borderId="48" xfId="0" applyFont="1" applyBorder="1"/>
    <xf numFmtId="164" fontId="15" fillId="0" borderId="49" xfId="5" applyFont="1" applyFill="1" applyBorder="1"/>
    <xf numFmtId="40" fontId="41" fillId="0" borderId="49" xfId="5" applyNumberFormat="1" applyFont="1" applyFill="1" applyBorder="1"/>
    <xf numFmtId="40" fontId="15" fillId="0" borderId="49" xfId="5" applyNumberFormat="1" applyFont="1" applyFill="1" applyBorder="1"/>
    <xf numFmtId="0" fontId="18" fillId="7" borderId="18" xfId="4" applyFont="1" applyFill="1" applyBorder="1" applyAlignment="1">
      <alignment horizontal="left" vertical="center"/>
    </xf>
    <xf numFmtId="0" fontId="18" fillId="0" borderId="20" xfId="4" applyFont="1" applyBorder="1" applyAlignment="1">
      <alignment horizontal="left" vertical="center"/>
    </xf>
    <xf numFmtId="0" fontId="18" fillId="0" borderId="20" xfId="4" applyFont="1" applyBorder="1" applyAlignment="1">
      <alignment vertical="center"/>
    </xf>
    <xf numFmtId="39" fontId="18" fillId="8" borderId="18" xfId="4" applyNumberFormat="1" applyFont="1" applyFill="1" applyBorder="1" applyAlignment="1">
      <alignment vertical="center"/>
    </xf>
    <xf numFmtId="167" fontId="19" fillId="0" borderId="19" xfId="0" applyNumberFormat="1" applyFont="1" applyBorder="1" applyAlignment="1">
      <alignment wrapText="1"/>
    </xf>
    <xf numFmtId="40" fontId="18" fillId="0" borderId="19" xfId="4" applyNumberFormat="1" applyFont="1" applyBorder="1" applyAlignment="1">
      <alignment horizontal="right" vertical="center"/>
    </xf>
    <xf numFmtId="40" fontId="18" fillId="7" borderId="20" xfId="4" applyNumberFormat="1" applyFont="1" applyFill="1" applyBorder="1" applyAlignment="1">
      <alignment horizontal="right" vertical="center"/>
    </xf>
    <xf numFmtId="40" fontId="18" fillId="0" borderId="19" xfId="4" applyNumberFormat="1" applyFont="1" applyBorder="1" applyAlignment="1">
      <alignment vertical="center"/>
    </xf>
    <xf numFmtId="40" fontId="18" fillId="8" borderId="16" xfId="4" applyNumberFormat="1" applyFont="1" applyFill="1" applyBorder="1" applyAlignment="1">
      <alignment vertical="center"/>
    </xf>
    <xf numFmtId="10" fontId="18" fillId="0" borderId="19" xfId="15" applyNumberFormat="1" applyFont="1" applyBorder="1" applyAlignment="1">
      <alignment horizontal="right" vertical="center"/>
    </xf>
    <xf numFmtId="10" fontId="18" fillId="0" borderId="19" xfId="15" applyNumberFormat="1" applyFont="1" applyBorder="1" applyAlignment="1">
      <alignment vertical="center"/>
    </xf>
    <xf numFmtId="40" fontId="18" fillId="20" borderId="12" xfId="0" applyNumberFormat="1" applyFont="1" applyFill="1" applyBorder="1" applyAlignment="1">
      <alignment horizontal="right" wrapText="1"/>
    </xf>
    <xf numFmtId="174" fontId="19" fillId="0" borderId="0" xfId="0" applyNumberFormat="1" applyFont="1" applyAlignment="1">
      <alignment horizontal="right" wrapText="1"/>
    </xf>
    <xf numFmtId="10" fontId="18" fillId="7" borderId="16" xfId="15" applyNumberFormat="1" applyFont="1" applyFill="1" applyBorder="1" applyAlignment="1">
      <alignment horizontal="right" vertical="center"/>
    </xf>
    <xf numFmtId="40" fontId="18" fillId="7" borderId="0" xfId="4" applyNumberFormat="1" applyFont="1" applyFill="1" applyAlignment="1">
      <alignment horizontal="right" vertical="center"/>
    </xf>
    <xf numFmtId="0" fontId="18" fillId="7" borderId="29" xfId="4" applyFont="1" applyFill="1" applyBorder="1" applyAlignment="1">
      <alignment horizontal="left" vertical="center"/>
    </xf>
    <xf numFmtId="40" fontId="18" fillId="7" borderId="28" xfId="4" applyNumberFormat="1" applyFont="1" applyFill="1" applyBorder="1" applyAlignment="1">
      <alignment horizontal="right" vertical="center"/>
    </xf>
    <xf numFmtId="0" fontId="18" fillId="7" borderId="20" xfId="4" applyFont="1" applyFill="1" applyBorder="1" applyAlignment="1">
      <alignment horizontal="left" vertical="center"/>
    </xf>
    <xf numFmtId="40" fontId="18" fillId="7" borderId="29" xfId="4" applyNumberFormat="1" applyFont="1" applyFill="1" applyBorder="1" applyAlignment="1">
      <alignment horizontal="right" vertical="center"/>
    </xf>
    <xf numFmtId="172" fontId="14" fillId="7" borderId="27" xfId="16" applyNumberFormat="1" applyFont="1" applyFill="1" applyBorder="1" applyAlignment="1">
      <alignment wrapText="1"/>
    </xf>
    <xf numFmtId="172" fontId="14" fillId="0" borderId="19" xfId="16" applyNumberFormat="1" applyFont="1" applyBorder="1" applyAlignment="1">
      <alignment wrapText="1"/>
    </xf>
    <xf numFmtId="172" fontId="14" fillId="7" borderId="19" xfId="16" applyNumberFormat="1" applyFont="1" applyFill="1" applyBorder="1" applyAlignment="1">
      <alignment wrapText="1"/>
    </xf>
    <xf numFmtId="172" fontId="18" fillId="0" borderId="19" xfId="1" applyNumberFormat="1" applyFont="1" applyBorder="1" applyAlignment="1">
      <alignment vertical="center"/>
    </xf>
    <xf numFmtId="172" fontId="18" fillId="8" borderId="16" xfId="4" applyNumberFormat="1" applyFont="1" applyFill="1" applyBorder="1" applyAlignment="1">
      <alignment vertical="center"/>
    </xf>
    <xf numFmtId="0" fontId="8" fillId="0" borderId="2" xfId="3" applyBorder="1" applyAlignment="1">
      <alignment horizontal="center" vertical="center"/>
    </xf>
    <xf numFmtId="10" fontId="19" fillId="0" borderId="0" xfId="15" applyNumberFormat="1" applyFont="1" applyAlignment="1">
      <alignment vertical="center"/>
    </xf>
    <xf numFmtId="2" fontId="19" fillId="0" borderId="0" xfId="1" applyNumberFormat="1" applyFont="1" applyAlignment="1">
      <alignment vertical="center"/>
    </xf>
    <xf numFmtId="0" fontId="19" fillId="0" borderId="0" xfId="1" applyNumberFormat="1" applyFont="1" applyAlignment="1">
      <alignment vertical="center"/>
    </xf>
    <xf numFmtId="170" fontId="19" fillId="0" borderId="23" xfId="4" applyNumberFormat="1" applyFont="1" applyBorder="1" applyAlignment="1">
      <alignment vertical="center"/>
    </xf>
    <xf numFmtId="170" fontId="16" fillId="0" borderId="23" xfId="3" applyNumberFormat="1" applyFont="1" applyBorder="1" applyAlignment="1">
      <alignment vertical="center"/>
    </xf>
    <xf numFmtId="170" fontId="19" fillId="0" borderId="23" xfId="15" applyNumberFormat="1" applyFont="1" applyBorder="1" applyAlignment="1">
      <alignment vertical="center"/>
    </xf>
    <xf numFmtId="170" fontId="19" fillId="0" borderId="23" xfId="15" applyNumberFormat="1" applyFont="1" applyFill="1" applyBorder="1" applyAlignment="1">
      <alignment vertical="center"/>
    </xf>
    <xf numFmtId="170" fontId="19" fillId="0" borderId="22" xfId="4" applyNumberFormat="1" applyFont="1" applyBorder="1" applyAlignment="1">
      <alignment vertical="center"/>
    </xf>
    <xf numFmtId="4" fontId="11" fillId="8" borderId="43" xfId="5" applyNumberFormat="1" applyFont="1" applyFill="1" applyBorder="1" applyAlignment="1">
      <alignment horizontal="center"/>
    </xf>
    <xf numFmtId="4" fontId="11" fillId="8" borderId="60" xfId="5" applyNumberFormat="1" applyFont="1" applyFill="1" applyBorder="1" applyAlignment="1">
      <alignment horizontal="center"/>
    </xf>
    <xf numFmtId="0" fontId="11" fillId="0" borderId="0" xfId="19" applyFont="1"/>
    <xf numFmtId="0" fontId="11" fillId="0" borderId="0" xfId="19" applyFont="1" applyAlignment="1">
      <alignment wrapText="1"/>
    </xf>
    <xf numFmtId="7" fontId="11" fillId="0" borderId="0" xfId="19" applyNumberFormat="1" applyFont="1" applyAlignment="1">
      <alignment horizontal="left"/>
    </xf>
    <xf numFmtId="10" fontId="11" fillId="0" borderId="61" xfId="20" applyNumberFormat="1" applyFont="1" applyFill="1" applyBorder="1" applyAlignment="1">
      <alignment horizontal="right" vertical="top"/>
    </xf>
    <xf numFmtId="10" fontId="22" fillId="9" borderId="50" xfId="20" applyNumberFormat="1" applyFont="1" applyFill="1" applyBorder="1" applyAlignment="1">
      <alignment horizontal="center" vertical="center"/>
    </xf>
    <xf numFmtId="44" fontId="22" fillId="9" borderId="17" xfId="19" applyNumberFormat="1" applyFont="1" applyFill="1" applyBorder="1" applyAlignment="1">
      <alignment horizontal="center" vertical="center"/>
    </xf>
    <xf numFmtId="44" fontId="22" fillId="9" borderId="49" xfId="21" applyFont="1" applyFill="1" applyBorder="1" applyAlignment="1">
      <alignment horizontal="center" vertical="center"/>
    </xf>
    <xf numFmtId="44" fontId="22" fillId="9" borderId="17" xfId="21" applyFont="1" applyFill="1" applyBorder="1" applyAlignment="1">
      <alignment horizontal="center" vertical="center"/>
    </xf>
    <xf numFmtId="10" fontId="22" fillId="9" borderId="49" xfId="20" applyNumberFormat="1" applyFont="1" applyFill="1" applyBorder="1" applyAlignment="1">
      <alignment horizontal="center" vertical="center"/>
    </xf>
    <xf numFmtId="44" fontId="22" fillId="9" borderId="17" xfId="21" quotePrefix="1" applyFont="1" applyFill="1" applyBorder="1" applyAlignment="1">
      <alignment horizontal="center" vertical="center"/>
    </xf>
    <xf numFmtId="0" fontId="22" fillId="9" borderId="49" xfId="19" applyFont="1" applyFill="1" applyBorder="1" applyAlignment="1">
      <alignment horizontal="center" vertical="center"/>
    </xf>
    <xf numFmtId="0" fontId="22" fillId="9" borderId="17" xfId="19" applyFont="1" applyFill="1" applyBorder="1" applyAlignment="1">
      <alignment horizontal="center" vertical="center"/>
    </xf>
    <xf numFmtId="0" fontId="22" fillId="9" borderId="17" xfId="19" applyFont="1" applyFill="1" applyBorder="1" applyAlignment="1">
      <alignment horizontal="left" vertical="center"/>
    </xf>
    <xf numFmtId="0" fontId="22" fillId="9" borderId="49" xfId="19" applyFont="1" applyFill="1" applyBorder="1" applyAlignment="1">
      <alignment horizontal="left" vertical="center"/>
    </xf>
    <xf numFmtId="0" fontId="22" fillId="9" borderId="18" xfId="19" applyFont="1" applyFill="1" applyBorder="1" applyAlignment="1">
      <alignment horizontal="left" vertical="center"/>
    </xf>
    <xf numFmtId="7" fontId="11" fillId="7" borderId="16" xfId="19" applyNumberFormat="1" applyFont="1" applyFill="1" applyBorder="1" applyAlignment="1">
      <alignment horizontal="left"/>
    </xf>
    <xf numFmtId="0" fontId="11" fillId="7" borderId="17" xfId="19" applyFont="1" applyFill="1" applyBorder="1"/>
    <xf numFmtId="0" fontId="11" fillId="7" borderId="17" xfId="19" applyFont="1" applyFill="1" applyBorder="1" applyAlignment="1">
      <alignment wrapText="1"/>
    </xf>
    <xf numFmtId="0" fontId="44" fillId="7" borderId="18" xfId="19" applyFont="1" applyFill="1" applyBorder="1"/>
    <xf numFmtId="0" fontId="44" fillId="7" borderId="21" xfId="19" applyFont="1" applyFill="1" applyBorder="1" applyAlignment="1">
      <alignment wrapText="1"/>
    </xf>
    <xf numFmtId="10" fontId="44" fillId="7" borderId="17" xfId="20" applyNumberFormat="1" applyFont="1" applyFill="1" applyBorder="1" applyAlignment="1">
      <alignment horizontal="right" vertical="top"/>
    </xf>
    <xf numFmtId="10" fontId="44" fillId="7" borderId="50" xfId="20" applyNumberFormat="1" applyFont="1" applyFill="1" applyBorder="1" applyAlignment="1">
      <alignment horizontal="right" vertical="top"/>
    </xf>
    <xf numFmtId="44" fontId="44" fillId="7" borderId="62" xfId="21" applyFont="1" applyFill="1" applyBorder="1" applyAlignment="1">
      <alignment horizontal="right" vertical="top"/>
    </xf>
    <xf numFmtId="44" fontId="44" fillId="7" borderId="48" xfId="21" applyFont="1" applyFill="1" applyBorder="1" applyAlignment="1">
      <alignment horizontal="right" vertical="top"/>
    </xf>
    <xf numFmtId="10" fontId="44" fillId="22" borderId="17" xfId="20" applyNumberFormat="1" applyFont="1" applyFill="1" applyBorder="1" applyAlignment="1">
      <alignment horizontal="right" vertical="top"/>
    </xf>
    <xf numFmtId="0" fontId="44" fillId="7" borderId="50" xfId="19" applyFont="1" applyFill="1" applyBorder="1"/>
    <xf numFmtId="0" fontId="44" fillId="7" borderId="49" xfId="19" applyFont="1" applyFill="1" applyBorder="1"/>
    <xf numFmtId="14" fontId="44" fillId="7" borderId="49" xfId="19" applyNumberFormat="1" applyFont="1" applyFill="1" applyBorder="1" applyAlignment="1">
      <alignment horizontal="left"/>
    </xf>
    <xf numFmtId="0" fontId="44" fillId="7" borderId="49" xfId="19" applyFont="1" applyFill="1" applyBorder="1" applyAlignment="1">
      <alignment wrapText="1"/>
    </xf>
    <xf numFmtId="0" fontId="44" fillId="7" borderId="48" xfId="19" applyFont="1" applyFill="1" applyBorder="1" applyAlignment="1">
      <alignment horizontal="center" wrapText="1"/>
    </xf>
    <xf numFmtId="0" fontId="11" fillId="0" borderId="23" xfId="19" applyFont="1" applyBorder="1" applyAlignment="1">
      <alignment wrapText="1"/>
    </xf>
    <xf numFmtId="7" fontId="11" fillId="0" borderId="63" xfId="19" applyNumberFormat="1" applyFont="1" applyBorder="1" applyAlignment="1">
      <alignment horizontal="left"/>
    </xf>
    <xf numFmtId="0" fontId="11" fillId="0" borderId="2" xfId="19" applyFont="1" applyBorder="1"/>
    <xf numFmtId="0" fontId="11" fillId="0" borderId="20" xfId="19" applyFont="1" applyBorder="1"/>
    <xf numFmtId="0" fontId="11" fillId="22" borderId="0" xfId="19" applyFont="1" applyFill="1"/>
    <xf numFmtId="0" fontId="11" fillId="0" borderId="63" xfId="19" applyFont="1" applyBorder="1"/>
    <xf numFmtId="0" fontId="11" fillId="0" borderId="2" xfId="19" applyFont="1" applyBorder="1" applyAlignment="1">
      <alignment wrapText="1"/>
    </xf>
    <xf numFmtId="0" fontId="11" fillId="0" borderId="20" xfId="19" applyFont="1" applyBorder="1" applyAlignment="1">
      <alignment wrapText="1"/>
    </xf>
    <xf numFmtId="0" fontId="46" fillId="0" borderId="64" xfId="19" applyFont="1" applyBorder="1" applyAlignment="1">
      <alignment wrapText="1"/>
    </xf>
    <xf numFmtId="10" fontId="11" fillId="0" borderId="6" xfId="20" applyNumberFormat="1" applyFont="1" applyFill="1" applyBorder="1" applyAlignment="1">
      <alignment horizontal="right" vertical="top"/>
    </xf>
    <xf numFmtId="10" fontId="22" fillId="0" borderId="43" xfId="20" applyNumberFormat="1" applyFont="1" applyFill="1" applyBorder="1" applyAlignment="1">
      <alignment horizontal="right" vertical="top"/>
    </xf>
    <xf numFmtId="44" fontId="46" fillId="0" borderId="4" xfId="21" applyFont="1" applyFill="1" applyBorder="1" applyAlignment="1">
      <alignment horizontal="right" vertical="top"/>
    </xf>
    <xf numFmtId="44" fontId="46" fillId="0" borderId="42" xfId="21" applyFont="1" applyFill="1" applyBorder="1" applyAlignment="1">
      <alignment horizontal="right" vertical="top"/>
    </xf>
    <xf numFmtId="10" fontId="46" fillId="22" borderId="6" xfId="20" applyNumberFormat="1" applyFont="1" applyFill="1" applyBorder="1" applyAlignment="1">
      <alignment horizontal="right" vertical="top"/>
    </xf>
    <xf numFmtId="0" fontId="46" fillId="0" borderId="43" xfId="20" applyNumberFormat="1" applyFont="1" applyFill="1" applyBorder="1" applyAlignment="1">
      <alignment horizontal="right" vertical="top"/>
    </xf>
    <xf numFmtId="0" fontId="46" fillId="0" borderId="43" xfId="19" applyFont="1" applyBorder="1"/>
    <xf numFmtId="0" fontId="46" fillId="0" borderId="4" xfId="19" applyFont="1" applyBorder="1"/>
    <xf numFmtId="14" fontId="46" fillId="0" borderId="4" xfId="19" applyNumberFormat="1" applyFont="1" applyBorder="1" applyAlignment="1">
      <alignment horizontal="left"/>
    </xf>
    <xf numFmtId="0" fontId="46" fillId="0" borderId="4" xfId="19" applyFont="1" applyBorder="1" applyAlignment="1">
      <alignment wrapText="1"/>
    </xf>
    <xf numFmtId="0" fontId="46" fillId="0" borderId="42" xfId="19" applyFont="1" applyBorder="1" applyAlignment="1">
      <alignment horizontal="center" wrapText="1"/>
    </xf>
    <xf numFmtId="0" fontId="19" fillId="0" borderId="23" xfId="19" applyFont="1" applyBorder="1" applyAlignment="1">
      <alignment wrapText="1"/>
    </xf>
    <xf numFmtId="10" fontId="11" fillId="0" borderId="0" xfId="20" applyNumberFormat="1" applyFont="1" applyFill="1" applyBorder="1" applyAlignment="1">
      <alignment horizontal="right" vertical="top"/>
    </xf>
    <xf numFmtId="10" fontId="11" fillId="0" borderId="63" xfId="20" applyNumberFormat="1" applyFont="1" applyFill="1" applyBorder="1" applyAlignment="1">
      <alignment horizontal="right" vertical="top"/>
    </xf>
    <xf numFmtId="44" fontId="11" fillId="0" borderId="0" xfId="19" applyNumberFormat="1" applyFont="1" applyAlignment="1">
      <alignment horizontal="left"/>
    </xf>
    <xf numFmtId="44" fontId="11" fillId="0" borderId="2" xfId="21" applyFont="1" applyFill="1" applyBorder="1" applyAlignment="1">
      <alignment horizontal="right" vertical="top"/>
    </xf>
    <xf numFmtId="44" fontId="11" fillId="0" borderId="20" xfId="21" applyFont="1" applyFill="1" applyBorder="1" applyAlignment="1">
      <alignment horizontal="right" vertical="top"/>
    </xf>
    <xf numFmtId="10" fontId="11" fillId="22" borderId="0" xfId="20" applyNumberFormat="1" applyFont="1" applyFill="1" applyBorder="1" applyAlignment="1">
      <alignment horizontal="right" vertical="top"/>
    </xf>
    <xf numFmtId="44" fontId="11" fillId="0" borderId="3" xfId="21" applyFont="1" applyFill="1" applyBorder="1" applyAlignment="1">
      <alignment horizontal="right" vertical="top"/>
    </xf>
    <xf numFmtId="10" fontId="11" fillId="0" borderId="0" xfId="20" applyNumberFormat="1" applyFont="1" applyFill="1" applyBorder="1" applyAlignment="1">
      <alignment horizontal="right" vertical="center"/>
    </xf>
    <xf numFmtId="44" fontId="11" fillId="23" borderId="0" xfId="19" applyNumberFormat="1" applyFont="1" applyFill="1" applyAlignment="1">
      <alignment horizontal="left"/>
    </xf>
    <xf numFmtId="8" fontId="11" fillId="0" borderId="2" xfId="21" applyNumberFormat="1" applyFont="1" applyFill="1" applyBorder="1" applyAlignment="1">
      <alignment horizontal="right" vertical="top"/>
    </xf>
    <xf numFmtId="8" fontId="11" fillId="0" borderId="20" xfId="21" applyNumberFormat="1" applyFont="1" applyFill="1" applyBorder="1" applyAlignment="1">
      <alignment horizontal="right" vertical="top"/>
    </xf>
    <xf numFmtId="14" fontId="11" fillId="0" borderId="2" xfId="19" applyNumberFormat="1" applyFont="1" applyBorder="1" applyAlignment="1">
      <alignment horizontal="left"/>
    </xf>
    <xf numFmtId="10" fontId="22" fillId="0" borderId="0" xfId="20" applyNumberFormat="1" applyFont="1" applyFill="1" applyBorder="1" applyAlignment="1">
      <alignment horizontal="right" vertical="center"/>
    </xf>
    <xf numFmtId="0" fontId="46" fillId="0" borderId="0" xfId="19" applyFont="1"/>
    <xf numFmtId="44" fontId="11" fillId="0" borderId="1" xfId="21" applyFont="1" applyFill="1" applyBorder="1" applyAlignment="1">
      <alignment horizontal="right" vertical="top"/>
    </xf>
    <xf numFmtId="0" fontId="46" fillId="10" borderId="25" xfId="19" applyFont="1" applyFill="1" applyBorder="1" applyAlignment="1">
      <alignment horizontal="center" vertical="center" wrapText="1"/>
    </xf>
    <xf numFmtId="0" fontId="46" fillId="0" borderId="65" xfId="19" applyFont="1" applyBorder="1" applyAlignment="1">
      <alignment wrapText="1"/>
    </xf>
    <xf numFmtId="10" fontId="11" fillId="0" borderId="8" xfId="20" applyNumberFormat="1" applyFont="1" applyFill="1" applyBorder="1" applyAlignment="1">
      <alignment horizontal="right" vertical="top"/>
    </xf>
    <xf numFmtId="10" fontId="22" fillId="0" borderId="66" xfId="20" applyNumberFormat="1" applyFont="1" applyFill="1" applyBorder="1" applyAlignment="1">
      <alignment horizontal="right" vertical="top"/>
    </xf>
    <xf numFmtId="44" fontId="46" fillId="0" borderId="8" xfId="21" applyFont="1" applyFill="1" applyBorder="1" applyAlignment="1">
      <alignment horizontal="right" vertical="top"/>
    </xf>
    <xf numFmtId="44" fontId="46" fillId="0" borderId="3" xfId="21" applyFont="1" applyFill="1" applyBorder="1" applyAlignment="1">
      <alignment horizontal="right" vertical="top"/>
    </xf>
    <xf numFmtId="44" fontId="46" fillId="0" borderId="67" xfId="21" applyFont="1" applyFill="1" applyBorder="1" applyAlignment="1">
      <alignment horizontal="right" vertical="top"/>
    </xf>
    <xf numFmtId="10" fontId="46" fillId="22" borderId="8" xfId="20" applyNumberFormat="1" applyFont="1" applyFill="1" applyBorder="1" applyAlignment="1">
      <alignment horizontal="right" vertical="top"/>
    </xf>
    <xf numFmtId="0" fontId="46" fillId="0" borderId="66" xfId="20" applyNumberFormat="1" applyFont="1" applyFill="1" applyBorder="1" applyAlignment="1">
      <alignment horizontal="right" vertical="top"/>
    </xf>
    <xf numFmtId="0" fontId="46" fillId="0" borderId="66" xfId="19" applyFont="1" applyBorder="1"/>
    <xf numFmtId="0" fontId="46" fillId="0" borderId="8" xfId="19" applyFont="1" applyBorder="1"/>
    <xf numFmtId="14" fontId="46" fillId="0" borderId="3" xfId="19" applyNumberFormat="1" applyFont="1" applyBorder="1" applyAlignment="1">
      <alignment horizontal="left"/>
    </xf>
    <xf numFmtId="0" fontId="46" fillId="0" borderId="8" xfId="19" applyFont="1" applyBorder="1" applyAlignment="1">
      <alignment wrapText="1"/>
    </xf>
    <xf numFmtId="0" fontId="46" fillId="0" borderId="3" xfId="19" applyFont="1" applyBorder="1" applyAlignment="1">
      <alignment wrapText="1"/>
    </xf>
    <xf numFmtId="0" fontId="46" fillId="0" borderId="67" xfId="19" applyFont="1" applyBorder="1" applyAlignment="1">
      <alignment horizontal="center" wrapText="1"/>
    </xf>
    <xf numFmtId="0" fontId="47" fillId="0" borderId="0" xfId="22" applyAlignment="1">
      <alignment vertical="center"/>
    </xf>
    <xf numFmtId="0" fontId="22" fillId="0" borderId="0" xfId="19" applyFont="1"/>
    <xf numFmtId="0" fontId="22" fillId="0" borderId="64" xfId="19" applyFont="1" applyBorder="1" applyAlignment="1">
      <alignment wrapText="1"/>
    </xf>
    <xf numFmtId="44" fontId="22" fillId="0" borderId="4" xfId="21" applyFont="1" applyFill="1" applyBorder="1" applyAlignment="1">
      <alignment horizontal="right" vertical="top"/>
    </xf>
    <xf numFmtId="44" fontId="22" fillId="0" borderId="42" xfId="21" applyFont="1" applyFill="1" applyBorder="1" applyAlignment="1">
      <alignment horizontal="right" vertical="top"/>
    </xf>
    <xf numFmtId="10" fontId="22" fillId="22" borderId="6" xfId="20" applyNumberFormat="1" applyFont="1" applyFill="1" applyBorder="1" applyAlignment="1">
      <alignment horizontal="right" vertical="top"/>
    </xf>
    <xf numFmtId="0" fontId="22" fillId="0" borderId="43" xfId="19" applyFont="1" applyBorder="1"/>
    <xf numFmtId="0" fontId="22" fillId="0" borderId="4" xfId="19" applyFont="1" applyBorder="1"/>
    <xf numFmtId="14" fontId="22" fillId="0" borderId="4" xfId="19" applyNumberFormat="1" applyFont="1" applyBorder="1" applyAlignment="1">
      <alignment horizontal="left"/>
    </xf>
    <xf numFmtId="0" fontId="22" fillId="0" borderId="4" xfId="19" applyFont="1" applyBorder="1" applyAlignment="1">
      <alignment wrapText="1"/>
    </xf>
    <xf numFmtId="0" fontId="11" fillId="0" borderId="3" xfId="19" applyFont="1" applyBorder="1" applyAlignment="1">
      <alignment wrapText="1"/>
    </xf>
    <xf numFmtId="0" fontId="46" fillId="10" borderId="20" xfId="19" applyFont="1" applyFill="1" applyBorder="1" applyAlignment="1">
      <alignment horizontal="center" vertical="center" wrapText="1"/>
    </xf>
    <xf numFmtId="0" fontId="48" fillId="0" borderId="0" xfId="19" applyFont="1" applyAlignment="1">
      <alignment horizontal="center" vertical="center"/>
    </xf>
    <xf numFmtId="0" fontId="38" fillId="3" borderId="21" xfId="19" applyFont="1" applyFill="1" applyBorder="1" applyAlignment="1">
      <alignment horizontal="center" vertical="center" wrapText="1"/>
    </xf>
    <xf numFmtId="7" fontId="38" fillId="3" borderId="17" xfId="19" applyNumberFormat="1" applyFont="1" applyFill="1" applyBorder="1" applyAlignment="1">
      <alignment horizontal="center" vertical="center" wrapText="1"/>
    </xf>
    <xf numFmtId="7" fontId="38" fillId="3" borderId="50" xfId="19" applyNumberFormat="1" applyFont="1" applyFill="1" applyBorder="1" applyAlignment="1">
      <alignment horizontal="center" vertical="center"/>
    </xf>
    <xf numFmtId="7" fontId="38" fillId="3" borderId="49" xfId="19" applyNumberFormat="1" applyFont="1" applyFill="1" applyBorder="1" applyAlignment="1">
      <alignment horizontal="center" vertical="center"/>
    </xf>
    <xf numFmtId="0" fontId="38" fillId="3" borderId="49" xfId="19" applyFont="1" applyFill="1" applyBorder="1" applyAlignment="1">
      <alignment horizontal="center" vertical="center"/>
    </xf>
    <xf numFmtId="0" fontId="38" fillId="3" borderId="48" xfId="19" applyFont="1" applyFill="1" applyBorder="1" applyAlignment="1">
      <alignment horizontal="center" vertical="center"/>
    </xf>
    <xf numFmtId="0" fontId="38" fillId="22" borderId="17" xfId="19" applyFont="1" applyFill="1" applyBorder="1" applyAlignment="1">
      <alignment horizontal="center" vertical="center"/>
    </xf>
    <xf numFmtId="0" fontId="38" fillId="3" borderId="50" xfId="19" applyFont="1" applyFill="1" applyBorder="1" applyAlignment="1">
      <alignment horizontal="center" vertical="center"/>
    </xf>
    <xf numFmtId="0" fontId="38" fillId="3" borderId="62" xfId="19" applyFont="1" applyFill="1" applyBorder="1" applyAlignment="1">
      <alignment horizontal="center" vertical="center" wrapText="1"/>
    </xf>
    <xf numFmtId="0" fontId="38" fillId="3" borderId="49" xfId="19" applyFont="1" applyFill="1" applyBorder="1" applyAlignment="1">
      <alignment horizontal="center" vertical="center" wrapText="1"/>
    </xf>
    <xf numFmtId="0" fontId="38" fillId="3" borderId="18" xfId="19" applyFont="1" applyFill="1" applyBorder="1" applyAlignment="1">
      <alignment horizontal="center" vertical="center" wrapText="1"/>
    </xf>
    <xf numFmtId="0" fontId="49" fillId="0" borderId="0" xfId="19" applyFont="1" applyAlignment="1">
      <alignment wrapText="1"/>
    </xf>
    <xf numFmtId="0" fontId="22" fillId="0" borderId="0" xfId="19" applyFont="1" applyAlignment="1">
      <alignment wrapText="1"/>
    </xf>
    <xf numFmtId="0" fontId="44" fillId="0" borderId="22" xfId="19" applyFont="1" applyBorder="1" applyAlignment="1">
      <alignment horizontal="left"/>
    </xf>
    <xf numFmtId="0" fontId="9" fillId="0" borderId="23" xfId="19" applyFont="1" applyBorder="1" applyAlignment="1">
      <alignment horizontal="left"/>
    </xf>
    <xf numFmtId="0" fontId="9" fillId="0" borderId="26" xfId="19" applyFont="1" applyBorder="1" applyAlignment="1">
      <alignment horizontal="left"/>
    </xf>
    <xf numFmtId="166" fontId="50" fillId="0" borderId="0" xfId="3" applyNumberFormat="1" applyFont="1" applyFill="1" applyAlignment="1">
      <alignment horizontal="left"/>
    </xf>
    <xf numFmtId="0" fontId="11" fillId="0" borderId="0" xfId="0" applyFont="1"/>
    <xf numFmtId="0" fontId="22" fillId="0" borderId="0" xfId="0" applyFont="1"/>
    <xf numFmtId="0" fontId="11" fillId="17" borderId="0" xfId="0" applyFont="1" applyFill="1"/>
    <xf numFmtId="44" fontId="15" fillId="12" borderId="21" xfId="2" applyFont="1" applyFill="1" applyBorder="1"/>
    <xf numFmtId="14" fontId="19" fillId="0" borderId="20" xfId="4" applyNumberFormat="1" applyFont="1" applyBorder="1" applyAlignment="1">
      <alignment horizontal="left"/>
    </xf>
    <xf numFmtId="14" fontId="51" fillId="24" borderId="0" xfId="0" applyNumberFormat="1" applyFont="1" applyFill="1" applyAlignment="1">
      <alignment horizontal="left" vertical="center" indent="2"/>
    </xf>
    <xf numFmtId="0" fontId="51" fillId="24" borderId="0" xfId="0" applyFont="1" applyFill="1" applyAlignment="1">
      <alignment vertical="center"/>
    </xf>
    <xf numFmtId="4" fontId="51" fillId="24" borderId="0" xfId="0" applyNumberFormat="1" applyFont="1" applyFill="1" applyAlignment="1">
      <alignment vertical="center"/>
    </xf>
    <xf numFmtId="0" fontId="14" fillId="0" borderId="4" xfId="0" applyFont="1" applyBorder="1" applyAlignment="1" applyProtection="1">
      <alignment vertical="center" wrapText="1"/>
      <protection locked="0"/>
    </xf>
    <xf numFmtId="0" fontId="27" fillId="0" borderId="4" xfId="0" applyFont="1" applyBorder="1" applyAlignment="1">
      <alignment vertical="center"/>
    </xf>
    <xf numFmtId="14" fontId="14" fillId="0" borderId="4" xfId="0" applyNumberFormat="1" applyFont="1" applyBorder="1" applyAlignment="1">
      <alignment horizontal="right" vertical="center"/>
    </xf>
    <xf numFmtId="14" fontId="14" fillId="0" borderId="4" xfId="0" applyNumberFormat="1" applyFont="1" applyBorder="1" applyAlignment="1">
      <alignment horizontal="right" vertical="center" wrapText="1"/>
    </xf>
    <xf numFmtId="0" fontId="27" fillId="0" borderId="1" xfId="0" applyFont="1" applyBorder="1" applyAlignment="1">
      <alignment vertical="center"/>
    </xf>
    <xf numFmtId="10" fontId="14" fillId="0" borderId="4" xfId="0" applyNumberFormat="1" applyFont="1" applyBorder="1" applyAlignment="1" applyProtection="1">
      <alignment vertical="center"/>
      <protection locked="0"/>
    </xf>
    <xf numFmtId="43" fontId="14" fillId="0" borderId="4" xfId="1" applyFont="1" applyFill="1" applyBorder="1" applyAlignment="1" applyProtection="1">
      <alignment vertical="center"/>
      <protection locked="0"/>
    </xf>
    <xf numFmtId="0" fontId="15" fillId="0" borderId="20" xfId="0" applyFont="1" applyBorder="1" applyAlignment="1">
      <alignment horizontal="left" wrapText="1"/>
    </xf>
    <xf numFmtId="0" fontId="18" fillId="0" borderId="18" xfId="0" applyFont="1" applyBorder="1" applyAlignment="1">
      <alignment horizontal="centerContinuous" vertical="center"/>
    </xf>
    <xf numFmtId="0" fontId="19" fillId="0" borderId="17" xfId="0" applyFont="1" applyBorder="1" applyAlignment="1">
      <alignment horizontal="centerContinuous" vertical="center"/>
    </xf>
    <xf numFmtId="0" fontId="19" fillId="0" borderId="17" xfId="0" applyFont="1" applyBorder="1" applyAlignment="1">
      <alignment horizontal="centerContinuous" vertical="center" wrapText="1"/>
    </xf>
    <xf numFmtId="0" fontId="14" fillId="0" borderId="19" xfId="0" applyFont="1" applyBorder="1" applyAlignment="1">
      <alignment wrapText="1"/>
    </xf>
    <xf numFmtId="44" fontId="18" fillId="5" borderId="16" xfId="0" applyNumberFormat="1" applyFont="1" applyFill="1" applyBorder="1" applyAlignment="1">
      <alignment horizontal="center" vertical="center" wrapText="1"/>
    </xf>
    <xf numFmtId="44" fontId="19" fillId="0" borderId="16" xfId="0" applyNumberFormat="1" applyFont="1" applyBorder="1" applyAlignment="1">
      <alignment horizontal="left" wrapText="1"/>
    </xf>
    <xf numFmtId="168" fontId="18" fillId="9" borderId="16" xfId="0" applyNumberFormat="1" applyFont="1" applyFill="1" applyBorder="1" applyAlignment="1">
      <alignment horizontal="right"/>
    </xf>
    <xf numFmtId="0" fontId="18" fillId="5" borderId="16" xfId="0" applyFont="1" applyFill="1" applyBorder="1" applyAlignment="1">
      <alignment horizontal="center" vertical="center" wrapText="1"/>
    </xf>
    <xf numFmtId="0" fontId="19" fillId="0" borderId="16" xfId="0" applyFont="1" applyBorder="1" applyAlignment="1">
      <alignment horizontal="centerContinuous" vertical="center"/>
    </xf>
    <xf numFmtId="0" fontId="19" fillId="0" borderId="3" xfId="0" applyFont="1" applyBorder="1" applyAlignment="1">
      <alignment horizontal="center" wrapText="1"/>
    </xf>
    <xf numFmtId="1" fontId="15" fillId="0" borderId="4" xfId="0" applyNumberFormat="1" applyFont="1" applyBorder="1" applyAlignment="1">
      <alignment horizontal="right"/>
    </xf>
    <xf numFmtId="40" fontId="18" fillId="0" borderId="0" xfId="4" applyNumberFormat="1" applyFont="1"/>
    <xf numFmtId="0" fontId="18" fillId="18" borderId="20" xfId="4" applyFont="1" applyFill="1" applyBorder="1"/>
    <xf numFmtId="0" fontId="14" fillId="0" borderId="0" xfId="16" applyFont="1"/>
    <xf numFmtId="0" fontId="14" fillId="0" borderId="0" xfId="16" applyFont="1" applyAlignment="1">
      <alignment wrapText="1"/>
    </xf>
    <xf numFmtId="40" fontId="14" fillId="0" borderId="0" xfId="16" applyNumberFormat="1" applyFont="1" applyAlignment="1">
      <alignment wrapText="1"/>
    </xf>
    <xf numFmtId="172" fontId="14" fillId="0" borderId="0" xfId="16" applyNumberFormat="1" applyFont="1" applyAlignment="1">
      <alignment wrapText="1"/>
    </xf>
    <xf numFmtId="0" fontId="15" fillId="0" borderId="4" xfId="17" applyFont="1" applyBorder="1" applyAlignment="1">
      <alignment horizontal="center" wrapText="1"/>
    </xf>
    <xf numFmtId="0" fontId="14" fillId="0" borderId="2" xfId="0" applyFont="1" applyBorder="1" applyAlignment="1">
      <alignment wrapText="1"/>
    </xf>
    <xf numFmtId="0" fontId="15" fillId="0" borderId="3" xfId="17" applyFont="1" applyBorder="1" applyAlignment="1">
      <alignment horizontal="center" wrapText="1"/>
    </xf>
    <xf numFmtId="0" fontId="14" fillId="0" borderId="2" xfId="0" applyFont="1" applyBorder="1" applyAlignment="1">
      <alignment horizontal="left" wrapText="1"/>
    </xf>
    <xf numFmtId="0" fontId="14" fillId="0" borderId="2" xfId="0" applyFont="1" applyBorder="1" applyAlignment="1">
      <alignment horizontal="left" wrapText="1" indent="1"/>
    </xf>
    <xf numFmtId="175" fontId="40" fillId="0" borderId="2" xfId="0" applyNumberFormat="1" applyFont="1" applyBorder="1" applyAlignment="1">
      <alignment wrapText="1"/>
    </xf>
    <xf numFmtId="175" fontId="14" fillId="0" borderId="2" xfId="0" applyNumberFormat="1" applyFont="1" applyBorder="1" applyAlignment="1">
      <alignment wrapText="1"/>
    </xf>
    <xf numFmtId="0" fontId="15" fillId="0" borderId="2" xfId="0" applyFont="1" applyBorder="1" applyAlignment="1">
      <alignment horizontal="left" wrapText="1"/>
    </xf>
    <xf numFmtId="175" fontId="41" fillId="0" borderId="1" xfId="0" applyNumberFormat="1" applyFont="1" applyBorder="1" applyAlignment="1">
      <alignment wrapText="1"/>
    </xf>
    <xf numFmtId="175" fontId="15" fillId="0" borderId="1" xfId="0" applyNumberFormat="1" applyFont="1" applyBorder="1" applyAlignment="1">
      <alignment wrapText="1"/>
    </xf>
    <xf numFmtId="0" fontId="14" fillId="0" borderId="2" xfId="0" applyFont="1" applyBorder="1" applyAlignment="1">
      <alignment horizontal="left" wrapText="1" indent="2"/>
    </xf>
    <xf numFmtId="0" fontId="15" fillId="0" borderId="2" xfId="0" applyFont="1" applyBorder="1" applyAlignment="1">
      <alignment horizontal="left" wrapText="1" indent="1"/>
    </xf>
    <xf numFmtId="0" fontId="15" fillId="0" borderId="1" xfId="0" applyFont="1" applyBorder="1" applyAlignment="1">
      <alignment wrapText="1"/>
    </xf>
    <xf numFmtId="0" fontId="15" fillId="0" borderId="3" xfId="16" applyFont="1" applyBorder="1" applyAlignment="1">
      <alignment horizontal="left" wrapText="1"/>
    </xf>
    <xf numFmtId="40" fontId="15" fillId="0" borderId="3" xfId="16" applyNumberFormat="1" applyFont="1" applyBorder="1" applyAlignment="1">
      <alignment wrapText="1"/>
    </xf>
    <xf numFmtId="172" fontId="15" fillId="0" borderId="3" xfId="16" applyNumberFormat="1" applyFont="1" applyBorder="1" applyAlignment="1">
      <alignment wrapText="1"/>
    </xf>
    <xf numFmtId="0" fontId="14" fillId="0" borderId="3" xfId="16" applyFont="1" applyBorder="1"/>
    <xf numFmtId="0" fontId="14" fillId="25" borderId="19" xfId="0" applyFont="1" applyFill="1" applyBorder="1"/>
    <xf numFmtId="40" fontId="18" fillId="0" borderId="20" xfId="0" applyNumberFormat="1" applyFont="1" applyBorder="1" applyAlignment="1">
      <alignment wrapText="1"/>
    </xf>
    <xf numFmtId="40" fontId="18" fillId="0" borderId="0" xfId="0" applyNumberFormat="1" applyFont="1" applyAlignment="1">
      <alignment wrapText="1"/>
    </xf>
    <xf numFmtId="170" fontId="18" fillId="0" borderId="19" xfId="0" applyNumberFormat="1" applyFont="1" applyBorder="1" applyAlignment="1">
      <alignment wrapText="1"/>
    </xf>
    <xf numFmtId="167" fontId="19" fillId="0" borderId="19" xfId="4" applyNumberFormat="1" applyFont="1" applyBorder="1" applyAlignment="1">
      <alignment horizontal="left" vertical="center" wrapText="1"/>
    </xf>
    <xf numFmtId="10" fontId="19" fillId="0" borderId="19" xfId="4" applyNumberFormat="1" applyFont="1" applyBorder="1" applyAlignment="1">
      <alignment horizontal="left" vertical="center" wrapText="1"/>
    </xf>
    <xf numFmtId="10" fontId="18" fillId="0" borderId="19" xfId="4" applyNumberFormat="1" applyFont="1" applyBorder="1" applyAlignment="1">
      <alignment horizontal="left" vertical="center" wrapText="1"/>
    </xf>
    <xf numFmtId="44" fontId="19" fillId="0" borderId="19" xfId="2" applyFont="1" applyBorder="1" applyAlignment="1">
      <alignment horizontal="left" vertical="center" wrapText="1"/>
    </xf>
    <xf numFmtId="10" fontId="19" fillId="0" borderId="19" xfId="4" applyNumberFormat="1" applyFont="1" applyBorder="1" applyAlignment="1">
      <alignment vertical="center" wrapText="1"/>
    </xf>
    <xf numFmtId="0" fontId="25" fillId="0" borderId="0" xfId="4" applyFont="1" applyAlignment="1">
      <alignment vertical="center"/>
    </xf>
    <xf numFmtId="40" fontId="19" fillId="0" borderId="20" xfId="4" applyNumberFormat="1" applyFont="1" applyBorder="1" applyAlignment="1">
      <alignment vertical="center"/>
    </xf>
    <xf numFmtId="170" fontId="19" fillId="0" borderId="19" xfId="1" applyNumberFormat="1" applyFont="1" applyBorder="1" applyAlignment="1">
      <alignment vertical="center"/>
    </xf>
    <xf numFmtId="40" fontId="18" fillId="13" borderId="0" xfId="4" applyNumberFormat="1" applyFont="1" applyFill="1" applyAlignment="1">
      <alignment horizontal="center" vertical="center"/>
    </xf>
    <xf numFmtId="40" fontId="18" fillId="2" borderId="0" xfId="4" applyNumberFormat="1" applyFont="1" applyFill="1" applyAlignment="1">
      <alignment horizontal="center" vertical="center"/>
    </xf>
    <xf numFmtId="40" fontId="18" fillId="20" borderId="0" xfId="0" applyNumberFormat="1" applyFont="1" applyFill="1" applyAlignment="1">
      <alignment horizontal="right" wrapText="1"/>
    </xf>
    <xf numFmtId="40" fontId="18" fillId="0" borderId="0" xfId="0" applyNumberFormat="1" applyFont="1" applyAlignment="1">
      <alignment horizontal="right" wrapText="1"/>
    </xf>
    <xf numFmtId="170" fontId="18" fillId="2" borderId="19" xfId="1" applyNumberFormat="1" applyFont="1" applyFill="1" applyBorder="1" applyAlignment="1">
      <alignment horizontal="center" vertical="center"/>
    </xf>
    <xf numFmtId="170" fontId="18" fillId="20" borderId="19" xfId="0" applyNumberFormat="1" applyFont="1" applyFill="1" applyBorder="1" applyAlignment="1">
      <alignment horizontal="right" wrapText="1"/>
    </xf>
    <xf numFmtId="170" fontId="18" fillId="0" borderId="19" xfId="0" applyNumberFormat="1" applyFont="1" applyBorder="1" applyAlignment="1">
      <alignment horizontal="right" wrapText="1"/>
    </xf>
    <xf numFmtId="40" fontId="18" fillId="0" borderId="14" xfId="0" applyNumberFormat="1" applyFont="1" applyBorder="1" applyAlignment="1">
      <alignment horizontal="right" wrapText="1"/>
    </xf>
    <xf numFmtId="170" fontId="18" fillId="0" borderId="13" xfId="0" applyNumberFormat="1" applyFont="1" applyBorder="1" applyAlignment="1">
      <alignment horizontal="right" wrapText="1"/>
    </xf>
    <xf numFmtId="170" fontId="18" fillId="13" borderId="19" xfId="1" applyNumberFormat="1" applyFont="1" applyFill="1" applyBorder="1" applyAlignment="1">
      <alignment horizontal="center" vertical="center"/>
    </xf>
    <xf numFmtId="0" fontId="15" fillId="0" borderId="30" xfId="0" applyFont="1" applyBorder="1" applyAlignment="1">
      <alignment horizontal="left" wrapText="1" indent="1"/>
    </xf>
    <xf numFmtId="0" fontId="15" fillId="20" borderId="30" xfId="0" applyFont="1" applyFill="1" applyBorder="1" applyAlignment="1">
      <alignment horizontal="left" wrapText="1"/>
    </xf>
    <xf numFmtId="170" fontId="18" fillId="9" borderId="24" xfId="4" applyNumberFormat="1" applyFont="1" applyFill="1" applyBorder="1" applyAlignment="1">
      <alignment horizontal="right" vertical="center"/>
    </xf>
    <xf numFmtId="14" fontId="11" fillId="0" borderId="0" xfId="19" applyNumberFormat="1" applyFont="1" applyAlignment="1">
      <alignment horizontal="left"/>
    </xf>
    <xf numFmtId="44" fontId="22" fillId="0" borderId="7" xfId="21" applyFont="1" applyFill="1" applyBorder="1" applyAlignment="1">
      <alignment horizontal="right" vertical="top"/>
    </xf>
    <xf numFmtId="7" fontId="38" fillId="3" borderId="62" xfId="19" applyNumberFormat="1" applyFont="1" applyFill="1" applyBorder="1" applyAlignment="1">
      <alignment horizontal="center" vertical="center"/>
    </xf>
    <xf numFmtId="44" fontId="46" fillId="0" borderId="7" xfId="21" applyFont="1" applyFill="1" applyBorder="1" applyAlignment="1">
      <alignment horizontal="right" vertical="top"/>
    </xf>
    <xf numFmtId="170" fontId="19" fillId="8" borderId="23" xfId="15" applyNumberFormat="1" applyFont="1" applyFill="1" applyBorder="1" applyAlignment="1">
      <alignment vertical="center"/>
    </xf>
    <xf numFmtId="10" fontId="15" fillId="0" borderId="50" xfId="15" applyNumberFormat="1" applyFont="1" applyFill="1" applyBorder="1"/>
    <xf numFmtId="10" fontId="22" fillId="0" borderId="49" xfId="15" applyNumberFormat="1" applyFont="1" applyFill="1" applyBorder="1"/>
    <xf numFmtId="40" fontId="14" fillId="7" borderId="4" xfId="5" applyNumberFormat="1" applyFont="1" applyFill="1" applyBorder="1"/>
    <xf numFmtId="40" fontId="14" fillId="8" borderId="4" xfId="5" applyNumberFormat="1" applyFont="1" applyFill="1" applyBorder="1"/>
    <xf numFmtId="40" fontId="40" fillId="0" borderId="4" xfId="5" applyNumberFormat="1" applyFont="1" applyBorder="1"/>
    <xf numFmtId="10" fontId="11" fillId="7" borderId="4" xfId="15" applyNumberFormat="1" applyFont="1" applyFill="1" applyBorder="1" applyAlignment="1">
      <alignment horizontal="center"/>
    </xf>
    <xf numFmtId="40" fontId="40" fillId="7" borderId="4" xfId="5" applyNumberFormat="1" applyFont="1" applyFill="1" applyBorder="1"/>
    <xf numFmtId="40" fontId="40" fillId="7" borderId="4" xfId="5" applyNumberFormat="1" applyFont="1" applyFill="1" applyBorder="1" applyAlignment="1">
      <alignment horizontal="center"/>
    </xf>
    <xf numFmtId="40" fontId="40" fillId="8" borderId="4" xfId="5" applyNumberFormat="1" applyFont="1" applyFill="1" applyBorder="1"/>
    <xf numFmtId="40" fontId="14" fillId="7" borderId="4" xfId="5" applyNumberFormat="1" applyFont="1" applyFill="1" applyBorder="1" applyAlignment="1">
      <alignment horizontal="center"/>
    </xf>
    <xf numFmtId="10" fontId="11" fillId="8" borderId="43" xfId="15" applyNumberFormat="1" applyFont="1" applyFill="1" applyBorder="1" applyAlignment="1">
      <alignment horizontal="center"/>
    </xf>
    <xf numFmtId="40" fontId="14" fillId="7" borderId="59" xfId="5" applyNumberFormat="1" applyFont="1" applyFill="1" applyBorder="1"/>
    <xf numFmtId="40" fontId="14" fillId="7" borderId="59" xfId="5" applyNumberFormat="1" applyFont="1" applyFill="1" applyBorder="1" applyAlignment="1">
      <alignment horizontal="center"/>
    </xf>
    <xf numFmtId="40" fontId="14" fillId="8" borderId="59" xfId="5" applyNumberFormat="1" applyFont="1" applyFill="1" applyBorder="1"/>
    <xf numFmtId="0" fontId="15" fillId="0" borderId="68" xfId="0" applyFont="1" applyBorder="1"/>
    <xf numFmtId="4" fontId="14" fillId="0" borderId="3" xfId="5" applyNumberFormat="1" applyFont="1" applyBorder="1"/>
    <xf numFmtId="40" fontId="14" fillId="0" borderId="3" xfId="5" applyNumberFormat="1" applyFont="1" applyBorder="1"/>
    <xf numFmtId="40" fontId="14" fillId="7" borderId="3" xfId="5" applyNumberFormat="1" applyFont="1" applyFill="1" applyBorder="1"/>
    <xf numFmtId="10" fontId="40" fillId="7" borderId="3" xfId="15" applyNumberFormat="1" applyFont="1" applyFill="1" applyBorder="1" applyAlignment="1">
      <alignment horizontal="center"/>
    </xf>
    <xf numFmtId="40" fontId="14" fillId="8" borderId="3" xfId="5" applyNumberFormat="1" applyFont="1" applyFill="1" applyBorder="1"/>
    <xf numFmtId="10" fontId="11" fillId="8" borderId="66" xfId="15" applyNumberFormat="1" applyFont="1" applyFill="1" applyBorder="1" applyAlignment="1">
      <alignment horizontal="center"/>
    </xf>
    <xf numFmtId="0" fontId="15" fillId="21" borderId="69" xfId="0" applyFont="1" applyFill="1" applyBorder="1" applyAlignment="1">
      <alignment horizontal="center"/>
    </xf>
    <xf numFmtId="0" fontId="15" fillId="6" borderId="48" xfId="0" applyFont="1" applyFill="1" applyBorder="1" applyAlignment="1">
      <alignment horizontal="center" vertical="center"/>
    </xf>
    <xf numFmtId="0" fontId="15" fillId="6" borderId="49" xfId="0" applyFont="1" applyFill="1" applyBorder="1" applyAlignment="1">
      <alignment horizontal="center" vertical="center"/>
    </xf>
    <xf numFmtId="40" fontId="15" fillId="6" borderId="49" xfId="0" applyNumberFormat="1" applyFont="1" applyFill="1" applyBorder="1" applyAlignment="1">
      <alignment horizontal="center" vertical="center"/>
    </xf>
    <xf numFmtId="0" fontId="15" fillId="6" borderId="50" xfId="0" applyFont="1" applyFill="1" applyBorder="1" applyAlignment="1">
      <alignment horizontal="center" vertical="center"/>
    </xf>
    <xf numFmtId="0" fontId="38" fillId="3" borderId="72" xfId="19" applyFont="1" applyFill="1" applyBorder="1" applyAlignment="1">
      <alignment horizontal="center" vertical="center"/>
    </xf>
    <xf numFmtId="44" fontId="11" fillId="0" borderId="54" xfId="21" applyFont="1" applyFill="1" applyBorder="1" applyAlignment="1">
      <alignment horizontal="right" vertical="top"/>
    </xf>
    <xf numFmtId="8" fontId="11" fillId="0" borderId="54" xfId="21" applyNumberFormat="1" applyFont="1" applyFill="1" applyBorder="1" applyAlignment="1">
      <alignment horizontal="right" vertical="top"/>
    </xf>
    <xf numFmtId="44" fontId="22" fillId="0" borderId="51" xfId="21" applyFont="1" applyFill="1" applyBorder="1" applyAlignment="1">
      <alignment horizontal="right" vertical="top"/>
    </xf>
    <xf numFmtId="44" fontId="46" fillId="0" borderId="73" xfId="21" applyFont="1" applyFill="1" applyBorder="1" applyAlignment="1">
      <alignment horizontal="right" vertical="top"/>
    </xf>
    <xf numFmtId="44" fontId="46" fillId="0" borderId="74" xfId="21" applyFont="1" applyFill="1" applyBorder="1" applyAlignment="1">
      <alignment horizontal="right" vertical="top"/>
    </xf>
    <xf numFmtId="44" fontId="46" fillId="0" borderId="51" xfId="21" applyFont="1" applyFill="1" applyBorder="1" applyAlignment="1">
      <alignment horizontal="right" vertical="top"/>
    </xf>
    <xf numFmtId="0" fontId="11" fillId="0" borderId="54" xfId="19" applyFont="1" applyBorder="1"/>
    <xf numFmtId="44" fontId="44" fillId="7" borderId="17" xfId="21" applyFont="1" applyFill="1" applyBorder="1" applyAlignment="1">
      <alignment horizontal="right" vertical="top"/>
    </xf>
    <xf numFmtId="44" fontId="11" fillId="0" borderId="75" xfId="21" applyFont="1" applyFill="1" applyBorder="1" applyAlignment="1">
      <alignment horizontal="right" vertical="top"/>
    </xf>
    <xf numFmtId="44" fontId="11" fillId="0" borderId="63" xfId="21" applyFont="1" applyFill="1" applyBorder="1" applyAlignment="1">
      <alignment horizontal="right" vertical="top"/>
    </xf>
    <xf numFmtId="8" fontId="11" fillId="0" borderId="75" xfId="21" applyNumberFormat="1" applyFont="1" applyFill="1" applyBorder="1" applyAlignment="1">
      <alignment horizontal="right" vertical="top"/>
    </xf>
    <xf numFmtId="8" fontId="11" fillId="0" borderId="63" xfId="21" applyNumberFormat="1" applyFont="1" applyFill="1" applyBorder="1" applyAlignment="1">
      <alignment horizontal="right" vertical="top"/>
    </xf>
    <xf numFmtId="44" fontId="22" fillId="0" borderId="43" xfId="21" applyFont="1" applyFill="1" applyBorder="1" applyAlignment="1">
      <alignment horizontal="right" vertical="top"/>
    </xf>
    <xf numFmtId="44" fontId="46" fillId="0" borderId="64" xfId="21" applyFont="1" applyFill="1" applyBorder="1" applyAlignment="1">
      <alignment horizontal="right" vertical="top"/>
    </xf>
    <xf numFmtId="44" fontId="46" fillId="0" borderId="68" xfId="21" applyFont="1" applyFill="1" applyBorder="1" applyAlignment="1">
      <alignment horizontal="right" vertical="top"/>
    </xf>
    <xf numFmtId="44" fontId="46" fillId="0" borderId="66" xfId="21" applyFont="1" applyFill="1" applyBorder="1" applyAlignment="1">
      <alignment horizontal="right" vertical="top"/>
    </xf>
    <xf numFmtId="44" fontId="11" fillId="0" borderId="66" xfId="21" applyFont="1" applyFill="1" applyBorder="1" applyAlignment="1">
      <alignment horizontal="right" vertical="top"/>
    </xf>
    <xf numFmtId="44" fontId="46" fillId="0" borderId="76" xfId="21" applyFont="1" applyFill="1" applyBorder="1" applyAlignment="1">
      <alignment horizontal="right" vertical="top"/>
    </xf>
    <xf numFmtId="0" fontId="11" fillId="0" borderId="19" xfId="19" applyFont="1" applyBorder="1"/>
    <xf numFmtId="44" fontId="44" fillId="7" borderId="16" xfId="21" applyFont="1" applyFill="1" applyBorder="1" applyAlignment="1">
      <alignment horizontal="right" vertical="top"/>
    </xf>
    <xf numFmtId="8" fontId="22" fillId="0" borderId="42" xfId="21" applyNumberFormat="1" applyFont="1" applyFill="1" applyBorder="1" applyAlignment="1">
      <alignment horizontal="right" vertical="top"/>
    </xf>
    <xf numFmtId="10" fontId="18" fillId="6" borderId="19" xfId="4" applyNumberFormat="1" applyFont="1" applyFill="1" applyBorder="1" applyAlignment="1">
      <alignment horizontal="left" vertical="center" wrapText="1"/>
    </xf>
    <xf numFmtId="14" fontId="14" fillId="6" borderId="4" xfId="0" applyNumberFormat="1" applyFont="1" applyFill="1" applyBorder="1" applyAlignment="1">
      <alignment horizontal="right"/>
    </xf>
    <xf numFmtId="0" fontId="19" fillId="6" borderId="4" xfId="0" applyFont="1" applyFill="1" applyBorder="1" applyAlignment="1">
      <alignment horizontal="left"/>
    </xf>
    <xf numFmtId="0" fontId="19" fillId="6" borderId="4" xfId="0" applyFont="1" applyFill="1" applyBorder="1" applyAlignment="1">
      <alignment wrapText="1"/>
    </xf>
    <xf numFmtId="44" fontId="14" fillId="6" borderId="4" xfId="0" applyNumberFormat="1" applyFont="1" applyFill="1" applyBorder="1" applyAlignment="1">
      <alignment horizontal="left"/>
    </xf>
    <xf numFmtId="0" fontId="14" fillId="6" borderId="4" xfId="0" applyFont="1" applyFill="1" applyBorder="1"/>
    <xf numFmtId="14" fontId="14" fillId="0" borderId="4" xfId="0" applyNumberFormat="1" applyFont="1" applyBorder="1" applyAlignment="1">
      <alignment horizontal="right"/>
    </xf>
    <xf numFmtId="44" fontId="15" fillId="0" borderId="0" xfId="0" applyNumberFormat="1" applyFont="1" applyProtection="1">
      <protection locked="0"/>
    </xf>
    <xf numFmtId="44" fontId="38" fillId="3" borderId="3" xfId="0" applyNumberFormat="1" applyFont="1" applyFill="1" applyBorder="1" applyAlignment="1" applyProtection="1">
      <alignment horizontal="center" vertical="center"/>
      <protection locked="0"/>
    </xf>
    <xf numFmtId="14" fontId="38" fillId="3" borderId="4" xfId="0" applyNumberFormat="1" applyFont="1" applyFill="1" applyBorder="1" applyAlignment="1" applyProtection="1">
      <alignment horizontal="center" vertical="center" wrapText="1"/>
      <protection locked="0"/>
    </xf>
    <xf numFmtId="44" fontId="21" fillId="0" borderId="4" xfId="0" applyNumberFormat="1" applyFont="1" applyBorder="1" applyProtection="1">
      <protection locked="0"/>
    </xf>
    <xf numFmtId="14" fontId="21" fillId="0" borderId="4" xfId="0" applyNumberFormat="1" applyFont="1" applyBorder="1" applyAlignment="1" applyProtection="1">
      <alignment horizontal="center" vertical="center" wrapText="1"/>
      <protection locked="0"/>
    </xf>
    <xf numFmtId="14" fontId="21" fillId="0" borderId="4" xfId="0" applyNumberFormat="1" applyFont="1" applyBorder="1" applyAlignment="1" applyProtection="1">
      <alignment horizontal="right" vertical="center" wrapText="1"/>
      <protection locked="0"/>
    </xf>
    <xf numFmtId="0" fontId="14" fillId="0" borderId="0" xfId="0" applyFont="1" applyAlignment="1" applyProtection="1">
      <alignment vertical="center"/>
      <protection locked="0"/>
    </xf>
    <xf numFmtId="14" fontId="14" fillId="6" borderId="4" xfId="0" applyNumberFormat="1" applyFont="1" applyFill="1" applyBorder="1" applyProtection="1">
      <protection locked="0"/>
    </xf>
    <xf numFmtId="0" fontId="14" fillId="0" borderId="7" xfId="0" applyFont="1" applyBorder="1" applyAlignment="1" applyProtection="1">
      <alignment wrapText="1"/>
      <protection locked="0"/>
    </xf>
    <xf numFmtId="44" fontId="14" fillId="0" borderId="1" xfId="1" applyNumberFormat="1" applyFont="1" applyBorder="1" applyAlignment="1" applyProtection="1">
      <alignment vertical="center"/>
      <protection locked="0"/>
    </xf>
    <xf numFmtId="0" fontId="0" fillId="0" borderId="0" xfId="0" applyProtection="1">
      <protection locked="0"/>
    </xf>
    <xf numFmtId="0" fontId="14" fillId="0" borderId="20" xfId="0" applyFont="1" applyBorder="1" applyAlignment="1">
      <alignment horizontal="left"/>
    </xf>
    <xf numFmtId="0" fontId="15" fillId="0" borderId="20" xfId="0" applyFont="1" applyBorder="1" applyAlignment="1">
      <alignment horizontal="left"/>
    </xf>
    <xf numFmtId="176" fontId="14" fillId="0" borderId="0" xfId="0" applyNumberFormat="1" applyFont="1"/>
    <xf numFmtId="176" fontId="15" fillId="0" borderId="12" xfId="0" applyNumberFormat="1" applyFont="1" applyBorder="1"/>
    <xf numFmtId="176" fontId="15" fillId="0" borderId="0" xfId="0" applyNumberFormat="1" applyFont="1" applyAlignment="1">
      <alignment wrapText="1"/>
    </xf>
    <xf numFmtId="176" fontId="15" fillId="0" borderId="17" xfId="0" applyNumberFormat="1" applyFont="1" applyBorder="1" applyAlignment="1">
      <alignment wrapText="1"/>
    </xf>
    <xf numFmtId="171" fontId="15" fillId="0" borderId="19" xfId="0" applyNumberFormat="1" applyFont="1" applyBorder="1" applyAlignment="1">
      <alignment wrapText="1"/>
    </xf>
    <xf numFmtId="4" fontId="14" fillId="0" borderId="19" xfId="0" applyNumberFormat="1" applyFont="1" applyBorder="1"/>
    <xf numFmtId="171" fontId="15" fillId="0" borderId="24" xfId="0" applyNumberFormat="1" applyFont="1" applyBorder="1"/>
    <xf numFmtId="0" fontId="53" fillId="0" borderId="0" xfId="0" applyFont="1" applyAlignment="1">
      <alignment wrapText="1"/>
    </xf>
    <xf numFmtId="0" fontId="0" fillId="0" borderId="0" xfId="0" applyAlignment="1">
      <alignment wrapText="1"/>
    </xf>
    <xf numFmtId="8" fontId="14" fillId="0" borderId="4" xfId="0" applyNumberFormat="1" applyFont="1" applyBorder="1"/>
    <xf numFmtId="8" fontId="15" fillId="0" borderId="4" xfId="0" applyNumberFormat="1" applyFont="1" applyBorder="1"/>
    <xf numFmtId="0" fontId="15" fillId="2" borderId="68" xfId="0" applyFont="1" applyFill="1" applyBorder="1" applyAlignment="1">
      <alignment horizontal="center" vertical="center"/>
    </xf>
    <xf numFmtId="0" fontId="15" fillId="2" borderId="66" xfId="0" applyFont="1" applyFill="1" applyBorder="1" applyAlignment="1">
      <alignment horizontal="center" vertical="center"/>
    </xf>
    <xf numFmtId="177" fontId="14" fillId="0" borderId="42" xfId="0" applyNumberFormat="1" applyFont="1" applyBorder="1" applyAlignment="1">
      <alignment horizontal="left" vertical="center"/>
    </xf>
    <xf numFmtId="4" fontId="14" fillId="0" borderId="43" xfId="0" applyNumberFormat="1" applyFont="1" applyBorder="1" applyAlignment="1">
      <alignment vertical="center"/>
    </xf>
    <xf numFmtId="0" fontId="15" fillId="0" borderId="58" xfId="0" applyFont="1" applyBorder="1" applyAlignment="1">
      <alignment horizontal="left" vertical="center"/>
    </xf>
    <xf numFmtId="4" fontId="15" fillId="0" borderId="60" xfId="0" applyNumberFormat="1" applyFont="1" applyBorder="1" applyAlignment="1">
      <alignment vertical="center"/>
    </xf>
    <xf numFmtId="0" fontId="19" fillId="0" borderId="3" xfId="0" applyFont="1" applyBorder="1" applyAlignment="1">
      <alignment horizontal="left" wrapText="1"/>
    </xf>
    <xf numFmtId="40" fontId="15" fillId="0" borderId="65" xfId="0" applyNumberFormat="1" applyFont="1" applyBorder="1" applyAlignment="1">
      <alignment wrapText="1"/>
    </xf>
    <xf numFmtId="40" fontId="15" fillId="0" borderId="23" xfId="0" applyNumberFormat="1" applyFont="1" applyBorder="1" applyAlignment="1">
      <alignment wrapText="1"/>
    </xf>
    <xf numFmtId="0" fontId="15" fillId="0" borderId="65" xfId="0" applyFont="1" applyBorder="1" applyAlignment="1">
      <alignment horizontal="left" wrapText="1" indent="1"/>
    </xf>
    <xf numFmtId="40" fontId="18" fillId="0" borderId="8" xfId="0" applyNumberFormat="1" applyFont="1" applyBorder="1" applyAlignment="1">
      <alignment wrapText="1"/>
    </xf>
    <xf numFmtId="40" fontId="18" fillId="0" borderId="8" xfId="0" applyNumberFormat="1" applyFont="1" applyBorder="1" applyAlignment="1">
      <alignment horizontal="right" wrapText="1"/>
    </xf>
    <xf numFmtId="170" fontId="18" fillId="0" borderId="77" xfId="0" applyNumberFormat="1" applyFont="1" applyBorder="1" applyAlignment="1">
      <alignment horizontal="right" wrapText="1"/>
    </xf>
    <xf numFmtId="40" fontId="18" fillId="0" borderId="67" xfId="0" applyNumberFormat="1" applyFont="1" applyBorder="1" applyAlignment="1">
      <alignment wrapText="1"/>
    </xf>
    <xf numFmtId="40" fontId="19" fillId="0" borderId="8" xfId="0" applyNumberFormat="1" applyFont="1" applyBorder="1" applyAlignment="1">
      <alignment horizontal="right" wrapText="1"/>
    </xf>
    <xf numFmtId="170" fontId="19" fillId="0" borderId="77" xfId="0" applyNumberFormat="1" applyFont="1" applyBorder="1" applyAlignment="1">
      <alignment horizontal="right" wrapText="1"/>
    </xf>
    <xf numFmtId="40" fontId="19" fillId="0" borderId="67" xfId="0" applyNumberFormat="1" applyFont="1" applyBorder="1" applyAlignment="1">
      <alignment horizontal="right" wrapText="1"/>
    </xf>
    <xf numFmtId="40" fontId="18" fillId="0" borderId="67" xfId="0" applyNumberFormat="1" applyFont="1" applyBorder="1" applyAlignment="1">
      <alignment horizontal="right" wrapText="1"/>
    </xf>
    <xf numFmtId="0" fontId="18" fillId="0" borderId="0" xfId="4" applyFont="1" applyAlignment="1">
      <alignment vertical="center"/>
    </xf>
    <xf numFmtId="40" fontId="19" fillId="0" borderId="67" xfId="0" applyNumberFormat="1" applyFont="1" applyBorder="1" applyAlignment="1">
      <alignment wrapText="1"/>
    </xf>
    <xf numFmtId="0" fontId="54" fillId="0" borderId="4" xfId="17" applyFont="1" applyBorder="1" applyAlignment="1">
      <alignment horizontal="center" wrapText="1"/>
    </xf>
    <xf numFmtId="40" fontId="14" fillId="0" borderId="2" xfId="0" applyNumberFormat="1" applyFont="1" applyBorder="1" applyAlignment="1">
      <alignment wrapText="1"/>
    </xf>
    <xf numFmtId="40" fontId="40" fillId="0" borderId="2" xfId="0" applyNumberFormat="1" applyFont="1" applyBorder="1" applyAlignment="1">
      <alignment wrapText="1"/>
    </xf>
    <xf numFmtId="40" fontId="15" fillId="0" borderId="1" xfId="0" applyNumberFormat="1" applyFont="1" applyBorder="1" applyAlignment="1">
      <alignment wrapText="1"/>
    </xf>
    <xf numFmtId="40" fontId="41" fillId="0" borderId="1" xfId="0" applyNumberFormat="1" applyFont="1" applyBorder="1" applyAlignment="1">
      <alignment wrapText="1"/>
    </xf>
    <xf numFmtId="40" fontId="14" fillId="0" borderId="3" xfId="16" applyNumberFormat="1" applyFont="1" applyBorder="1"/>
    <xf numFmtId="40" fontId="14" fillId="0" borderId="0" xfId="16" applyNumberFormat="1" applyFont="1"/>
    <xf numFmtId="40" fontId="22" fillId="0" borderId="1" xfId="0" applyNumberFormat="1" applyFont="1" applyBorder="1" applyAlignment="1">
      <alignment wrapText="1"/>
    </xf>
    <xf numFmtId="175" fontId="22" fillId="0" borderId="1" xfId="0" applyNumberFormat="1" applyFont="1" applyBorder="1" applyAlignment="1">
      <alignment wrapText="1"/>
    </xf>
    <xf numFmtId="43" fontId="0" fillId="0" borderId="0" xfId="1" applyFont="1"/>
    <xf numFmtId="167" fontId="18" fillId="6" borderId="19" xfId="4" applyNumberFormat="1" applyFont="1" applyFill="1" applyBorder="1" applyAlignment="1">
      <alignment horizontal="left" vertical="center" wrapText="1"/>
    </xf>
    <xf numFmtId="0" fontId="7" fillId="0" borderId="0" xfId="0" applyFont="1" applyAlignment="1">
      <alignment horizontal="center" vertical="center" wrapText="1"/>
    </xf>
    <xf numFmtId="0" fontId="14" fillId="0" borderId="0" xfId="0" applyFont="1"/>
    <xf numFmtId="0" fontId="2" fillId="0" borderId="0" xfId="0" applyFont="1" applyAlignment="1">
      <alignment horizontal="center"/>
    </xf>
    <xf numFmtId="0" fontId="3" fillId="0" borderId="0" xfId="0" applyFont="1" applyAlignment="1">
      <alignment horizontal="center"/>
    </xf>
    <xf numFmtId="0" fontId="14" fillId="0" borderId="0" xfId="0" applyFont="1" applyAlignment="1">
      <alignment horizontal="center"/>
    </xf>
    <xf numFmtId="17" fontId="14" fillId="0" borderId="0" xfId="0" applyNumberFormat="1"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16" fillId="0" borderId="19" xfId="3" applyFont="1" applyBorder="1" applyAlignment="1">
      <alignment horizontal="center" vertical="center"/>
    </xf>
    <xf numFmtId="170" fontId="18" fillId="0" borderId="26" xfId="4" applyNumberFormat="1" applyFont="1" applyBorder="1" applyAlignment="1">
      <alignment horizontal="center" vertical="center" wrapText="1"/>
    </xf>
    <xf numFmtId="170" fontId="18" fillId="0" borderId="23" xfId="4" applyNumberFormat="1" applyFont="1" applyBorder="1" applyAlignment="1">
      <alignment horizontal="center" vertical="center" wrapText="1"/>
    </xf>
    <xf numFmtId="0" fontId="18" fillId="0" borderId="27" xfId="4" applyFont="1" applyBorder="1" applyAlignment="1">
      <alignment horizontal="center" vertical="center" wrapText="1"/>
    </xf>
    <xf numFmtId="0" fontId="18" fillId="0" borderId="13" xfId="4" applyFont="1" applyBorder="1" applyAlignment="1">
      <alignment horizontal="center" vertical="center" wrapText="1"/>
    </xf>
    <xf numFmtId="17" fontId="18" fillId="2" borderId="28" xfId="4" applyNumberFormat="1" applyFont="1" applyFill="1" applyBorder="1" applyAlignment="1">
      <alignment horizontal="center" vertical="center"/>
    </xf>
    <xf numFmtId="17" fontId="18" fillId="2" borderId="27" xfId="4" applyNumberFormat="1" applyFont="1" applyFill="1" applyBorder="1" applyAlignment="1">
      <alignment horizontal="center" vertical="center"/>
    </xf>
    <xf numFmtId="0" fontId="19" fillId="0" borderId="26" xfId="4" applyFont="1" applyBorder="1" applyAlignment="1">
      <alignment horizontal="center" vertical="center"/>
    </xf>
    <xf numFmtId="0" fontId="19" fillId="0" borderId="23" xfId="4" applyFont="1" applyBorder="1" applyAlignment="1">
      <alignment horizontal="center" vertical="center"/>
    </xf>
    <xf numFmtId="17" fontId="18" fillId="13" borderId="28" xfId="4" applyNumberFormat="1" applyFont="1" applyFill="1" applyBorder="1" applyAlignment="1">
      <alignment horizontal="center" vertical="center"/>
    </xf>
    <xf numFmtId="0" fontId="18" fillId="13" borderId="28" xfId="4" applyFont="1" applyFill="1" applyBorder="1" applyAlignment="1">
      <alignment horizontal="center" vertical="center"/>
    </xf>
    <xf numFmtId="0" fontId="19" fillId="13" borderId="27" xfId="4" applyFont="1" applyFill="1" applyBorder="1" applyAlignment="1">
      <alignment vertical="center"/>
    </xf>
    <xf numFmtId="0" fontId="18" fillId="7" borderId="40" xfId="0" applyFont="1" applyFill="1" applyBorder="1" applyAlignment="1">
      <alignment horizontal="center" wrapText="1"/>
    </xf>
    <xf numFmtId="0" fontId="18" fillId="7" borderId="39" xfId="0" applyFont="1" applyFill="1" applyBorder="1" applyAlignment="1">
      <alignment horizontal="center" wrapText="1"/>
    </xf>
    <xf numFmtId="0" fontId="18" fillId="7" borderId="38" xfId="0" applyFont="1" applyFill="1" applyBorder="1" applyAlignment="1">
      <alignment horizontal="center" wrapText="1"/>
    </xf>
    <xf numFmtId="0" fontId="18" fillId="7" borderId="40" xfId="4" applyFont="1" applyFill="1" applyBorder="1" applyAlignment="1">
      <alignment horizontal="center"/>
    </xf>
    <xf numFmtId="0" fontId="18" fillId="7" borderId="39" xfId="4" applyFont="1" applyFill="1" applyBorder="1" applyAlignment="1">
      <alignment horizontal="center"/>
    </xf>
    <xf numFmtId="0" fontId="19" fillId="7" borderId="38" xfId="4" applyFont="1" applyFill="1" applyBorder="1"/>
    <xf numFmtId="0" fontId="15" fillId="21" borderId="29" xfId="0" applyFont="1" applyFill="1" applyBorder="1" applyAlignment="1">
      <alignment horizontal="center" wrapText="1"/>
    </xf>
    <xf numFmtId="0" fontId="15" fillId="21" borderId="27" xfId="0" applyFont="1" applyFill="1" applyBorder="1" applyAlignment="1">
      <alignment horizontal="center"/>
    </xf>
    <xf numFmtId="0" fontId="15" fillId="21" borderId="9" xfId="0" applyFont="1" applyFill="1" applyBorder="1" applyAlignment="1">
      <alignment horizontal="center"/>
    </xf>
    <xf numFmtId="0" fontId="15" fillId="21" borderId="10" xfId="0" applyFont="1" applyFill="1" applyBorder="1" applyAlignment="1">
      <alignment horizontal="center"/>
    </xf>
    <xf numFmtId="0" fontId="15" fillId="21" borderId="11" xfId="0" applyFont="1" applyFill="1" applyBorder="1" applyAlignment="1">
      <alignment horizontal="center"/>
    </xf>
    <xf numFmtId="0" fontId="15" fillId="21" borderId="56" xfId="0" applyFont="1" applyFill="1" applyBorder="1" applyAlignment="1">
      <alignment horizontal="center"/>
    </xf>
    <xf numFmtId="0" fontId="15" fillId="21" borderId="1" xfId="0" applyFont="1" applyFill="1" applyBorder="1" applyAlignment="1">
      <alignment horizontal="center"/>
    </xf>
    <xf numFmtId="0" fontId="15" fillId="21" borderId="57" xfId="0" applyFont="1" applyFill="1" applyBorder="1" applyAlignment="1">
      <alignment horizontal="center"/>
    </xf>
    <xf numFmtId="0" fontId="15" fillId="21" borderId="70" xfId="0" applyFont="1" applyFill="1" applyBorder="1" applyAlignment="1">
      <alignment horizontal="center"/>
    </xf>
    <xf numFmtId="0" fontId="15" fillId="21" borderId="71" xfId="0" applyFont="1" applyFill="1" applyBorder="1" applyAlignment="1">
      <alignment horizontal="center"/>
    </xf>
    <xf numFmtId="0" fontId="15" fillId="21" borderId="28" xfId="0" applyFont="1" applyFill="1" applyBorder="1" applyAlignment="1">
      <alignment horizontal="center"/>
    </xf>
    <xf numFmtId="0" fontId="15" fillId="21" borderId="28" xfId="0" applyFont="1" applyFill="1" applyBorder="1" applyAlignment="1">
      <alignment horizontal="center" wrapText="1"/>
    </xf>
    <xf numFmtId="0" fontId="15" fillId="0" borderId="4" xfId="17" applyFont="1" applyBorder="1" applyAlignment="1">
      <alignment horizontal="center" wrapText="1"/>
    </xf>
    <xf numFmtId="0" fontId="14" fillId="0" borderId="4" xfId="0" applyFont="1" applyBorder="1" applyAlignment="1">
      <alignment wrapText="1"/>
    </xf>
    <xf numFmtId="0" fontId="15" fillId="0" borderId="0" xfId="0" applyFont="1" applyAlignment="1">
      <alignment horizontal="center" wrapText="1"/>
    </xf>
    <xf numFmtId="0" fontId="14" fillId="0" borderId="0" xfId="0" applyFont="1" applyAlignment="1">
      <alignment wrapText="1"/>
    </xf>
    <xf numFmtId="0" fontId="15" fillId="0" borderId="51" xfId="17" applyFont="1" applyBorder="1" applyAlignment="1">
      <alignment horizontal="center" wrapText="1"/>
    </xf>
    <xf numFmtId="0" fontId="15" fillId="0" borderId="6" xfId="17" applyFont="1" applyBorder="1" applyAlignment="1">
      <alignment horizontal="center" wrapText="1"/>
    </xf>
    <xf numFmtId="0" fontId="15" fillId="0" borderId="7" xfId="17" applyFont="1" applyBorder="1" applyAlignment="1">
      <alignment horizontal="center" wrapText="1"/>
    </xf>
    <xf numFmtId="0" fontId="15" fillId="0" borderId="4" xfId="17" quotePrefix="1" applyFont="1" applyBorder="1" applyAlignment="1">
      <alignment horizontal="center" wrapText="1"/>
    </xf>
    <xf numFmtId="0" fontId="34" fillId="0" borderId="0" xfId="16" applyFont="1" applyAlignment="1">
      <alignment horizontal="center" wrapText="1"/>
    </xf>
    <xf numFmtId="0" fontId="1" fillId="0" borderId="0" xfId="16" applyFont="1" applyAlignment="1">
      <alignment wrapText="1"/>
    </xf>
    <xf numFmtId="0" fontId="19" fillId="0" borderId="1" xfId="0" applyFont="1" applyBorder="1" applyAlignment="1">
      <alignment horizontal="center" wrapText="1"/>
    </xf>
    <xf numFmtId="0" fontId="19" fillId="0" borderId="3" xfId="0" applyFont="1" applyBorder="1" applyAlignment="1">
      <alignment horizontal="center" wrapText="1"/>
    </xf>
    <xf numFmtId="0" fontId="22" fillId="17" borderId="18" xfId="0" applyFont="1" applyFill="1" applyBorder="1" applyAlignment="1">
      <alignment horizontal="center"/>
    </xf>
    <xf numFmtId="0" fontId="22" fillId="17" borderId="16" xfId="0" applyFont="1" applyFill="1" applyBorder="1" applyAlignment="1">
      <alignment horizontal="center"/>
    </xf>
    <xf numFmtId="14" fontId="15" fillId="11" borderId="29" xfId="0" applyNumberFormat="1" applyFont="1" applyFill="1" applyBorder="1" applyAlignment="1">
      <alignment horizontal="center"/>
    </xf>
    <xf numFmtId="14" fontId="15" fillId="11" borderId="28" xfId="0" applyNumberFormat="1" applyFont="1" applyFill="1" applyBorder="1" applyAlignment="1">
      <alignment horizontal="center"/>
    </xf>
    <xf numFmtId="14" fontId="15" fillId="11" borderId="27" xfId="0" applyNumberFormat="1" applyFont="1" applyFill="1" applyBorder="1" applyAlignment="1">
      <alignment horizontal="center"/>
    </xf>
    <xf numFmtId="14" fontId="15" fillId="11" borderId="15" xfId="0" applyNumberFormat="1" applyFont="1" applyFill="1" applyBorder="1" applyAlignment="1">
      <alignment horizontal="center" wrapText="1"/>
    </xf>
    <xf numFmtId="14" fontId="15" fillId="11" borderId="14" xfId="0" applyNumberFormat="1" applyFont="1" applyFill="1" applyBorder="1" applyAlignment="1">
      <alignment horizontal="center" wrapText="1"/>
    </xf>
    <xf numFmtId="14" fontId="15" fillId="11" borderId="13" xfId="0" applyNumberFormat="1" applyFont="1" applyFill="1" applyBorder="1" applyAlignment="1">
      <alignment horizontal="center" wrapText="1"/>
    </xf>
    <xf numFmtId="0" fontId="15" fillId="6" borderId="29" xfId="0" applyFont="1" applyFill="1" applyBorder="1" applyAlignment="1">
      <alignment horizontal="left" vertical="top" wrapText="1"/>
    </xf>
    <xf numFmtId="0" fontId="15" fillId="6" borderId="28" xfId="0" applyFont="1" applyFill="1" applyBorder="1" applyAlignment="1">
      <alignment horizontal="left" vertical="top" wrapText="1"/>
    </xf>
    <xf numFmtId="0" fontId="15" fillId="6" borderId="27" xfId="0" applyFont="1" applyFill="1" applyBorder="1" applyAlignment="1">
      <alignment horizontal="left" vertical="top" wrapText="1"/>
    </xf>
    <xf numFmtId="0" fontId="15" fillId="6" borderId="15" xfId="0" applyFont="1" applyFill="1" applyBorder="1" applyAlignment="1">
      <alignment horizontal="left" vertical="top" wrapText="1"/>
    </xf>
    <xf numFmtId="0" fontId="15" fillId="6" borderId="14" xfId="0" applyFont="1" applyFill="1" applyBorder="1" applyAlignment="1">
      <alignment horizontal="left" vertical="top" wrapText="1"/>
    </xf>
    <xf numFmtId="0" fontId="15" fillId="6" borderId="13" xfId="0" applyFont="1" applyFill="1" applyBorder="1" applyAlignment="1">
      <alignment horizontal="left" vertical="top" wrapText="1"/>
    </xf>
  </cellXfs>
  <cellStyles count="23">
    <cellStyle name="20% - Accent1" xfId="18" builtinId="30"/>
    <cellStyle name="Comma" xfId="1" builtinId="3"/>
    <cellStyle name="Comma 2" xfId="5" xr:uid="{3562954F-04E7-4636-8C3C-67808E466AB4}"/>
    <cellStyle name="Comma 3" xfId="6" xr:uid="{E2AF3A18-26E1-476E-AD1F-13F3DCF95120}"/>
    <cellStyle name="Comma 4" xfId="10" xr:uid="{D19CE328-7986-4EED-B70B-729769F9C118}"/>
    <cellStyle name="Currency" xfId="2" builtinId="4"/>
    <cellStyle name="Currency 2" xfId="8" xr:uid="{7CB9D4B3-B655-4BE3-B534-69CDD4CF7C51}"/>
    <cellStyle name="Currency 3" xfId="21" xr:uid="{6A59A6E1-F087-4C1A-8183-A5B33C12ECD5}"/>
    <cellStyle name="Date" xfId="9" xr:uid="{9CFAE918-4FDD-4995-AD18-A561EBC7BFB8}"/>
    <cellStyle name="Explanatory Text 2" xfId="11" xr:uid="{38A37AD9-93F5-43DC-8A7F-CFB623110473}"/>
    <cellStyle name="HeaderCellStyle" xfId="17" xr:uid="{9AD0438C-CD40-48B4-AC69-482F68C716E6}"/>
    <cellStyle name="Heading 1 2" xfId="13" xr:uid="{ACAEB6EF-CC02-487A-8315-005BC87283D4}"/>
    <cellStyle name="Hyperlink" xfId="3" builtinId="8"/>
    <cellStyle name="Hyperlink 2" xfId="22" xr:uid="{028A589D-C890-40ED-BC2A-73BAAE658B6A}"/>
    <cellStyle name="Normal" xfId="0" builtinId="0"/>
    <cellStyle name="Normal 2" xfId="4" xr:uid="{E25A041D-044A-40BD-BADF-47C5C762083A}"/>
    <cellStyle name="Normal 3" xfId="7" xr:uid="{9027A8F8-52F7-4582-A02D-5C24FD86F4B2}"/>
    <cellStyle name="Normal 4" xfId="16" xr:uid="{12F037C1-DD1B-4348-A021-BB994A72C98C}"/>
    <cellStyle name="Normal 5" xfId="19" xr:uid="{500DD008-3393-441D-948E-010C9FBEF9C9}"/>
    <cellStyle name="Percent" xfId="15" builtinId="5"/>
    <cellStyle name="Percent 2" xfId="12" xr:uid="{1FED2B66-9ADD-4054-A8DC-140346748F52}"/>
    <cellStyle name="Percent 3" xfId="20" xr:uid="{A1011E23-EAE0-448E-8770-DC960F65218E}"/>
    <cellStyle name="Title 2" xfId="14" xr:uid="{7B3BFEF8-6D08-4073-949D-ED2741A7295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border diagonalUp="0" diagonalDown="0" outline="0">
        <left style="thin">
          <color indexed="64"/>
        </left>
        <right/>
        <top/>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FF0000"/>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FF0000"/>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m/d/yyyy"/>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m/d/yyyy"/>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9" formatCode="m/d/yyyy"/>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numFmt numFmtId="34" formatCode="_(&quot;$&quot;* #,##0.00_);_(&quot;$&quot;* \(#,##0.00\);_(&quot;$&quot;* &quot;-&quot;??_);_(@_)"/>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4" formatCode="_(&quot;$&quot;* #,##0.00_);_(&quot;$&quot;* \(#,##0.0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border diagonalUp="0" diagonalDown="0" outline="0">
        <left/>
        <right style="thin">
          <color indexed="64"/>
        </right>
        <top/>
        <bottom/>
      </border>
    </dxf>
    <dxf>
      <font>
        <b val="0"/>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bottom/>
        <vertical style="thin">
          <color indexed="64"/>
        </vertical>
        <horizontal style="thin">
          <color indexed="64"/>
        </horizontal>
      </border>
      <protection locked="0" hidden="0"/>
    </dxf>
    <dxf>
      <border outline="0">
        <left style="thin">
          <color rgb="FF000000"/>
        </left>
        <right style="thin">
          <color rgb="FF000000"/>
        </right>
        <top style="thin">
          <color rgb="FF000000"/>
        </top>
        <bottom style="thin">
          <color rgb="FF000000"/>
        </bottom>
      </border>
    </dxf>
    <dxf>
      <protection locked="0" hidden="0"/>
    </dxf>
    <dxf>
      <font>
        <b/>
        <i val="0"/>
        <strike val="0"/>
        <condense val="0"/>
        <extend val="0"/>
        <outline val="0"/>
        <shadow val="0"/>
        <u val="none"/>
        <vertAlign val="baseline"/>
        <sz val="12"/>
        <color theme="0"/>
        <name val="Calibri"/>
        <family val="2"/>
        <scheme val="none"/>
      </font>
      <fill>
        <patternFill patternType="solid">
          <fgColor indexed="64"/>
          <bgColor rgb="FF0070C0"/>
        </patternFill>
      </fill>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color theme="1" tint="0.24994659260841701"/>
      </font>
      <fill>
        <patternFill patternType="solid">
          <fgColor theme="4" tint="0.79998168889431442"/>
          <bgColor theme="4" tint="0.79998168889431442"/>
        </patternFill>
      </fill>
    </dxf>
    <dxf>
      <font>
        <color theme="1" tint="0.24994659260841701"/>
      </font>
      <fill>
        <patternFill patternType="solid">
          <fgColor theme="4" tint="0.79995117038483843"/>
          <bgColor rgb="FFDDDDDD"/>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s>
  <tableStyles count="1" defaultTableStyle="TableStyleMedium2" defaultPivotStyle="PivotStyleMedium9">
    <tableStyle name="Loan Calculator" pivot="0" count="7" xr9:uid="{BFC34CF9-6BF5-4B8B-82BC-83C5081A9C8C}">
      <tableStyleElement type="wholeTable" dxfId="64"/>
      <tableStyleElement type="headerRow" dxfId="63"/>
      <tableStyleElement type="totalRow" dxfId="62"/>
      <tableStyleElement type="firstColumn" dxfId="61"/>
      <tableStyleElement type="lastColumn" dxfId="60"/>
      <tableStyleElement type="firstRowStripe" dxfId="59"/>
      <tableStyleElement type="firstColumnStripe" dxfId="58"/>
    </tableStyle>
  </tableStyles>
  <colors>
    <mruColors>
      <color rgb="FFCAEDFB"/>
      <color rgb="FFC0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2025 (Month</a:t>
            </a:r>
            <a:r>
              <a:rPr lang="en-US" b="1" baseline="0">
                <a:solidFill>
                  <a:sysClr val="windowText" lastClr="000000"/>
                </a:solidFill>
              </a:rPr>
              <a:t> over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Data'!$B$4</c:f>
              <c:strCache>
                <c:ptCount val="1"/>
                <c:pt idx="0">
                  <c:v>Total Sales</c:v>
                </c:pt>
              </c:strCache>
            </c:strRef>
          </c:tx>
          <c:spPr>
            <a:solidFill>
              <a:schemeClr val="accent1"/>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Data'!$C$4:$K$4</c:f>
              <c:numCache>
                <c:formatCode>_(* #,##0.00_);_(* \(#,##0.00\);_(* "-"??_);_(@_)</c:formatCode>
                <c:ptCount val="9"/>
                <c:pt idx="0">
                  <c:v>206276.98</c:v>
                </c:pt>
                <c:pt idx="1">
                  <c:v>176404.39</c:v>
                </c:pt>
                <c:pt idx="2">
                  <c:v>132652.14000000001</c:v>
                </c:pt>
                <c:pt idx="3">
                  <c:v>334731.69999999995</c:v>
                </c:pt>
                <c:pt idx="4">
                  <c:v>157416.54999999999</c:v>
                </c:pt>
                <c:pt idx="5">
                  <c:v>285232.65999999997</c:v>
                </c:pt>
                <c:pt idx="6">
                  <c:v>233288.8</c:v>
                </c:pt>
                <c:pt idx="7">
                  <c:v>203671.25</c:v>
                </c:pt>
                <c:pt idx="8">
                  <c:v>264826.99</c:v>
                </c:pt>
              </c:numCache>
            </c:numRef>
          </c:val>
          <c:extLst>
            <c:ext xmlns:c16="http://schemas.microsoft.com/office/drawing/2014/chart" uri="{C3380CC4-5D6E-409C-BE32-E72D297353CC}">
              <c16:uniqueId val="{00000000-AE49-48B9-9B63-21636A155E27}"/>
            </c:ext>
          </c:extLst>
        </c:ser>
        <c:ser>
          <c:idx val="1"/>
          <c:order val="1"/>
          <c:tx>
            <c:strRef>
              <c:f>'Charts Data'!$B$6</c:f>
              <c:strCache>
                <c:ptCount val="1"/>
                <c:pt idx="0">
                  <c:v>PN Photography</c:v>
                </c:pt>
              </c:strCache>
            </c:strRef>
          </c:tx>
          <c:spPr>
            <a:solidFill>
              <a:schemeClr val="accent2"/>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Data'!$C$6:$K$6</c:f>
              <c:numCache>
                <c:formatCode>_(* #,##0.00_);_(* \(#,##0.00\);_(* "-"??_);_(@_)</c:formatCode>
                <c:ptCount val="9"/>
                <c:pt idx="0">
                  <c:v>39995</c:v>
                </c:pt>
                <c:pt idx="1">
                  <c:v>95571</c:v>
                </c:pt>
                <c:pt idx="2">
                  <c:v>42655</c:v>
                </c:pt>
                <c:pt idx="3">
                  <c:v>227821.16</c:v>
                </c:pt>
                <c:pt idx="4">
                  <c:v>42058</c:v>
                </c:pt>
                <c:pt idx="5">
                  <c:v>113425</c:v>
                </c:pt>
                <c:pt idx="6">
                  <c:v>72245.5</c:v>
                </c:pt>
                <c:pt idx="7">
                  <c:v>58775.8</c:v>
                </c:pt>
                <c:pt idx="8">
                  <c:v>63601</c:v>
                </c:pt>
              </c:numCache>
            </c:numRef>
          </c:val>
          <c:extLst>
            <c:ext xmlns:c16="http://schemas.microsoft.com/office/drawing/2014/chart" uri="{C3380CC4-5D6E-409C-BE32-E72D297353CC}">
              <c16:uniqueId val="{00000001-AE49-48B9-9B63-21636A155E27}"/>
            </c:ext>
          </c:extLst>
        </c:ser>
        <c:ser>
          <c:idx val="2"/>
          <c:order val="2"/>
          <c:tx>
            <c:strRef>
              <c:f>'Charts Data'!$B$8</c:f>
              <c:strCache>
                <c:ptCount val="1"/>
                <c:pt idx="0">
                  <c:v>PN Printing</c:v>
                </c:pt>
              </c:strCache>
            </c:strRef>
          </c:tx>
          <c:spPr>
            <a:solidFill>
              <a:schemeClr val="accent3"/>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Data'!$C$8:$K$8</c:f>
              <c:numCache>
                <c:formatCode>_(* #,##0.00_);_(* \(#,##0.00\);_(* "-"??_);_(@_)</c:formatCode>
                <c:ptCount val="9"/>
                <c:pt idx="0">
                  <c:v>86243.000000000015</c:v>
                </c:pt>
                <c:pt idx="1">
                  <c:v>57456.19</c:v>
                </c:pt>
                <c:pt idx="2">
                  <c:v>61665.439999999995</c:v>
                </c:pt>
                <c:pt idx="3">
                  <c:v>98270.540000000008</c:v>
                </c:pt>
                <c:pt idx="4">
                  <c:v>112219.05000000002</c:v>
                </c:pt>
                <c:pt idx="5">
                  <c:v>171807.66000000003</c:v>
                </c:pt>
                <c:pt idx="6">
                  <c:v>160043.29999999999</c:v>
                </c:pt>
                <c:pt idx="7">
                  <c:v>144895.44999999998</c:v>
                </c:pt>
                <c:pt idx="8">
                  <c:v>201225.99000000002</c:v>
                </c:pt>
              </c:numCache>
            </c:numRef>
          </c:val>
          <c:extLst>
            <c:ext xmlns:c16="http://schemas.microsoft.com/office/drawing/2014/chart" uri="{C3380CC4-5D6E-409C-BE32-E72D297353CC}">
              <c16:uniqueId val="{00000002-AE49-48B9-9B63-21636A155E27}"/>
            </c:ext>
          </c:extLst>
        </c:ser>
        <c:dLbls>
          <c:showLegendKey val="0"/>
          <c:showVal val="0"/>
          <c:showCatName val="0"/>
          <c:showSerName val="0"/>
          <c:showPercent val="0"/>
          <c:showBubbleSize val="0"/>
        </c:dLbls>
        <c:gapWidth val="219"/>
        <c:overlap val="-27"/>
        <c:axId val="1142252607"/>
        <c:axId val="1142253567"/>
      </c:barChart>
      <c:catAx>
        <c:axId val="114225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53567"/>
        <c:crosses val="autoZero"/>
        <c:auto val="1"/>
        <c:lblAlgn val="ctr"/>
        <c:lblOffset val="100"/>
        <c:noMultiLvlLbl val="0"/>
      </c:catAx>
      <c:valAx>
        <c:axId val="114225356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52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 of Sales</a:t>
            </a:r>
            <a:r>
              <a:rPr lang="en-US" b="1" baseline="0">
                <a:solidFill>
                  <a:sysClr val="windowText" lastClr="000000"/>
                </a:solidFill>
              </a:rPr>
              <a:t> Change (Comparision of Previos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Data'!$B$3</c:f>
              <c:strCache>
                <c:ptCount val="1"/>
                <c:pt idx="0">
                  <c:v>Sales % of change</c:v>
                </c:pt>
              </c:strCache>
            </c:strRef>
          </c:tx>
          <c:spPr>
            <a:solidFill>
              <a:schemeClr val="accent1"/>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Data'!$C$3:$K$3</c:f>
              <c:numCache>
                <c:formatCode>0.00%</c:formatCode>
                <c:ptCount val="9"/>
                <c:pt idx="0">
                  <c:v>0</c:v>
                </c:pt>
                <c:pt idx="1">
                  <c:v>-0.1448178560690582</c:v>
                </c:pt>
                <c:pt idx="2">
                  <c:v>-0.24802245567698172</c:v>
                </c:pt>
                <c:pt idx="3">
                  <c:v>1.523379570054429</c:v>
                </c:pt>
                <c:pt idx="4">
                  <c:v>-0.52972320816940843</c:v>
                </c:pt>
                <c:pt idx="5">
                  <c:v>0.81196106762598974</c:v>
                </c:pt>
                <c:pt idx="6">
                  <c:v>-0.18211049183498126</c:v>
                </c:pt>
                <c:pt idx="7">
                  <c:v>-0.12695658771445517</c:v>
                </c:pt>
                <c:pt idx="8">
                  <c:v>0.30026692525331872</c:v>
                </c:pt>
              </c:numCache>
            </c:numRef>
          </c:val>
          <c:extLst>
            <c:ext xmlns:c16="http://schemas.microsoft.com/office/drawing/2014/chart" uri="{C3380CC4-5D6E-409C-BE32-E72D297353CC}">
              <c16:uniqueId val="{00000000-1489-425E-B263-EC0910B19BC2}"/>
            </c:ext>
          </c:extLst>
        </c:ser>
        <c:ser>
          <c:idx val="1"/>
          <c:order val="1"/>
          <c:tx>
            <c:strRef>
              <c:f>'Charts Data'!$B$5</c:f>
              <c:strCache>
                <c:ptCount val="1"/>
                <c:pt idx="0">
                  <c:v>Photography % of change</c:v>
                </c:pt>
              </c:strCache>
            </c:strRef>
          </c:tx>
          <c:spPr>
            <a:solidFill>
              <a:schemeClr val="accent2"/>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Data'!$C$5:$K$5</c:f>
              <c:numCache>
                <c:formatCode>0.00%</c:formatCode>
                <c:ptCount val="9"/>
                <c:pt idx="0">
                  <c:v>0</c:v>
                </c:pt>
                <c:pt idx="1">
                  <c:v>1.3895736967120891</c:v>
                </c:pt>
                <c:pt idx="2">
                  <c:v>-0.55368260246309031</c:v>
                </c:pt>
                <c:pt idx="3">
                  <c:v>4.3410188723479077</c:v>
                </c:pt>
                <c:pt idx="4">
                  <c:v>-0.81539028244786393</c:v>
                </c:pt>
                <c:pt idx="5">
                  <c:v>1.6968709876836749</c:v>
                </c:pt>
                <c:pt idx="6">
                  <c:v>-0.36305488208067005</c:v>
                </c:pt>
                <c:pt idx="7">
                  <c:v>-0.1864434463046141</c:v>
                </c:pt>
                <c:pt idx="8">
                  <c:v>8.2095011892649644E-2</c:v>
                </c:pt>
              </c:numCache>
            </c:numRef>
          </c:val>
          <c:extLst>
            <c:ext xmlns:c16="http://schemas.microsoft.com/office/drawing/2014/chart" uri="{C3380CC4-5D6E-409C-BE32-E72D297353CC}">
              <c16:uniqueId val="{00000001-1489-425E-B263-EC0910B19BC2}"/>
            </c:ext>
          </c:extLst>
        </c:ser>
        <c:ser>
          <c:idx val="2"/>
          <c:order val="2"/>
          <c:tx>
            <c:strRef>
              <c:f>'Charts Data'!$B$7</c:f>
              <c:strCache>
                <c:ptCount val="1"/>
                <c:pt idx="0">
                  <c:v>Printing % of change</c:v>
                </c:pt>
              </c:strCache>
            </c:strRef>
          </c:tx>
          <c:spPr>
            <a:solidFill>
              <a:schemeClr val="accent3"/>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Data'!$C$7:$K$7</c:f>
              <c:numCache>
                <c:formatCode>0.00%</c:formatCode>
                <c:ptCount val="9"/>
                <c:pt idx="0">
                  <c:v>0</c:v>
                </c:pt>
                <c:pt idx="1">
                  <c:v>-0.33378720591816158</c:v>
                </c:pt>
                <c:pt idx="2">
                  <c:v>7.3260165701902483E-2</c:v>
                </c:pt>
                <c:pt idx="3">
                  <c:v>0.59360802420286007</c:v>
                </c:pt>
                <c:pt idx="4">
                  <c:v>0.14193989368533039</c:v>
                </c:pt>
                <c:pt idx="5">
                  <c:v>0.53100262388605146</c:v>
                </c:pt>
                <c:pt idx="6">
                  <c:v>-6.8474013323969615E-2</c:v>
                </c:pt>
                <c:pt idx="7">
                  <c:v>-9.4648448263688678E-2</c:v>
                </c:pt>
                <c:pt idx="8">
                  <c:v>0.38876679702502764</c:v>
                </c:pt>
              </c:numCache>
            </c:numRef>
          </c:val>
          <c:extLst>
            <c:ext xmlns:c16="http://schemas.microsoft.com/office/drawing/2014/chart" uri="{C3380CC4-5D6E-409C-BE32-E72D297353CC}">
              <c16:uniqueId val="{00000002-1489-425E-B263-EC0910B19BC2}"/>
            </c:ext>
          </c:extLst>
        </c:ser>
        <c:dLbls>
          <c:showLegendKey val="0"/>
          <c:showVal val="0"/>
          <c:showCatName val="0"/>
          <c:showSerName val="0"/>
          <c:showPercent val="0"/>
          <c:showBubbleSize val="0"/>
        </c:dLbls>
        <c:gapWidth val="219"/>
        <c:overlap val="-27"/>
        <c:axId val="1315127855"/>
        <c:axId val="1315120655"/>
      </c:barChart>
      <c:catAx>
        <c:axId val="13151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0655"/>
        <c:crosses val="autoZero"/>
        <c:auto val="1"/>
        <c:lblAlgn val="ctr"/>
        <c:lblOffset val="100"/>
        <c:noMultiLvlLbl val="0"/>
      </c:catAx>
      <c:valAx>
        <c:axId val="131512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7855"/>
        <c:crosses val="autoZero"/>
        <c:crossBetween val="between"/>
        <c:majorUnit val="0.5"/>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a:t>
            </a:r>
            <a:r>
              <a:rPr lang="en-US" b="1">
                <a:solidFill>
                  <a:sysClr val="windowText" lastClr="000000"/>
                </a:solidFill>
              </a:rPr>
              <a:t> GP%</a:t>
            </a:r>
            <a:r>
              <a:rPr lang="en-US" b="1" baseline="0">
                <a:solidFill>
                  <a:sysClr val="windowText" lastClr="000000"/>
                </a:solidFill>
              </a:rPr>
              <a:t> &amp; PBT/PAT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Data'!$B$10</c:f>
              <c:strCache>
                <c:ptCount val="1"/>
                <c:pt idx="0">
                  <c:v>GP %</c:v>
                </c:pt>
              </c:strCache>
            </c:strRef>
          </c:tx>
          <c:spPr>
            <a:solidFill>
              <a:schemeClr val="accent1"/>
            </a:solidFill>
            <a:ln>
              <a:noFill/>
            </a:ln>
            <a:effectLst/>
          </c:spPr>
          <c:invertIfNegative val="0"/>
          <c:cat>
            <c:strRef>
              <c:f>'Charts Data'!$C$2:$L$2</c:f>
              <c:strCache>
                <c:ptCount val="10"/>
                <c:pt idx="0">
                  <c:v>01/2025</c:v>
                </c:pt>
                <c:pt idx="1">
                  <c:v>02/2025</c:v>
                </c:pt>
                <c:pt idx="2">
                  <c:v>03/2025</c:v>
                </c:pt>
                <c:pt idx="3">
                  <c:v>04/2025</c:v>
                </c:pt>
                <c:pt idx="4">
                  <c:v>05/2025</c:v>
                </c:pt>
                <c:pt idx="5">
                  <c:v>06/2025</c:v>
                </c:pt>
                <c:pt idx="6">
                  <c:v>07/2025</c:v>
                </c:pt>
                <c:pt idx="7">
                  <c:v>08/2025</c:v>
                </c:pt>
                <c:pt idx="8">
                  <c:v>09/2025</c:v>
                </c:pt>
                <c:pt idx="9">
                  <c:v>YTD</c:v>
                </c:pt>
              </c:strCache>
            </c:strRef>
          </c:cat>
          <c:val>
            <c:numRef>
              <c:f>'Charts Data'!$C$10:$L$10</c:f>
              <c:numCache>
                <c:formatCode>0.00%</c:formatCode>
                <c:ptCount val="10"/>
                <c:pt idx="0">
                  <c:v>0.45257168298663286</c:v>
                </c:pt>
                <c:pt idx="1">
                  <c:v>0.48468289252892183</c:v>
                </c:pt>
                <c:pt idx="2">
                  <c:v>-7.8812071934912048E-2</c:v>
                </c:pt>
                <c:pt idx="3">
                  <c:v>0.65410365973703699</c:v>
                </c:pt>
                <c:pt idx="4">
                  <c:v>7.5841517299165773E-2</c:v>
                </c:pt>
                <c:pt idx="5">
                  <c:v>0.70868258915371052</c:v>
                </c:pt>
                <c:pt idx="6">
                  <c:v>0.3711723408924904</c:v>
                </c:pt>
                <c:pt idx="7">
                  <c:v>0.53908452960346642</c:v>
                </c:pt>
                <c:pt idx="8">
                  <c:v>0.64922563217593487</c:v>
                </c:pt>
                <c:pt idx="9">
                  <c:v>0.48621018307000879</c:v>
                </c:pt>
              </c:numCache>
            </c:numRef>
          </c:val>
          <c:extLst>
            <c:ext xmlns:c16="http://schemas.microsoft.com/office/drawing/2014/chart" uri="{C3380CC4-5D6E-409C-BE32-E72D297353CC}">
              <c16:uniqueId val="{00000000-9827-40BA-8AD3-72487D1F3B27}"/>
            </c:ext>
          </c:extLst>
        </c:ser>
        <c:ser>
          <c:idx val="1"/>
          <c:order val="1"/>
          <c:tx>
            <c:strRef>
              <c:f>'Charts Data'!$B$16</c:f>
              <c:strCache>
                <c:ptCount val="1"/>
                <c:pt idx="0">
                  <c:v>PBT/PAT %</c:v>
                </c:pt>
              </c:strCache>
            </c:strRef>
          </c:tx>
          <c:spPr>
            <a:solidFill>
              <a:schemeClr val="accent2"/>
            </a:solidFill>
            <a:ln>
              <a:noFill/>
            </a:ln>
            <a:effectLst/>
          </c:spPr>
          <c:invertIfNegative val="0"/>
          <c:cat>
            <c:strRef>
              <c:f>'Charts Data'!$C$2:$L$2</c:f>
              <c:strCache>
                <c:ptCount val="10"/>
                <c:pt idx="0">
                  <c:v>01/2025</c:v>
                </c:pt>
                <c:pt idx="1">
                  <c:v>02/2025</c:v>
                </c:pt>
                <c:pt idx="2">
                  <c:v>03/2025</c:v>
                </c:pt>
                <c:pt idx="3">
                  <c:v>04/2025</c:v>
                </c:pt>
                <c:pt idx="4">
                  <c:v>05/2025</c:v>
                </c:pt>
                <c:pt idx="5">
                  <c:v>06/2025</c:v>
                </c:pt>
                <c:pt idx="6">
                  <c:v>07/2025</c:v>
                </c:pt>
                <c:pt idx="7">
                  <c:v>08/2025</c:v>
                </c:pt>
                <c:pt idx="8">
                  <c:v>09/2025</c:v>
                </c:pt>
                <c:pt idx="9">
                  <c:v>YTD</c:v>
                </c:pt>
              </c:strCache>
            </c:strRef>
          </c:cat>
          <c:val>
            <c:numRef>
              <c:f>'Charts Data'!$C$16:$L$16</c:f>
              <c:numCache>
                <c:formatCode>0.00%</c:formatCode>
                <c:ptCount val="10"/>
                <c:pt idx="0">
                  <c:v>-0.47479103097204534</c:v>
                </c:pt>
                <c:pt idx="1">
                  <c:v>-0.5332517518413229</c:v>
                </c:pt>
                <c:pt idx="2">
                  <c:v>-1.27912749843312</c:v>
                </c:pt>
                <c:pt idx="3">
                  <c:v>3.9507970114572154E-2</c:v>
                </c:pt>
                <c:pt idx="4">
                  <c:v>-0.76437534681073882</c:v>
                </c:pt>
                <c:pt idx="5">
                  <c:v>0.22676999891947863</c:v>
                </c:pt>
                <c:pt idx="6">
                  <c:v>-0.31334393249911696</c:v>
                </c:pt>
                <c:pt idx="7">
                  <c:v>-0.11792120881076731</c:v>
                </c:pt>
                <c:pt idx="8">
                  <c:v>0.19843827096324276</c:v>
                </c:pt>
                <c:pt idx="9">
                  <c:v>-0.22495292633177613</c:v>
                </c:pt>
              </c:numCache>
            </c:numRef>
          </c:val>
          <c:extLst>
            <c:ext xmlns:c16="http://schemas.microsoft.com/office/drawing/2014/chart" uri="{C3380CC4-5D6E-409C-BE32-E72D297353CC}">
              <c16:uniqueId val="{00000001-9827-40BA-8AD3-72487D1F3B27}"/>
            </c:ext>
          </c:extLst>
        </c:ser>
        <c:dLbls>
          <c:showLegendKey val="0"/>
          <c:showVal val="0"/>
          <c:showCatName val="0"/>
          <c:showSerName val="0"/>
          <c:showPercent val="0"/>
          <c:showBubbleSize val="0"/>
        </c:dLbls>
        <c:gapWidth val="219"/>
        <c:overlap val="-27"/>
        <c:axId val="1226421263"/>
        <c:axId val="1226421743"/>
      </c:barChart>
      <c:catAx>
        <c:axId val="12264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21743"/>
        <c:crosses val="autoZero"/>
        <c:auto val="1"/>
        <c:lblAlgn val="ctr"/>
        <c:lblOffset val="100"/>
        <c:noMultiLvlLbl val="0"/>
      </c:catAx>
      <c:valAx>
        <c:axId val="1226421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21263"/>
        <c:crosses val="autoZero"/>
        <c:crossBetween val="between"/>
        <c:majorUnit val="0.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YTD 2025 COGS</a:t>
            </a:r>
            <a:r>
              <a:rPr lang="en-US" b="1" baseline="0">
                <a:solidFill>
                  <a:sysClr val="windowText" lastClr="000000"/>
                </a:solidFill>
              </a:rPr>
              <a:t> % of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 Data'!$C$63</c:f>
              <c:strCache>
                <c:ptCount val="1"/>
                <c:pt idx="0">
                  <c:v>YTD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A8-4FBD-B6BA-01E24F55DC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A8-4FBD-B6BA-01E24F55DC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A8-4FBD-B6BA-01E24F55DC11}"/>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C8ECE63-F590-49D1-AFF5-9909DAC3DC03}" type="CELLRANGE">
                      <a:rPr lang="en-US" sz="1000" b="1"/>
                      <a:pPr>
                        <a:defRPr/>
                      </a:pPr>
                      <a:t>[CELLRANGE]</a:t>
                    </a:fld>
                    <a:r>
                      <a:rPr lang="en-US" sz="1000" b="1" baseline="0"/>
                      <a:t> of Total Sales</a:t>
                    </a:r>
                  </a:p>
                  <a:p>
                    <a:pPr>
                      <a:defRPr/>
                    </a:pPr>
                    <a:r>
                      <a:rPr lang="en-US" sz="1000" b="1" baseline="0"/>
                      <a:t> </a:t>
                    </a:r>
                    <a:fld id="{00E6276B-3D8D-490D-90C5-6BCACD854C81}" type="CATEGORYNAME">
                      <a:rPr lang="en-US" sz="1000" b="1" baseline="0"/>
                      <a:pPr>
                        <a:defRPr/>
                      </a:pPr>
                      <a:t>[CATEGORY NAME]</a:t>
                    </a:fld>
                    <a:r>
                      <a:rPr lang="en-US" sz="1000" b="1" baseline="0"/>
                      <a:t> -</a:t>
                    </a:r>
                    <a:fld id="{AE9E3BCF-445A-4AB3-BDAB-48ED6A992FAF}" type="VALUE">
                      <a:rPr lang="en-US" sz="1000" b="1" baseline="0"/>
                      <a:pPr>
                        <a:defRPr/>
                      </a:pPr>
                      <a:t>[VALUE]</a:t>
                    </a:fld>
                    <a:endParaRPr lang="en-US" sz="1000" b="1" baseline="0"/>
                  </a:p>
                  <a:p>
                    <a:pPr>
                      <a:defRPr/>
                    </a:pPr>
                    <a:fld id="{23ACCDDD-B473-49AC-B36A-9CF6C303E3B3}" type="PERCENTAGE">
                      <a:rPr lang="en-US" sz="1000" b="1" baseline="0"/>
                      <a:pPr>
                        <a:defRPr/>
                      </a:pPr>
                      <a:t>[PERCENTAGE]</a:t>
                    </a:fld>
                    <a:r>
                      <a:rPr lang="en-US" sz="1000" b="1" baseline="0"/>
                      <a:t> of Total COGS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469523739873071"/>
                      <c:h val="0.17879046175066432"/>
                    </c:manualLayout>
                  </c15:layout>
                  <c15:dlblFieldTable/>
                  <c15:showDataLabelsRange val="1"/>
                </c:ext>
                <c:ext xmlns:c16="http://schemas.microsoft.com/office/drawing/2014/chart" uri="{C3380CC4-5D6E-409C-BE32-E72D297353CC}">
                  <c16:uniqueId val="{00000001-9DA8-4FBD-B6BA-01E24F55DC11}"/>
                </c:ext>
              </c:extLst>
            </c:dLbl>
            <c:dLbl>
              <c:idx val="1"/>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3830BB0-DF56-435B-800D-8A1766FCBC31}" type="CELLRANGE">
                      <a:rPr lang="en-US" sz="1000" b="1"/>
                      <a:pPr>
                        <a:defRPr/>
                      </a:pPr>
                      <a:t>[CELLRANGE]</a:t>
                    </a:fld>
                    <a:r>
                      <a:rPr lang="en-US" sz="1000" b="1" baseline="0"/>
                      <a:t> of Total Sales </a:t>
                    </a:r>
                  </a:p>
                  <a:p>
                    <a:pPr>
                      <a:defRPr/>
                    </a:pPr>
                    <a:fld id="{0FCECDC7-8A2E-419D-A5A6-03513D868F6F}" type="CATEGORYNAME">
                      <a:rPr lang="en-US" sz="1000" b="1" baseline="0"/>
                      <a:pPr>
                        <a:defRPr/>
                      </a:pPr>
                      <a:t>[CATEGORY NAME]</a:t>
                    </a:fld>
                    <a:r>
                      <a:rPr lang="en-US" sz="1000" b="1" baseline="0"/>
                      <a:t> - </a:t>
                    </a:r>
                    <a:fld id="{73FE82A3-46D8-4785-BC03-F302D69C8A01}" type="VALUE">
                      <a:rPr lang="en-US" sz="1000" b="1" baseline="0"/>
                      <a:pPr>
                        <a:defRPr/>
                      </a:pPr>
                      <a:t>[VALUE]</a:t>
                    </a:fld>
                    <a:endParaRPr lang="en-US" sz="1000" b="1" baseline="0"/>
                  </a:p>
                  <a:p>
                    <a:pPr>
                      <a:defRPr/>
                    </a:pPr>
                    <a:fld id="{3A2B5F15-695D-4E4C-8E09-B297D45F4AE3}" type="PERCENTAGE">
                      <a:rPr lang="en-US" sz="1000" b="1" baseline="0"/>
                      <a:pPr>
                        <a:defRPr/>
                      </a:pPr>
                      <a:t>[PERCENTAGE]</a:t>
                    </a:fld>
                    <a:r>
                      <a:rPr lang="en-US" sz="1000" b="1" baseline="0"/>
                      <a:t> of Total COGS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221528810446678"/>
                      <c:h val="0.13667644909784823"/>
                    </c:manualLayout>
                  </c15:layout>
                  <c15:dlblFieldTable/>
                  <c15:showDataLabelsRange val="1"/>
                </c:ext>
                <c:ext xmlns:c16="http://schemas.microsoft.com/office/drawing/2014/chart" uri="{C3380CC4-5D6E-409C-BE32-E72D297353CC}">
                  <c16:uniqueId val="{00000003-9DA8-4FBD-B6BA-01E24F55DC11}"/>
                </c:ext>
              </c:extLst>
            </c:dLbl>
            <c:dLbl>
              <c:idx val="2"/>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C8EAB4C-A596-4CED-BD8A-F2D988BF6398}" type="CELLRANGE">
                      <a:rPr lang="en-US" sz="1000" b="1"/>
                      <a:pPr>
                        <a:defRPr/>
                      </a:pPr>
                      <a:t>[CELLRANGE]</a:t>
                    </a:fld>
                    <a:r>
                      <a:rPr lang="en-US" sz="1000" b="1" baseline="0"/>
                      <a:t> of Total Sales</a:t>
                    </a:r>
                  </a:p>
                  <a:p>
                    <a:pPr>
                      <a:defRPr/>
                    </a:pPr>
                    <a:fld id="{91588C56-5610-4730-908E-D8DD54ED3045}" type="CATEGORYNAME">
                      <a:rPr lang="en-US" sz="1000" b="1" baseline="0"/>
                      <a:pPr>
                        <a:defRPr/>
                      </a:pPr>
                      <a:t>[CATEGORY NAME]</a:t>
                    </a:fld>
                    <a:r>
                      <a:rPr lang="en-US" sz="1000" b="1" baseline="0"/>
                      <a:t> - </a:t>
                    </a:r>
                    <a:fld id="{205A5F8E-45B0-4CAB-A4B7-0D3ECAA875F2}" type="VALUE">
                      <a:rPr lang="en-US" sz="1000" b="1" baseline="0"/>
                      <a:pPr>
                        <a:defRPr/>
                      </a:pPr>
                      <a:t>[VALUE]</a:t>
                    </a:fld>
                    <a:endParaRPr lang="en-US" sz="1000" b="1" baseline="0"/>
                  </a:p>
                  <a:p>
                    <a:pPr>
                      <a:defRPr/>
                    </a:pPr>
                    <a:fld id="{3934EEB1-35D2-492B-8FF4-9C982ACFC0BC}" type="PERCENTAGE">
                      <a:rPr lang="en-US" sz="1000" b="1" baseline="0"/>
                      <a:pPr>
                        <a:defRPr/>
                      </a:pPr>
                      <a:t>[PERCENTAGE]</a:t>
                    </a:fld>
                    <a:r>
                      <a:rPr lang="en-US" sz="1000" b="1" baseline="0"/>
                      <a:t> of Total COGS</a:t>
                    </a: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576582725920868"/>
                      <c:h val="0.15246037134602122"/>
                    </c:manualLayout>
                  </c15:layout>
                  <c15:dlblFieldTable/>
                  <c15:showDataLabelsRange val="1"/>
                </c:ext>
                <c:ext xmlns:c16="http://schemas.microsoft.com/office/drawing/2014/chart" uri="{C3380CC4-5D6E-409C-BE32-E72D297353CC}">
                  <c16:uniqueId val="{00000005-9DA8-4FBD-B6BA-01E24F55DC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'Charts Data'!$B$64:$B$66</c:f>
              <c:strCache>
                <c:ptCount val="3"/>
                <c:pt idx="0">
                  <c:v>Cost of Materials</c:v>
                </c:pt>
                <c:pt idx="1">
                  <c:v>Travels and Meals</c:v>
                </c:pt>
                <c:pt idx="2">
                  <c:v>Wages &amp; Taxes</c:v>
                </c:pt>
              </c:strCache>
            </c:strRef>
          </c:cat>
          <c:val>
            <c:numRef>
              <c:f>'Charts Data'!$C$64:$C$66</c:f>
              <c:numCache>
                <c:formatCode>#,##0.00_);[Red]\(#,##0.00\)</c:formatCode>
                <c:ptCount val="3"/>
                <c:pt idx="0">
                  <c:v>318180.89000000007</c:v>
                </c:pt>
                <c:pt idx="1">
                  <c:v>10319.720000000001</c:v>
                </c:pt>
                <c:pt idx="2">
                  <c:v>696253.93000000017</c:v>
                </c:pt>
              </c:numCache>
            </c:numRef>
          </c:val>
          <c:extLst>
            <c:ext xmlns:c15="http://schemas.microsoft.com/office/drawing/2012/chart" uri="{02D57815-91ED-43cb-92C2-25804820EDAC}">
              <c15:datalabelsRange>
                <c15:f>'Charts Data'!$D$64:$D$66</c15:f>
                <c15:dlblRangeCache>
                  <c:ptCount val="3"/>
                  <c:pt idx="0">
                    <c:v>15.95%</c:v>
                  </c:pt>
                  <c:pt idx="1">
                    <c:v>0.52%</c:v>
                  </c:pt>
                  <c:pt idx="2">
                    <c:v>34.91%</c:v>
                  </c:pt>
                </c15:dlblRangeCache>
              </c15:datalabelsRange>
            </c:ext>
            <c:ext xmlns:c16="http://schemas.microsoft.com/office/drawing/2014/chart" uri="{C3380CC4-5D6E-409C-BE32-E72D297353CC}">
              <c16:uniqueId val="{00000006-9DA8-4FBD-B6BA-01E24F55DC11}"/>
            </c:ext>
          </c:extLst>
        </c:ser>
        <c:ser>
          <c:idx val="1"/>
          <c:order val="1"/>
          <c:tx>
            <c:strRef>
              <c:f>'Charts Data'!$D$63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DA8-4FBD-B6BA-01E24F55DC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DA8-4FBD-B6BA-01E24F55DC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DA8-4FBD-B6BA-01E24F55DC1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Data'!$B$64:$B$66</c:f>
              <c:strCache>
                <c:ptCount val="3"/>
                <c:pt idx="0">
                  <c:v>Cost of Materials</c:v>
                </c:pt>
                <c:pt idx="1">
                  <c:v>Travels and Meals</c:v>
                </c:pt>
                <c:pt idx="2">
                  <c:v>Wages &amp; Taxes</c:v>
                </c:pt>
              </c:strCache>
            </c:strRef>
          </c:cat>
          <c:val>
            <c:numRef>
              <c:f>'Charts Data'!$D$64:$D$66</c:f>
              <c:numCache>
                <c:formatCode>0.00%</c:formatCode>
                <c:ptCount val="3"/>
                <c:pt idx="0">
                  <c:v>0.15952903338561611</c:v>
                </c:pt>
                <c:pt idx="1">
                  <c:v>5.1740849565484904E-3</c:v>
                </c:pt>
                <c:pt idx="2">
                  <c:v>0.34908669858782665</c:v>
                </c:pt>
              </c:numCache>
            </c:numRef>
          </c:val>
          <c:extLst>
            <c:ext xmlns:c16="http://schemas.microsoft.com/office/drawing/2014/chart" uri="{C3380CC4-5D6E-409C-BE32-E72D297353CC}">
              <c16:uniqueId val="{0000000D-9DA8-4FBD-B6BA-01E24F55DC11}"/>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2025 (Month</a:t>
            </a:r>
            <a:r>
              <a:rPr lang="en-US" b="1" baseline="0">
                <a:solidFill>
                  <a:sysClr val="windowText" lastClr="000000"/>
                </a:solidFill>
              </a:rPr>
              <a:t> over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Data'!$B$4</c:f>
              <c:strCache>
                <c:ptCount val="1"/>
                <c:pt idx="0">
                  <c:v>Total Sales</c:v>
                </c:pt>
              </c:strCache>
            </c:strRef>
          </c:tx>
          <c:spPr>
            <a:solidFill>
              <a:schemeClr val="accent1"/>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Data'!$C$4:$K$4</c:f>
              <c:numCache>
                <c:formatCode>_(* #,##0.00_);_(* \(#,##0.00\);_(* "-"??_);_(@_)</c:formatCode>
                <c:ptCount val="9"/>
                <c:pt idx="0">
                  <c:v>206276.98</c:v>
                </c:pt>
                <c:pt idx="1">
                  <c:v>176404.39</c:v>
                </c:pt>
                <c:pt idx="2">
                  <c:v>132652.14000000001</c:v>
                </c:pt>
                <c:pt idx="3">
                  <c:v>334731.69999999995</c:v>
                </c:pt>
                <c:pt idx="4">
                  <c:v>157416.54999999999</c:v>
                </c:pt>
                <c:pt idx="5">
                  <c:v>285232.65999999997</c:v>
                </c:pt>
                <c:pt idx="6">
                  <c:v>233288.8</c:v>
                </c:pt>
                <c:pt idx="7">
                  <c:v>203671.25</c:v>
                </c:pt>
                <c:pt idx="8">
                  <c:v>264826.99</c:v>
                </c:pt>
              </c:numCache>
            </c:numRef>
          </c:val>
          <c:extLst>
            <c:ext xmlns:c16="http://schemas.microsoft.com/office/drawing/2014/chart" uri="{C3380CC4-5D6E-409C-BE32-E72D297353CC}">
              <c16:uniqueId val="{00000000-F2EE-48D0-B69D-FF1EE7B82181}"/>
            </c:ext>
          </c:extLst>
        </c:ser>
        <c:ser>
          <c:idx val="1"/>
          <c:order val="1"/>
          <c:tx>
            <c:strRef>
              <c:f>'Charts Data'!$B$6</c:f>
              <c:strCache>
                <c:ptCount val="1"/>
                <c:pt idx="0">
                  <c:v>PN Photography</c:v>
                </c:pt>
              </c:strCache>
            </c:strRef>
          </c:tx>
          <c:spPr>
            <a:solidFill>
              <a:schemeClr val="accent2"/>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Data'!$C$6:$K$6</c:f>
              <c:numCache>
                <c:formatCode>_(* #,##0.00_);_(* \(#,##0.00\);_(* "-"??_);_(@_)</c:formatCode>
                <c:ptCount val="9"/>
                <c:pt idx="0">
                  <c:v>39995</c:v>
                </c:pt>
                <c:pt idx="1">
                  <c:v>95571</c:v>
                </c:pt>
                <c:pt idx="2">
                  <c:v>42655</c:v>
                </c:pt>
                <c:pt idx="3">
                  <c:v>227821.16</c:v>
                </c:pt>
                <c:pt idx="4">
                  <c:v>42058</c:v>
                </c:pt>
                <c:pt idx="5">
                  <c:v>113425</c:v>
                </c:pt>
                <c:pt idx="6">
                  <c:v>72245.5</c:v>
                </c:pt>
                <c:pt idx="7">
                  <c:v>58775.8</c:v>
                </c:pt>
                <c:pt idx="8">
                  <c:v>63601</c:v>
                </c:pt>
              </c:numCache>
            </c:numRef>
          </c:val>
          <c:extLst>
            <c:ext xmlns:c16="http://schemas.microsoft.com/office/drawing/2014/chart" uri="{C3380CC4-5D6E-409C-BE32-E72D297353CC}">
              <c16:uniqueId val="{00000001-F2EE-48D0-B69D-FF1EE7B82181}"/>
            </c:ext>
          </c:extLst>
        </c:ser>
        <c:ser>
          <c:idx val="2"/>
          <c:order val="2"/>
          <c:tx>
            <c:strRef>
              <c:f>'Charts Data'!$B$8</c:f>
              <c:strCache>
                <c:ptCount val="1"/>
                <c:pt idx="0">
                  <c:v>PN Printing</c:v>
                </c:pt>
              </c:strCache>
            </c:strRef>
          </c:tx>
          <c:spPr>
            <a:solidFill>
              <a:schemeClr val="accent3"/>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Data'!$C$8:$K$8</c:f>
              <c:numCache>
                <c:formatCode>_(* #,##0.00_);_(* \(#,##0.00\);_(* "-"??_);_(@_)</c:formatCode>
                <c:ptCount val="9"/>
                <c:pt idx="0">
                  <c:v>86243.000000000015</c:v>
                </c:pt>
                <c:pt idx="1">
                  <c:v>57456.19</c:v>
                </c:pt>
                <c:pt idx="2">
                  <c:v>61665.439999999995</c:v>
                </c:pt>
                <c:pt idx="3">
                  <c:v>98270.540000000008</c:v>
                </c:pt>
                <c:pt idx="4">
                  <c:v>112219.05000000002</c:v>
                </c:pt>
                <c:pt idx="5">
                  <c:v>171807.66000000003</c:v>
                </c:pt>
                <c:pt idx="6">
                  <c:v>160043.29999999999</c:v>
                </c:pt>
                <c:pt idx="7">
                  <c:v>144895.44999999998</c:v>
                </c:pt>
                <c:pt idx="8">
                  <c:v>201225.99000000002</c:v>
                </c:pt>
              </c:numCache>
            </c:numRef>
          </c:val>
          <c:extLst>
            <c:ext xmlns:c16="http://schemas.microsoft.com/office/drawing/2014/chart" uri="{C3380CC4-5D6E-409C-BE32-E72D297353CC}">
              <c16:uniqueId val="{00000002-F2EE-48D0-B69D-FF1EE7B82181}"/>
            </c:ext>
          </c:extLst>
        </c:ser>
        <c:dLbls>
          <c:showLegendKey val="0"/>
          <c:showVal val="0"/>
          <c:showCatName val="0"/>
          <c:showSerName val="0"/>
          <c:showPercent val="0"/>
          <c:showBubbleSize val="0"/>
        </c:dLbls>
        <c:gapWidth val="219"/>
        <c:overlap val="-27"/>
        <c:axId val="1142252607"/>
        <c:axId val="1142253567"/>
      </c:barChart>
      <c:catAx>
        <c:axId val="114225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53567"/>
        <c:crosses val="autoZero"/>
        <c:auto val="1"/>
        <c:lblAlgn val="ctr"/>
        <c:lblOffset val="100"/>
        <c:noMultiLvlLbl val="0"/>
      </c:catAx>
      <c:valAx>
        <c:axId val="114225356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52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 of Sales</a:t>
            </a:r>
            <a:r>
              <a:rPr lang="en-US" b="1" baseline="0">
                <a:solidFill>
                  <a:sysClr val="windowText" lastClr="000000"/>
                </a:solidFill>
              </a:rPr>
              <a:t> Change (Month over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Data'!$B$3</c:f>
              <c:strCache>
                <c:ptCount val="1"/>
                <c:pt idx="0">
                  <c:v>Sales % of change</c:v>
                </c:pt>
              </c:strCache>
            </c:strRef>
          </c:tx>
          <c:spPr>
            <a:solidFill>
              <a:schemeClr val="accent1"/>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Data'!$C$3:$K$3</c:f>
              <c:numCache>
                <c:formatCode>0.00%</c:formatCode>
                <c:ptCount val="9"/>
                <c:pt idx="0">
                  <c:v>0</c:v>
                </c:pt>
                <c:pt idx="1">
                  <c:v>-0.1448178560690582</c:v>
                </c:pt>
                <c:pt idx="2">
                  <c:v>-0.24802245567698172</c:v>
                </c:pt>
                <c:pt idx="3">
                  <c:v>1.523379570054429</c:v>
                </c:pt>
                <c:pt idx="4">
                  <c:v>-0.52972320816940843</c:v>
                </c:pt>
                <c:pt idx="5">
                  <c:v>0.81196106762598974</c:v>
                </c:pt>
                <c:pt idx="6">
                  <c:v>-0.18211049183498126</c:v>
                </c:pt>
                <c:pt idx="7">
                  <c:v>-0.12695658771445517</c:v>
                </c:pt>
                <c:pt idx="8">
                  <c:v>0.30026692525331872</c:v>
                </c:pt>
              </c:numCache>
            </c:numRef>
          </c:val>
          <c:extLst>
            <c:ext xmlns:c16="http://schemas.microsoft.com/office/drawing/2014/chart" uri="{C3380CC4-5D6E-409C-BE32-E72D297353CC}">
              <c16:uniqueId val="{00000000-0F7C-4E95-AD21-2784D37C66CD}"/>
            </c:ext>
          </c:extLst>
        </c:ser>
        <c:ser>
          <c:idx val="1"/>
          <c:order val="1"/>
          <c:tx>
            <c:strRef>
              <c:f>'Charts Data'!$B$5</c:f>
              <c:strCache>
                <c:ptCount val="1"/>
                <c:pt idx="0">
                  <c:v>Photography % of change</c:v>
                </c:pt>
              </c:strCache>
            </c:strRef>
          </c:tx>
          <c:spPr>
            <a:solidFill>
              <a:schemeClr val="accent2"/>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Data'!$C$5:$K$5</c:f>
              <c:numCache>
                <c:formatCode>0.00%</c:formatCode>
                <c:ptCount val="9"/>
                <c:pt idx="0">
                  <c:v>0</c:v>
                </c:pt>
                <c:pt idx="1">
                  <c:v>1.3895736967120891</c:v>
                </c:pt>
                <c:pt idx="2">
                  <c:v>-0.55368260246309031</c:v>
                </c:pt>
                <c:pt idx="3">
                  <c:v>4.3410188723479077</c:v>
                </c:pt>
                <c:pt idx="4">
                  <c:v>-0.81539028244786393</c:v>
                </c:pt>
                <c:pt idx="5">
                  <c:v>1.6968709876836749</c:v>
                </c:pt>
                <c:pt idx="6">
                  <c:v>-0.36305488208067005</c:v>
                </c:pt>
                <c:pt idx="7">
                  <c:v>-0.1864434463046141</c:v>
                </c:pt>
                <c:pt idx="8">
                  <c:v>8.2095011892649644E-2</c:v>
                </c:pt>
              </c:numCache>
            </c:numRef>
          </c:val>
          <c:extLst>
            <c:ext xmlns:c16="http://schemas.microsoft.com/office/drawing/2014/chart" uri="{C3380CC4-5D6E-409C-BE32-E72D297353CC}">
              <c16:uniqueId val="{00000001-0F7C-4E95-AD21-2784D37C66CD}"/>
            </c:ext>
          </c:extLst>
        </c:ser>
        <c:ser>
          <c:idx val="2"/>
          <c:order val="2"/>
          <c:tx>
            <c:strRef>
              <c:f>'Charts Data'!$B$7</c:f>
              <c:strCache>
                <c:ptCount val="1"/>
                <c:pt idx="0">
                  <c:v>Printing % of change</c:v>
                </c:pt>
              </c:strCache>
            </c:strRef>
          </c:tx>
          <c:spPr>
            <a:solidFill>
              <a:schemeClr val="accent3"/>
            </a:solidFill>
            <a:ln>
              <a:noFill/>
            </a:ln>
            <a:effectLst/>
          </c:spPr>
          <c:invertIfNegative val="0"/>
          <c:cat>
            <c:strRef>
              <c:f>'Charts Data'!$C$2:$K$2</c:f>
              <c:strCache>
                <c:ptCount val="9"/>
                <c:pt idx="0">
                  <c:v>01/2025</c:v>
                </c:pt>
                <c:pt idx="1">
                  <c:v>02/2025</c:v>
                </c:pt>
                <c:pt idx="2">
                  <c:v>03/2025</c:v>
                </c:pt>
                <c:pt idx="3">
                  <c:v>04/2025</c:v>
                </c:pt>
                <c:pt idx="4">
                  <c:v>05/2025</c:v>
                </c:pt>
                <c:pt idx="5">
                  <c:v>06/2025</c:v>
                </c:pt>
                <c:pt idx="6">
                  <c:v>07/2025</c:v>
                </c:pt>
                <c:pt idx="7">
                  <c:v>08/2025</c:v>
                </c:pt>
                <c:pt idx="8">
                  <c:v>09/2025</c:v>
                </c:pt>
              </c:strCache>
            </c:strRef>
          </c:cat>
          <c:val>
            <c:numRef>
              <c:f>'Charts Data'!$C$7:$K$7</c:f>
              <c:numCache>
                <c:formatCode>0.00%</c:formatCode>
                <c:ptCount val="9"/>
                <c:pt idx="0">
                  <c:v>0</c:v>
                </c:pt>
                <c:pt idx="1">
                  <c:v>-0.33378720591816158</c:v>
                </c:pt>
                <c:pt idx="2">
                  <c:v>7.3260165701902483E-2</c:v>
                </c:pt>
                <c:pt idx="3">
                  <c:v>0.59360802420286007</c:v>
                </c:pt>
                <c:pt idx="4">
                  <c:v>0.14193989368533039</c:v>
                </c:pt>
                <c:pt idx="5">
                  <c:v>0.53100262388605146</c:v>
                </c:pt>
                <c:pt idx="6">
                  <c:v>-6.8474013323969615E-2</c:v>
                </c:pt>
                <c:pt idx="7">
                  <c:v>-9.4648448263688678E-2</c:v>
                </c:pt>
                <c:pt idx="8">
                  <c:v>0.38876679702502764</c:v>
                </c:pt>
              </c:numCache>
            </c:numRef>
          </c:val>
          <c:extLst>
            <c:ext xmlns:c16="http://schemas.microsoft.com/office/drawing/2014/chart" uri="{C3380CC4-5D6E-409C-BE32-E72D297353CC}">
              <c16:uniqueId val="{00000002-0F7C-4E95-AD21-2784D37C66CD}"/>
            </c:ext>
          </c:extLst>
        </c:ser>
        <c:dLbls>
          <c:showLegendKey val="0"/>
          <c:showVal val="0"/>
          <c:showCatName val="0"/>
          <c:showSerName val="0"/>
          <c:showPercent val="0"/>
          <c:showBubbleSize val="0"/>
        </c:dLbls>
        <c:gapWidth val="219"/>
        <c:overlap val="-27"/>
        <c:axId val="1315127855"/>
        <c:axId val="1315120655"/>
      </c:barChart>
      <c:catAx>
        <c:axId val="13151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0655"/>
        <c:crosses val="autoZero"/>
        <c:auto val="1"/>
        <c:lblAlgn val="ctr"/>
        <c:lblOffset val="100"/>
        <c:noMultiLvlLbl val="0"/>
      </c:catAx>
      <c:valAx>
        <c:axId val="131512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27855"/>
        <c:crosses val="autoZero"/>
        <c:crossBetween val="between"/>
        <c:majorUnit val="0.5"/>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a:t>
            </a:r>
            <a:r>
              <a:rPr lang="en-US" b="1">
                <a:solidFill>
                  <a:sysClr val="windowText" lastClr="000000"/>
                </a:solidFill>
              </a:rPr>
              <a:t> GP%</a:t>
            </a:r>
            <a:r>
              <a:rPr lang="en-US" b="1" baseline="0">
                <a:solidFill>
                  <a:sysClr val="windowText" lastClr="000000"/>
                </a:solidFill>
              </a:rPr>
              <a:t> &amp; PBT/PAT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Data'!$B$10</c:f>
              <c:strCache>
                <c:ptCount val="1"/>
                <c:pt idx="0">
                  <c:v>GP %</c:v>
                </c:pt>
              </c:strCache>
            </c:strRef>
          </c:tx>
          <c:spPr>
            <a:solidFill>
              <a:schemeClr val="accent1"/>
            </a:solidFill>
            <a:ln>
              <a:noFill/>
            </a:ln>
            <a:effectLst/>
          </c:spPr>
          <c:invertIfNegative val="0"/>
          <c:cat>
            <c:strRef>
              <c:f>'Charts Data'!$C$2:$L$2</c:f>
              <c:strCache>
                <c:ptCount val="10"/>
                <c:pt idx="0">
                  <c:v>01/2025</c:v>
                </c:pt>
                <c:pt idx="1">
                  <c:v>02/2025</c:v>
                </c:pt>
                <c:pt idx="2">
                  <c:v>03/2025</c:v>
                </c:pt>
                <c:pt idx="3">
                  <c:v>04/2025</c:v>
                </c:pt>
                <c:pt idx="4">
                  <c:v>05/2025</c:v>
                </c:pt>
                <c:pt idx="5">
                  <c:v>06/2025</c:v>
                </c:pt>
                <c:pt idx="6">
                  <c:v>07/2025</c:v>
                </c:pt>
                <c:pt idx="7">
                  <c:v>08/2025</c:v>
                </c:pt>
                <c:pt idx="8">
                  <c:v>09/2025</c:v>
                </c:pt>
                <c:pt idx="9">
                  <c:v>YTD</c:v>
                </c:pt>
              </c:strCache>
            </c:strRef>
          </c:cat>
          <c:val>
            <c:numRef>
              <c:f>'Charts Data'!$C$10:$L$10</c:f>
              <c:numCache>
                <c:formatCode>0.00%</c:formatCode>
                <c:ptCount val="10"/>
                <c:pt idx="0">
                  <c:v>0.45257168298663286</c:v>
                </c:pt>
                <c:pt idx="1">
                  <c:v>0.48468289252892183</c:v>
                </c:pt>
                <c:pt idx="2">
                  <c:v>-7.8812071934912048E-2</c:v>
                </c:pt>
                <c:pt idx="3">
                  <c:v>0.65410365973703699</c:v>
                </c:pt>
                <c:pt idx="4">
                  <c:v>7.5841517299165773E-2</c:v>
                </c:pt>
                <c:pt idx="5">
                  <c:v>0.70868258915371052</c:v>
                </c:pt>
                <c:pt idx="6">
                  <c:v>0.3711723408924904</c:v>
                </c:pt>
                <c:pt idx="7">
                  <c:v>0.53908452960346642</c:v>
                </c:pt>
                <c:pt idx="8">
                  <c:v>0.64922563217593487</c:v>
                </c:pt>
                <c:pt idx="9">
                  <c:v>0.48621018307000879</c:v>
                </c:pt>
              </c:numCache>
            </c:numRef>
          </c:val>
          <c:extLst>
            <c:ext xmlns:c16="http://schemas.microsoft.com/office/drawing/2014/chart" uri="{C3380CC4-5D6E-409C-BE32-E72D297353CC}">
              <c16:uniqueId val="{00000000-903B-47BD-B85B-C6A03DC2789F}"/>
            </c:ext>
          </c:extLst>
        </c:ser>
        <c:ser>
          <c:idx val="1"/>
          <c:order val="1"/>
          <c:tx>
            <c:strRef>
              <c:f>'Charts Data'!$B$16</c:f>
              <c:strCache>
                <c:ptCount val="1"/>
                <c:pt idx="0">
                  <c:v>PBT/PAT %</c:v>
                </c:pt>
              </c:strCache>
            </c:strRef>
          </c:tx>
          <c:spPr>
            <a:solidFill>
              <a:schemeClr val="accent2"/>
            </a:solidFill>
            <a:ln>
              <a:noFill/>
            </a:ln>
            <a:effectLst/>
          </c:spPr>
          <c:invertIfNegative val="0"/>
          <c:cat>
            <c:strRef>
              <c:f>'Charts Data'!$C$2:$L$2</c:f>
              <c:strCache>
                <c:ptCount val="10"/>
                <c:pt idx="0">
                  <c:v>01/2025</c:v>
                </c:pt>
                <c:pt idx="1">
                  <c:v>02/2025</c:v>
                </c:pt>
                <c:pt idx="2">
                  <c:v>03/2025</c:v>
                </c:pt>
                <c:pt idx="3">
                  <c:v>04/2025</c:v>
                </c:pt>
                <c:pt idx="4">
                  <c:v>05/2025</c:v>
                </c:pt>
                <c:pt idx="5">
                  <c:v>06/2025</c:v>
                </c:pt>
                <c:pt idx="6">
                  <c:v>07/2025</c:v>
                </c:pt>
                <c:pt idx="7">
                  <c:v>08/2025</c:v>
                </c:pt>
                <c:pt idx="8">
                  <c:v>09/2025</c:v>
                </c:pt>
                <c:pt idx="9">
                  <c:v>YTD</c:v>
                </c:pt>
              </c:strCache>
            </c:strRef>
          </c:cat>
          <c:val>
            <c:numRef>
              <c:f>'Charts Data'!$C$16:$L$16</c:f>
              <c:numCache>
                <c:formatCode>0.00%</c:formatCode>
                <c:ptCount val="10"/>
                <c:pt idx="0">
                  <c:v>-0.47479103097204534</c:v>
                </c:pt>
                <c:pt idx="1">
                  <c:v>-0.5332517518413229</c:v>
                </c:pt>
                <c:pt idx="2">
                  <c:v>-1.27912749843312</c:v>
                </c:pt>
                <c:pt idx="3">
                  <c:v>3.9507970114572154E-2</c:v>
                </c:pt>
                <c:pt idx="4">
                  <c:v>-0.76437534681073882</c:v>
                </c:pt>
                <c:pt idx="5">
                  <c:v>0.22676999891947863</c:v>
                </c:pt>
                <c:pt idx="6">
                  <c:v>-0.31334393249911696</c:v>
                </c:pt>
                <c:pt idx="7">
                  <c:v>-0.11792120881076731</c:v>
                </c:pt>
                <c:pt idx="8">
                  <c:v>0.19843827096324276</c:v>
                </c:pt>
                <c:pt idx="9">
                  <c:v>-0.22495292633177613</c:v>
                </c:pt>
              </c:numCache>
            </c:numRef>
          </c:val>
          <c:extLst>
            <c:ext xmlns:c16="http://schemas.microsoft.com/office/drawing/2014/chart" uri="{C3380CC4-5D6E-409C-BE32-E72D297353CC}">
              <c16:uniqueId val="{00000004-903B-47BD-B85B-C6A03DC2789F}"/>
            </c:ext>
          </c:extLst>
        </c:ser>
        <c:dLbls>
          <c:showLegendKey val="0"/>
          <c:showVal val="0"/>
          <c:showCatName val="0"/>
          <c:showSerName val="0"/>
          <c:showPercent val="0"/>
          <c:showBubbleSize val="0"/>
        </c:dLbls>
        <c:gapWidth val="219"/>
        <c:overlap val="-27"/>
        <c:axId val="1226421263"/>
        <c:axId val="1226421743"/>
      </c:barChart>
      <c:catAx>
        <c:axId val="12264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21743"/>
        <c:crosses val="autoZero"/>
        <c:auto val="1"/>
        <c:lblAlgn val="ctr"/>
        <c:lblOffset val="100"/>
        <c:noMultiLvlLbl val="0"/>
      </c:catAx>
      <c:valAx>
        <c:axId val="1226421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21263"/>
        <c:crosses val="autoZero"/>
        <c:crossBetween val="between"/>
        <c:majorUnit val="0.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YTD 2025 COGS</a:t>
            </a:r>
            <a:r>
              <a:rPr lang="en-US" b="1" baseline="0">
                <a:solidFill>
                  <a:sysClr val="windowText" lastClr="000000"/>
                </a:solidFill>
              </a:rPr>
              <a:t> % of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 Data'!$C$63</c:f>
              <c:strCache>
                <c:ptCount val="1"/>
                <c:pt idx="0">
                  <c:v>YTD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BD-403C-9329-A85DA4D901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BD-403C-9329-A85DA4D901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BD-403C-9329-A85DA4D9011C}"/>
              </c:ext>
            </c:extLst>
          </c:dPt>
          <c:dLbls>
            <c:dLbl>
              <c:idx val="0"/>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C8ECE63-F590-49D1-AFF5-9909DAC3DC03}" type="CELLRANGE">
                      <a:rPr lang="en-US" sz="1000" b="1">
                        <a:solidFill>
                          <a:schemeClr val="dk1">
                            <a:lumMod val="65000"/>
                            <a:lumOff val="35000"/>
                          </a:schemeClr>
                        </a:solidFill>
                      </a:rPr>
                      <a:pPr>
                        <a:defRPr/>
                      </a:pPr>
                      <a:t>[CELLRANGE]</a:t>
                    </a:fld>
                    <a:r>
                      <a:rPr lang="en-US" sz="1000" b="1" baseline="0">
                        <a:solidFill>
                          <a:schemeClr val="dk1">
                            <a:lumMod val="65000"/>
                            <a:lumOff val="35000"/>
                          </a:schemeClr>
                        </a:solidFill>
                      </a:rPr>
                      <a:t> of Total Sales</a:t>
                    </a:r>
                  </a:p>
                  <a:p>
                    <a:pPr>
                      <a:defRPr/>
                    </a:pPr>
                    <a:r>
                      <a:rPr lang="en-US" sz="1000" b="1" baseline="0">
                        <a:solidFill>
                          <a:schemeClr val="dk1">
                            <a:lumMod val="65000"/>
                            <a:lumOff val="35000"/>
                          </a:schemeClr>
                        </a:solidFill>
                      </a:rPr>
                      <a:t> </a:t>
                    </a:r>
                    <a:fld id="{00E6276B-3D8D-490D-90C5-6BCACD854C81}" type="CATEGORYNAME">
                      <a:rPr lang="en-US" sz="1000" b="1" baseline="0">
                        <a:solidFill>
                          <a:schemeClr val="dk1">
                            <a:lumMod val="65000"/>
                            <a:lumOff val="35000"/>
                          </a:schemeClr>
                        </a:solidFill>
                      </a:rPr>
                      <a:pPr>
                        <a:defRPr/>
                      </a:pPr>
                      <a:t>[CATEGORY NAME]</a:t>
                    </a:fld>
                    <a:r>
                      <a:rPr lang="en-US" sz="1000" b="1" baseline="0">
                        <a:solidFill>
                          <a:schemeClr val="dk1">
                            <a:lumMod val="65000"/>
                            <a:lumOff val="35000"/>
                          </a:schemeClr>
                        </a:solidFill>
                      </a:rPr>
                      <a:t> -</a:t>
                    </a:r>
                    <a:fld id="{AE9E3BCF-445A-4AB3-BDAB-48ED6A992FAF}" type="VALUE">
                      <a:rPr lang="en-US" sz="1000" b="1" baseline="0">
                        <a:solidFill>
                          <a:schemeClr val="dk1">
                            <a:lumMod val="65000"/>
                            <a:lumOff val="35000"/>
                          </a:schemeClr>
                        </a:solidFill>
                      </a:rPr>
                      <a:pPr>
                        <a:defRPr/>
                      </a:pPr>
                      <a:t>[VALUE]</a:t>
                    </a:fld>
                    <a:endParaRPr lang="en-US" sz="1000" b="1" baseline="0">
                      <a:solidFill>
                        <a:schemeClr val="dk1">
                          <a:lumMod val="65000"/>
                          <a:lumOff val="35000"/>
                        </a:schemeClr>
                      </a:solidFill>
                    </a:endParaRPr>
                  </a:p>
                  <a:p>
                    <a:pPr>
                      <a:defRPr/>
                    </a:pPr>
                    <a:fld id="{23ACCDDD-B473-49AC-B36A-9CF6C303E3B3}" type="PERCENTAGE">
                      <a:rPr lang="en-US" sz="1000" b="1" baseline="0">
                        <a:solidFill>
                          <a:schemeClr val="dk1">
                            <a:lumMod val="65000"/>
                            <a:lumOff val="35000"/>
                          </a:schemeClr>
                        </a:solidFill>
                      </a:rPr>
                      <a:pPr>
                        <a:defRPr/>
                      </a:pPr>
                      <a:t>[PERCENTAGE]</a:t>
                    </a:fld>
                    <a:r>
                      <a:rPr lang="en-US" sz="1000" b="1" baseline="0">
                        <a:solidFill>
                          <a:schemeClr val="dk1">
                            <a:lumMod val="65000"/>
                            <a:lumOff val="35000"/>
                          </a:schemeClr>
                        </a:solidFill>
                      </a:rPr>
                      <a:t> of Total COGS</a:t>
                    </a:r>
                  </a:p>
                </c:rich>
              </c:tx>
              <c:spPr>
                <a:no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469523739873071"/>
                      <c:h val="0.17879046175066432"/>
                    </c:manualLayout>
                  </c15:layout>
                  <c15:dlblFieldTable/>
                  <c15:showDataLabelsRange val="1"/>
                </c:ext>
                <c:ext xmlns:c16="http://schemas.microsoft.com/office/drawing/2014/chart" uri="{C3380CC4-5D6E-409C-BE32-E72D297353CC}">
                  <c16:uniqueId val="{00000001-CABD-403C-9329-A85DA4D9011C}"/>
                </c:ext>
              </c:extLst>
            </c:dLbl>
            <c:dLbl>
              <c:idx val="1"/>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3830BB0-DF56-435B-800D-8A1766FCBC31}" type="CELLRANGE">
                      <a:rPr lang="en-US" sz="1000" b="1">
                        <a:solidFill>
                          <a:schemeClr val="dk1">
                            <a:lumMod val="65000"/>
                            <a:lumOff val="35000"/>
                          </a:schemeClr>
                        </a:solidFill>
                      </a:rPr>
                      <a:pPr>
                        <a:defRPr/>
                      </a:pPr>
                      <a:t>[CELLRANGE]</a:t>
                    </a:fld>
                    <a:r>
                      <a:rPr lang="en-US" sz="1000" b="1" baseline="0">
                        <a:solidFill>
                          <a:schemeClr val="dk1">
                            <a:lumMod val="65000"/>
                            <a:lumOff val="35000"/>
                          </a:schemeClr>
                        </a:solidFill>
                      </a:rPr>
                      <a:t> of Total Sales </a:t>
                    </a:r>
                  </a:p>
                  <a:p>
                    <a:pPr>
                      <a:defRPr/>
                    </a:pPr>
                    <a:fld id="{0FCECDC7-8A2E-419D-A5A6-03513D868F6F}" type="CATEGORYNAME">
                      <a:rPr lang="en-US" sz="1000" b="1" baseline="0">
                        <a:solidFill>
                          <a:schemeClr val="dk1">
                            <a:lumMod val="65000"/>
                            <a:lumOff val="35000"/>
                          </a:schemeClr>
                        </a:solidFill>
                      </a:rPr>
                      <a:pPr>
                        <a:defRPr/>
                      </a:pPr>
                      <a:t>[CATEGORY NAME]</a:t>
                    </a:fld>
                    <a:r>
                      <a:rPr lang="en-US" sz="1000" b="1" baseline="0">
                        <a:solidFill>
                          <a:schemeClr val="dk1">
                            <a:lumMod val="65000"/>
                            <a:lumOff val="35000"/>
                          </a:schemeClr>
                        </a:solidFill>
                      </a:rPr>
                      <a:t> - </a:t>
                    </a:r>
                    <a:fld id="{73FE82A3-46D8-4785-BC03-F302D69C8A01}" type="VALUE">
                      <a:rPr lang="en-US" sz="1000" b="1" baseline="0">
                        <a:solidFill>
                          <a:schemeClr val="dk1">
                            <a:lumMod val="65000"/>
                            <a:lumOff val="35000"/>
                          </a:schemeClr>
                        </a:solidFill>
                      </a:rPr>
                      <a:pPr>
                        <a:defRPr/>
                      </a:pPr>
                      <a:t>[VALUE]</a:t>
                    </a:fld>
                    <a:endParaRPr lang="en-US" sz="1000" b="1" baseline="0">
                      <a:solidFill>
                        <a:schemeClr val="dk1">
                          <a:lumMod val="65000"/>
                          <a:lumOff val="35000"/>
                        </a:schemeClr>
                      </a:solidFill>
                    </a:endParaRPr>
                  </a:p>
                  <a:p>
                    <a:pPr>
                      <a:defRPr/>
                    </a:pPr>
                    <a:fld id="{3A2B5F15-695D-4E4C-8E09-B297D45F4AE3}" type="PERCENTAGE">
                      <a:rPr lang="en-US" sz="1000" b="1" baseline="0">
                        <a:solidFill>
                          <a:schemeClr val="dk1">
                            <a:lumMod val="65000"/>
                            <a:lumOff val="35000"/>
                          </a:schemeClr>
                        </a:solidFill>
                      </a:rPr>
                      <a:pPr>
                        <a:defRPr/>
                      </a:pPr>
                      <a:t>[PERCENTAGE]</a:t>
                    </a:fld>
                    <a:r>
                      <a:rPr lang="en-US" sz="1000" b="1" baseline="0">
                        <a:solidFill>
                          <a:schemeClr val="dk1">
                            <a:lumMod val="65000"/>
                            <a:lumOff val="35000"/>
                          </a:schemeClr>
                        </a:solidFill>
                      </a:rPr>
                      <a:t> of Total COGS</a:t>
                    </a:r>
                  </a:p>
                </c:rich>
              </c:tx>
              <c:spPr>
                <a:no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221528810446678"/>
                      <c:h val="0.13667644909784823"/>
                    </c:manualLayout>
                  </c15:layout>
                  <c15:dlblFieldTable/>
                  <c15:showDataLabelsRange val="1"/>
                </c:ext>
                <c:ext xmlns:c16="http://schemas.microsoft.com/office/drawing/2014/chart" uri="{C3380CC4-5D6E-409C-BE32-E72D297353CC}">
                  <c16:uniqueId val="{00000003-CABD-403C-9329-A85DA4D9011C}"/>
                </c:ext>
              </c:extLst>
            </c:dLbl>
            <c:dLbl>
              <c:idx val="2"/>
              <c:tx>
                <c:rich>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C8EAB4C-A596-4CED-BD8A-F2D988BF6398}" type="CELLRANGE">
                      <a:rPr lang="en-US" sz="1000" b="1">
                        <a:solidFill>
                          <a:schemeClr val="dk1">
                            <a:lumMod val="65000"/>
                            <a:lumOff val="35000"/>
                          </a:schemeClr>
                        </a:solidFill>
                      </a:rPr>
                      <a:pPr>
                        <a:defRPr/>
                      </a:pPr>
                      <a:t>[CELLRANGE]</a:t>
                    </a:fld>
                    <a:r>
                      <a:rPr lang="en-US" sz="1000" b="1" baseline="0">
                        <a:solidFill>
                          <a:schemeClr val="dk1">
                            <a:lumMod val="65000"/>
                            <a:lumOff val="35000"/>
                          </a:schemeClr>
                        </a:solidFill>
                      </a:rPr>
                      <a:t> of Total Sales</a:t>
                    </a:r>
                  </a:p>
                  <a:p>
                    <a:pPr>
                      <a:defRPr/>
                    </a:pPr>
                    <a:fld id="{91588C56-5610-4730-908E-D8DD54ED3045}" type="CATEGORYNAME">
                      <a:rPr lang="en-US" sz="1000" b="1" baseline="0">
                        <a:solidFill>
                          <a:schemeClr val="dk1">
                            <a:lumMod val="65000"/>
                            <a:lumOff val="35000"/>
                          </a:schemeClr>
                        </a:solidFill>
                      </a:rPr>
                      <a:pPr>
                        <a:defRPr/>
                      </a:pPr>
                      <a:t>[CATEGORY NAME]</a:t>
                    </a:fld>
                    <a:r>
                      <a:rPr lang="en-US" sz="1000" b="1" baseline="0">
                        <a:solidFill>
                          <a:schemeClr val="dk1">
                            <a:lumMod val="65000"/>
                            <a:lumOff val="35000"/>
                          </a:schemeClr>
                        </a:solidFill>
                      </a:rPr>
                      <a:t> - </a:t>
                    </a:r>
                    <a:fld id="{205A5F8E-45B0-4CAB-A4B7-0D3ECAA875F2}" type="VALUE">
                      <a:rPr lang="en-US" sz="1000" b="1" baseline="0">
                        <a:solidFill>
                          <a:schemeClr val="dk1">
                            <a:lumMod val="65000"/>
                            <a:lumOff val="35000"/>
                          </a:schemeClr>
                        </a:solidFill>
                      </a:rPr>
                      <a:pPr>
                        <a:defRPr/>
                      </a:pPr>
                      <a:t>[VALUE]</a:t>
                    </a:fld>
                    <a:endParaRPr lang="en-US" sz="1000" b="1" baseline="0">
                      <a:solidFill>
                        <a:schemeClr val="dk1">
                          <a:lumMod val="65000"/>
                          <a:lumOff val="35000"/>
                        </a:schemeClr>
                      </a:solidFill>
                    </a:endParaRPr>
                  </a:p>
                  <a:p>
                    <a:pPr>
                      <a:defRPr/>
                    </a:pPr>
                    <a:fld id="{3934EEB1-35D2-492B-8FF4-9C982ACFC0BC}" type="PERCENTAGE">
                      <a:rPr lang="en-US" sz="1000" b="1" baseline="0">
                        <a:solidFill>
                          <a:schemeClr val="dk1">
                            <a:lumMod val="65000"/>
                            <a:lumOff val="35000"/>
                          </a:schemeClr>
                        </a:solidFill>
                      </a:rPr>
                      <a:pPr>
                        <a:defRPr/>
                      </a:pPr>
                      <a:t>[PERCENTAGE]</a:t>
                    </a:fld>
                    <a:r>
                      <a:rPr lang="en-US" sz="1000" b="1" baseline="0">
                        <a:solidFill>
                          <a:schemeClr val="dk1">
                            <a:lumMod val="65000"/>
                            <a:lumOff val="35000"/>
                          </a:schemeClr>
                        </a:solidFill>
                      </a:rPr>
                      <a:t> of Total COGS</a:t>
                    </a:r>
                  </a:p>
                </c:rich>
              </c:tx>
              <c:spPr>
                <a:no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576582725920868"/>
                      <c:h val="0.15246037134602122"/>
                    </c:manualLayout>
                  </c15:layout>
                  <c15:dlblFieldTable/>
                  <c15:showDataLabelsRange val="1"/>
                </c:ext>
                <c:ext xmlns:c16="http://schemas.microsoft.com/office/drawing/2014/chart" uri="{C3380CC4-5D6E-409C-BE32-E72D297353CC}">
                  <c16:uniqueId val="{00000005-CABD-403C-9329-A85DA4D9011C}"/>
                </c:ext>
              </c:extLst>
            </c:dLbl>
            <c:spPr>
              <a:no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'Charts Data'!$B$64:$B$66</c:f>
              <c:strCache>
                <c:ptCount val="3"/>
                <c:pt idx="0">
                  <c:v>Cost of Materials</c:v>
                </c:pt>
                <c:pt idx="1">
                  <c:v>Travels and Meals</c:v>
                </c:pt>
                <c:pt idx="2">
                  <c:v>Wages &amp; Taxes</c:v>
                </c:pt>
              </c:strCache>
            </c:strRef>
          </c:cat>
          <c:val>
            <c:numRef>
              <c:f>'Charts Data'!$C$64:$C$66</c:f>
              <c:numCache>
                <c:formatCode>#,##0.00_);[Red]\(#,##0.00\)</c:formatCode>
                <c:ptCount val="3"/>
                <c:pt idx="0">
                  <c:v>318180.89000000007</c:v>
                </c:pt>
                <c:pt idx="1">
                  <c:v>10319.720000000001</c:v>
                </c:pt>
                <c:pt idx="2">
                  <c:v>696253.93000000017</c:v>
                </c:pt>
              </c:numCache>
            </c:numRef>
          </c:val>
          <c:extLst>
            <c:ext xmlns:c15="http://schemas.microsoft.com/office/drawing/2012/chart" uri="{02D57815-91ED-43cb-92C2-25804820EDAC}">
              <c15:datalabelsRange>
                <c15:f>'Charts Data'!$D$64:$D$66</c15:f>
                <c15:dlblRangeCache>
                  <c:ptCount val="3"/>
                  <c:pt idx="0">
                    <c:v>15.95%</c:v>
                  </c:pt>
                  <c:pt idx="1">
                    <c:v>0.52%</c:v>
                  </c:pt>
                  <c:pt idx="2">
                    <c:v>34.91%</c:v>
                  </c:pt>
                </c15:dlblRangeCache>
              </c15:datalabelsRange>
            </c:ext>
            <c:ext xmlns:c16="http://schemas.microsoft.com/office/drawing/2014/chart" uri="{C3380CC4-5D6E-409C-BE32-E72D297353CC}">
              <c16:uniqueId val="{00000006-CABD-403C-9329-A85DA4D9011C}"/>
            </c:ext>
          </c:extLst>
        </c:ser>
        <c:ser>
          <c:idx val="1"/>
          <c:order val="1"/>
          <c:tx>
            <c:strRef>
              <c:f>'Charts Data'!$D$63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ABD-403C-9329-A85DA4D901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ABD-403C-9329-A85DA4D901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CABD-403C-9329-A85DA4D9011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Data'!$B$64:$B$66</c:f>
              <c:strCache>
                <c:ptCount val="3"/>
                <c:pt idx="0">
                  <c:v>Cost of Materials</c:v>
                </c:pt>
                <c:pt idx="1">
                  <c:v>Travels and Meals</c:v>
                </c:pt>
                <c:pt idx="2">
                  <c:v>Wages &amp; Taxes</c:v>
                </c:pt>
              </c:strCache>
            </c:strRef>
          </c:cat>
          <c:val>
            <c:numRef>
              <c:f>'Charts Data'!$D$64:$D$66</c:f>
              <c:numCache>
                <c:formatCode>0.00%</c:formatCode>
                <c:ptCount val="3"/>
                <c:pt idx="0">
                  <c:v>0.15952903338561611</c:v>
                </c:pt>
                <c:pt idx="1">
                  <c:v>5.1740849565484904E-3</c:v>
                </c:pt>
                <c:pt idx="2">
                  <c:v>0.34908669858782665</c:v>
                </c:pt>
              </c:numCache>
            </c:numRef>
          </c:val>
          <c:extLst>
            <c:ext xmlns:c16="http://schemas.microsoft.com/office/drawing/2014/chart" uri="{C3380CC4-5D6E-409C-BE32-E72D297353CC}">
              <c16:uniqueId val="{0000000D-CABD-403C-9329-A85DA4D9011C}"/>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 Data'!$C$92</c:f>
              <c:strCache>
                <c:ptCount val="1"/>
                <c:pt idx="0">
                  <c:v>YTD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25-4595-B00D-F1024ED10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5-4595-B00D-F1024ED10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25-4595-B00D-F1024ED10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25-4595-B00D-F1024ED10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25-4595-B00D-F1024ED10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25-4595-B00D-F1024ED10429}"/>
              </c:ext>
            </c:extLst>
          </c:dPt>
          <c:cat>
            <c:strRef>
              <c:f>'Charts Data'!$B$93:$B$98</c:f>
              <c:strCache>
                <c:ptCount val="6"/>
                <c:pt idx="0">
                  <c:v>Salaries and Taxes</c:v>
                </c:pt>
                <c:pt idx="1">
                  <c:v>Shareholder's Compensation</c:v>
                </c:pt>
                <c:pt idx="2">
                  <c:v>Professional Fees</c:v>
                </c:pt>
                <c:pt idx="3">
                  <c:v>Office Expesnes</c:v>
                </c:pt>
                <c:pt idx="4">
                  <c:v>Facility Expenses</c:v>
                </c:pt>
                <c:pt idx="5">
                  <c:v>Other Operating Expenses</c:v>
                </c:pt>
              </c:strCache>
            </c:strRef>
          </c:cat>
          <c:val>
            <c:numRef>
              <c:f>'Charts Data'!$C$93:$C$98</c:f>
              <c:numCache>
                <c:formatCode>#,##0.00_);[Red]\(#,##0.00\)</c:formatCode>
                <c:ptCount val="6"/>
                <c:pt idx="0">
                  <c:v>0</c:v>
                </c:pt>
                <c:pt idx="1">
                  <c:v>1175</c:v>
                </c:pt>
                <c:pt idx="2">
                  <c:v>12549.99</c:v>
                </c:pt>
                <c:pt idx="3">
                  <c:v>7736.87</c:v>
                </c:pt>
                <c:pt idx="4">
                  <c:v>8503.67</c:v>
                </c:pt>
                <c:pt idx="5">
                  <c:v>72647.450000000012</c:v>
                </c:pt>
              </c:numCache>
            </c:numRef>
          </c:val>
          <c:extLst>
            <c:ext xmlns:c16="http://schemas.microsoft.com/office/drawing/2014/chart" uri="{C3380CC4-5D6E-409C-BE32-E72D297353CC}">
              <c16:uniqueId val="{00000000-84A4-4AE9-95DA-546FBB26FCD5}"/>
            </c:ext>
          </c:extLst>
        </c:ser>
        <c:ser>
          <c:idx val="1"/>
          <c:order val="1"/>
          <c:tx>
            <c:strRef>
              <c:f>'Charts Data'!$D$92</c:f>
              <c:strCache>
                <c:ptCount val="1"/>
                <c:pt idx="0">
                  <c:v>%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225-4595-B00D-F1024ED10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8225-4595-B00D-F1024ED10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8225-4595-B00D-F1024ED104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8225-4595-B00D-F1024ED104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8225-4595-B00D-F1024ED104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8225-4595-B00D-F1024ED10429}"/>
              </c:ext>
            </c:extLst>
          </c:dPt>
          <c:cat>
            <c:strRef>
              <c:f>'Charts Data'!$B$93:$B$98</c:f>
              <c:strCache>
                <c:ptCount val="6"/>
                <c:pt idx="0">
                  <c:v>Salaries and Taxes</c:v>
                </c:pt>
                <c:pt idx="1">
                  <c:v>Shareholder's Compensation</c:v>
                </c:pt>
                <c:pt idx="2">
                  <c:v>Professional Fees</c:v>
                </c:pt>
                <c:pt idx="3">
                  <c:v>Office Expesnes</c:v>
                </c:pt>
                <c:pt idx="4">
                  <c:v>Facility Expenses</c:v>
                </c:pt>
                <c:pt idx="5">
                  <c:v>Other Operating Expenses</c:v>
                </c:pt>
              </c:strCache>
            </c:strRef>
          </c:cat>
          <c:val>
            <c:numRef>
              <c:f>'Charts Data'!$D$93:$D$98</c:f>
              <c:numCache>
                <c:formatCode>0.00%</c:formatCode>
                <c:ptCount val="6"/>
                <c:pt idx="0">
                  <c:v>0</c:v>
                </c:pt>
                <c:pt idx="1">
                  <c:v>1.6447404796891909E-3</c:v>
                </c:pt>
                <c:pt idx="2">
                  <c:v>1.7567214104420893E-2</c:v>
                </c:pt>
                <c:pt idx="3">
                  <c:v>1.0829909170291838E-2</c:v>
                </c:pt>
                <c:pt idx="4">
                  <c:v>1.1903259808441346E-2</c:v>
                </c:pt>
                <c:pt idx="5">
                  <c:v>0.10169038447761407</c:v>
                </c:pt>
              </c:numCache>
            </c:numRef>
          </c:val>
          <c:extLst>
            <c:ext xmlns:c16="http://schemas.microsoft.com/office/drawing/2014/chart" uri="{C3380CC4-5D6E-409C-BE32-E72D297353CC}">
              <c16:uniqueId val="{00000001-84A4-4AE9-95DA-546FBB26FCD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9525</xdr:colOff>
      <xdr:row>11</xdr:row>
      <xdr:rowOff>104775</xdr:rowOff>
    </xdr:from>
    <xdr:to>
      <xdr:col>0</xdr:col>
      <xdr:colOff>4524374</xdr:colOff>
      <xdr:row>26</xdr:row>
      <xdr:rowOff>44973</xdr:rowOff>
    </xdr:to>
    <xdr:pic>
      <xdr:nvPicPr>
        <xdr:cNvPr id="4" name="Picture 3">
          <a:extLst>
            <a:ext uri="{FF2B5EF4-FFF2-40B4-BE49-F238E27FC236}">
              <a16:creationId xmlns:a16="http://schemas.microsoft.com/office/drawing/2014/main" id="{57BEF833-C1A6-4882-5ECB-CA2C7EB81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2200275"/>
          <a:ext cx="4514849" cy="2797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57150</xdr:colOff>
      <xdr:row>9</xdr:row>
      <xdr:rowOff>114300</xdr:rowOff>
    </xdr:from>
    <xdr:ext cx="1733550" cy="1228725"/>
    <xdr:pic>
      <xdr:nvPicPr>
        <xdr:cNvPr id="2" name="image1.png">
          <a:extLst>
            <a:ext uri="{FF2B5EF4-FFF2-40B4-BE49-F238E27FC236}">
              <a16:creationId xmlns:a16="http://schemas.microsoft.com/office/drawing/2014/main" id="{2329E7BB-EEF8-4D54-A1F4-3DE9CF778F60}"/>
            </a:ext>
          </a:extLst>
        </xdr:cNvPr>
        <xdr:cNvPicPr preferRelativeResize="0"/>
      </xdr:nvPicPr>
      <xdr:blipFill>
        <a:blip xmlns:r="http://schemas.openxmlformats.org/officeDocument/2006/relationships" r:embed="rId1" cstate="print"/>
        <a:stretch>
          <a:fillRect/>
        </a:stretch>
      </xdr:blipFill>
      <xdr:spPr>
        <a:xfrm>
          <a:off x="1885950" y="2181225"/>
          <a:ext cx="1733550" cy="12287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66675</xdr:colOff>
      <xdr:row>1</xdr:row>
      <xdr:rowOff>19050</xdr:rowOff>
    </xdr:from>
    <xdr:ext cx="548640" cy="548640"/>
    <xdr:pic>
      <xdr:nvPicPr>
        <xdr:cNvPr id="2" name="Picture 1">
          <a:extLst>
            <a:ext uri="{FF2B5EF4-FFF2-40B4-BE49-F238E27FC236}">
              <a16:creationId xmlns:a16="http://schemas.microsoft.com/office/drawing/2014/main" id="{1EEA660B-A41F-44FA-AB2C-0131CB80FFA4}"/>
            </a:ext>
          </a:extLst>
        </xdr:cNvPr>
        <xdr:cNvPicPr>
          <a:picLocks noChangeAspect="1"/>
        </xdr:cNvPicPr>
      </xdr:nvPicPr>
      <xdr:blipFill>
        <a:blip xmlns:r="http://schemas.openxmlformats.org/officeDocument/2006/relationships" r:embed="rId1"/>
        <a:stretch>
          <a:fillRect/>
        </a:stretch>
      </xdr:blipFill>
      <xdr:spPr>
        <a:xfrm>
          <a:off x="676275" y="219075"/>
          <a:ext cx="548640" cy="5486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309356</xdr:colOff>
      <xdr:row>22</xdr:row>
      <xdr:rowOff>141427</xdr:rowOff>
    </xdr:to>
    <xdr:graphicFrame macro="">
      <xdr:nvGraphicFramePr>
        <xdr:cNvPr id="2" name="Chart 1">
          <a:extLst>
            <a:ext uri="{FF2B5EF4-FFF2-40B4-BE49-F238E27FC236}">
              <a16:creationId xmlns:a16="http://schemas.microsoft.com/office/drawing/2014/main" id="{59EE4707-A897-4C1A-96BA-EEB30568C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366507</xdr:colOff>
      <xdr:row>1</xdr:row>
      <xdr:rowOff>0</xdr:rowOff>
    </xdr:from>
    <xdr:to>
      <xdr:col>24</xdr:col>
      <xdr:colOff>83244</xdr:colOff>
      <xdr:row>22</xdr:row>
      <xdr:rowOff>144118</xdr:rowOff>
    </xdr:to>
    <xdr:graphicFrame macro="">
      <xdr:nvGraphicFramePr>
        <xdr:cNvPr id="3" name="Chart 2">
          <a:extLst>
            <a:ext uri="{FF2B5EF4-FFF2-40B4-BE49-F238E27FC236}">
              <a16:creationId xmlns:a16="http://schemas.microsoft.com/office/drawing/2014/main" id="{9D4DD1DE-C33A-4182-BAE5-D7A564099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5799</xdr:rowOff>
    </xdr:from>
    <xdr:to>
      <xdr:col>12</xdr:col>
      <xdr:colOff>297758</xdr:colOff>
      <xdr:row>45</xdr:row>
      <xdr:rowOff>133145</xdr:rowOff>
    </xdr:to>
    <xdr:graphicFrame macro="">
      <xdr:nvGraphicFramePr>
        <xdr:cNvPr id="4" name="Chart 3">
          <a:extLst>
            <a:ext uri="{FF2B5EF4-FFF2-40B4-BE49-F238E27FC236}">
              <a16:creationId xmlns:a16="http://schemas.microsoft.com/office/drawing/2014/main" id="{7F7AA78D-0C52-4E76-8316-71669AE22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367749</xdr:colOff>
      <xdr:row>23</xdr:row>
      <xdr:rowOff>5799</xdr:rowOff>
    </xdr:from>
    <xdr:to>
      <xdr:col>24</xdr:col>
      <xdr:colOff>62949</xdr:colOff>
      <xdr:row>45</xdr:row>
      <xdr:rowOff>139149</xdr:rowOff>
    </xdr:to>
    <xdr:graphicFrame macro="">
      <xdr:nvGraphicFramePr>
        <xdr:cNvPr id="5" name="Chart 4">
          <a:extLst>
            <a:ext uri="{FF2B5EF4-FFF2-40B4-BE49-F238E27FC236}">
              <a16:creationId xmlns:a16="http://schemas.microsoft.com/office/drawing/2014/main" id="{0B91247D-BE43-4F08-AB6D-558E337F7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588479</xdr:colOff>
      <xdr:row>16</xdr:row>
      <xdr:rowOff>123617</xdr:rowOff>
    </xdr:from>
    <xdr:to>
      <xdr:col>8</xdr:col>
      <xdr:colOff>347870</xdr:colOff>
      <xdr:row>38</xdr:row>
      <xdr:rowOff>74544</xdr:rowOff>
    </xdr:to>
    <xdr:graphicFrame macro="">
      <xdr:nvGraphicFramePr>
        <xdr:cNvPr id="2" name="Chart 1">
          <a:extLst>
            <a:ext uri="{FF2B5EF4-FFF2-40B4-BE49-F238E27FC236}">
              <a16:creationId xmlns:a16="http://schemas.microsoft.com/office/drawing/2014/main" id="{C39B43CC-AB31-383A-202B-566C3691A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397562</xdr:colOff>
      <xdr:row>16</xdr:row>
      <xdr:rowOff>120928</xdr:rowOff>
    </xdr:from>
    <xdr:to>
      <xdr:col>18</xdr:col>
      <xdr:colOff>248477</xdr:colOff>
      <xdr:row>38</xdr:row>
      <xdr:rowOff>74546</xdr:rowOff>
    </xdr:to>
    <xdr:graphicFrame macro="">
      <xdr:nvGraphicFramePr>
        <xdr:cNvPr id="3" name="Chart 2">
          <a:extLst>
            <a:ext uri="{FF2B5EF4-FFF2-40B4-BE49-F238E27FC236}">
              <a16:creationId xmlns:a16="http://schemas.microsoft.com/office/drawing/2014/main" id="{1A2948DE-584B-2C92-4012-740BFB0D7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591794</xdr:colOff>
      <xdr:row>39</xdr:row>
      <xdr:rowOff>37052</xdr:rowOff>
    </xdr:from>
    <xdr:to>
      <xdr:col>8</xdr:col>
      <xdr:colOff>339587</xdr:colOff>
      <xdr:row>60</xdr:row>
      <xdr:rowOff>173923</xdr:rowOff>
    </xdr:to>
    <xdr:graphicFrame macro="">
      <xdr:nvGraphicFramePr>
        <xdr:cNvPr id="7" name="Chart 6">
          <a:extLst>
            <a:ext uri="{FF2B5EF4-FFF2-40B4-BE49-F238E27FC236}">
              <a16:creationId xmlns:a16="http://schemas.microsoft.com/office/drawing/2014/main" id="{48E3DA02-0672-8888-76A4-265E7CBB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67</xdr:row>
      <xdr:rowOff>74543</xdr:rowOff>
    </xdr:from>
    <xdr:to>
      <xdr:col>7</xdr:col>
      <xdr:colOff>480393</xdr:colOff>
      <xdr:row>89</xdr:row>
      <xdr:rowOff>66261</xdr:rowOff>
    </xdr:to>
    <xdr:graphicFrame macro="">
      <xdr:nvGraphicFramePr>
        <xdr:cNvPr id="9" name="Chart 8">
          <a:extLst>
            <a:ext uri="{FF2B5EF4-FFF2-40B4-BE49-F238E27FC236}">
              <a16:creationId xmlns:a16="http://schemas.microsoft.com/office/drawing/2014/main" id="{FA8D727A-EA7F-4BB1-91DA-8C28F712D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561974</xdr:colOff>
      <xdr:row>101</xdr:row>
      <xdr:rowOff>61912</xdr:rowOff>
    </xdr:from>
    <xdr:to>
      <xdr:col>8</xdr:col>
      <xdr:colOff>428624</xdr:colOff>
      <xdr:row>121</xdr:row>
      <xdr:rowOff>114300</xdr:rowOff>
    </xdr:to>
    <xdr:graphicFrame macro="">
      <xdr:nvGraphicFramePr>
        <xdr:cNvPr id="16" name="Chart 15">
          <a:extLst>
            <a:ext uri="{FF2B5EF4-FFF2-40B4-BE49-F238E27FC236}">
              <a16:creationId xmlns:a16="http://schemas.microsoft.com/office/drawing/2014/main" id="{76545877-29A2-F5B3-B7E8-6A01F2828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2305050</xdr:colOff>
      <xdr:row>1</xdr:row>
      <xdr:rowOff>28575</xdr:rowOff>
    </xdr:from>
    <xdr:ext cx="548640" cy="548640"/>
    <xdr:pic>
      <xdr:nvPicPr>
        <xdr:cNvPr id="2" name="Picture 1">
          <a:extLst>
            <a:ext uri="{FF2B5EF4-FFF2-40B4-BE49-F238E27FC236}">
              <a16:creationId xmlns:a16="http://schemas.microsoft.com/office/drawing/2014/main" id="{8F272DD5-6CB0-4708-BCFB-81F1FD09351E}"/>
            </a:ext>
          </a:extLst>
        </xdr:cNvPr>
        <xdr:cNvPicPr>
          <a:picLocks noChangeAspect="1"/>
        </xdr:cNvPicPr>
      </xdr:nvPicPr>
      <xdr:blipFill>
        <a:blip xmlns:r="http://schemas.openxmlformats.org/officeDocument/2006/relationships" r:embed="rId1"/>
        <a:stretch>
          <a:fillRect/>
        </a:stretch>
      </xdr:blipFill>
      <xdr:spPr>
        <a:xfrm>
          <a:off x="2486025" y="228600"/>
          <a:ext cx="548640" cy="5486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314326</xdr:colOff>
      <xdr:row>1</xdr:row>
      <xdr:rowOff>28576</xdr:rowOff>
    </xdr:from>
    <xdr:ext cx="548640" cy="548640"/>
    <xdr:pic>
      <xdr:nvPicPr>
        <xdr:cNvPr id="2" name="Picture 1">
          <a:extLst>
            <a:ext uri="{FF2B5EF4-FFF2-40B4-BE49-F238E27FC236}">
              <a16:creationId xmlns:a16="http://schemas.microsoft.com/office/drawing/2014/main" id="{F21FC26B-BDCD-4F4D-8075-694216A05F12}"/>
            </a:ext>
          </a:extLst>
        </xdr:cNvPr>
        <xdr:cNvPicPr>
          <a:picLocks noChangeAspect="1"/>
        </xdr:cNvPicPr>
      </xdr:nvPicPr>
      <xdr:blipFill>
        <a:blip xmlns:r="http://schemas.openxmlformats.org/officeDocument/2006/relationships" r:embed="rId1"/>
        <a:stretch>
          <a:fillRect/>
        </a:stretch>
      </xdr:blipFill>
      <xdr:spPr>
        <a:xfrm>
          <a:off x="3467101" y="228601"/>
          <a:ext cx="548640" cy="5486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2667000</xdr:colOff>
      <xdr:row>1</xdr:row>
      <xdr:rowOff>28575</xdr:rowOff>
    </xdr:from>
    <xdr:ext cx="548640" cy="548640"/>
    <xdr:pic>
      <xdr:nvPicPr>
        <xdr:cNvPr id="2" name="Picture 1">
          <a:extLst>
            <a:ext uri="{FF2B5EF4-FFF2-40B4-BE49-F238E27FC236}">
              <a16:creationId xmlns:a16="http://schemas.microsoft.com/office/drawing/2014/main" id="{7383E6FB-8337-469C-AD38-FFC290C31F69}"/>
            </a:ext>
          </a:extLst>
        </xdr:cNvPr>
        <xdr:cNvPicPr>
          <a:picLocks noChangeAspect="1"/>
        </xdr:cNvPicPr>
      </xdr:nvPicPr>
      <xdr:blipFill>
        <a:blip xmlns:r="http://schemas.openxmlformats.org/officeDocument/2006/relationships" r:embed="rId1"/>
        <a:stretch>
          <a:fillRect/>
        </a:stretch>
      </xdr:blipFill>
      <xdr:spPr>
        <a:xfrm>
          <a:off x="3276600" y="228600"/>
          <a:ext cx="548640" cy="54864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4619625</xdr:colOff>
      <xdr:row>1</xdr:row>
      <xdr:rowOff>85725</xdr:rowOff>
    </xdr:from>
    <xdr:ext cx="548640" cy="548640"/>
    <xdr:pic>
      <xdr:nvPicPr>
        <xdr:cNvPr id="2" name="Picture 1">
          <a:extLst>
            <a:ext uri="{FF2B5EF4-FFF2-40B4-BE49-F238E27FC236}">
              <a16:creationId xmlns:a16="http://schemas.microsoft.com/office/drawing/2014/main" id="{7D847823-1AD3-4886-9E46-C31AC02E269D}"/>
            </a:ext>
          </a:extLst>
        </xdr:cNvPr>
        <xdr:cNvPicPr>
          <a:picLocks noChangeAspect="1"/>
        </xdr:cNvPicPr>
      </xdr:nvPicPr>
      <xdr:blipFill>
        <a:blip xmlns:r="http://schemas.openxmlformats.org/officeDocument/2006/relationships" r:embed="rId1"/>
        <a:stretch>
          <a:fillRect/>
        </a:stretch>
      </xdr:blipFill>
      <xdr:spPr>
        <a:xfrm>
          <a:off x="4800600" y="285750"/>
          <a:ext cx="548640" cy="54864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15</xdr:row>
      <xdr:rowOff>85725</xdr:rowOff>
    </xdr:from>
    <xdr:to>
      <xdr:col>7</xdr:col>
      <xdr:colOff>657225</xdr:colOff>
      <xdr:row>54</xdr:row>
      <xdr:rowOff>121132</xdr:rowOff>
    </xdr:to>
    <xdr:pic>
      <xdr:nvPicPr>
        <xdr:cNvPr id="3" name="Picture 2">
          <a:extLst>
            <a:ext uri="{FF2B5EF4-FFF2-40B4-BE49-F238E27FC236}">
              <a16:creationId xmlns:a16="http://schemas.microsoft.com/office/drawing/2014/main" id="{49EB2C83-2410-6CAD-81A3-5AF69AA387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000375"/>
          <a:ext cx="6724650" cy="746490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yuvraj.chauhan/Downloads/Pacific%20Review%20&amp;%20MEC%20for%20Oct'25/Pacific%20Media%20Holdings_COGS_Prepayment%20working.xlsx" TargetMode="External"/><Relationship Id="rId2" Type="http://schemas.openxmlformats.org/officeDocument/2006/relationships/externalLinkPath" Target="file:///C:\Users\yuvraj.chauhan\Downloads\Pacific%20Review%20&amp;%20MEC%20for%20Oct'25\Pacific%20Media%20Holdings_COGS_Prepayment%20working.xlsx" TargetMode="External"/><Relationship Id="rId1" Type="http://schemas.openxmlformats.org/officeDocument/2006/relationships/externalLinkPath" Target="/Users/yuvraj.chauhan/Downloads/Pacific%20Review%20&amp;%20MEC%20for%20Oct'25/Pacific%20Media%20Holdings_COGS_Prepayment%20working.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yuvraj.chauhan/Downloads/11.2025%20-%20Pacific%20Nexus%20Financials%20SS.xlsx" TargetMode="External"/><Relationship Id="rId2" Type="http://schemas.openxmlformats.org/officeDocument/2006/relationships/externalLinkPath" Target="file:///C:\Users\yuvraj.chauhan\Downloads\11.2025%20-%20Pacific%20Nexus%20Financials%20SS.xlsx" TargetMode="External"/><Relationship Id="rId1" Type="http://schemas.openxmlformats.org/officeDocument/2006/relationships/externalLinkPath" Target="/Users/yuvraj.chauhan/Downloads/11.2025%20-%20Pacific%20Nexus%20Financials%20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GS Preparyment"/>
      <sheetName val="COGS Preparyment V2"/>
      <sheetName val="Project Sheet"/>
    </sheetNames>
    <sheetDataSet>
      <sheetData sheetId="0"/>
      <sheetData sheetId="1"/>
      <sheetData sheetId="2">
        <row r="2">
          <cell r="A2" t="str">
            <v>27226-Doppler System and wire Photo-shoot</v>
          </cell>
        </row>
        <row r="3">
          <cell r="A3" t="str">
            <v>27228-2025 Leaf Lumber Baseball</v>
          </cell>
        </row>
        <row r="4">
          <cell r="A4" t="str">
            <v>27238-Decision 2024 Political Gems - 18 subjects</v>
          </cell>
        </row>
        <row r="5">
          <cell r="A5" t="str">
            <v>27239-Bench Warmer International Inc Decision 2024 Political Flags</v>
          </cell>
        </row>
        <row r="6">
          <cell r="A6" t="str">
            <v>27240-Decision 2024 Money Cards</v>
          </cell>
        </row>
        <row r="7">
          <cell r="A7" t="str">
            <v>27248-FA26 Product Photo shoot</v>
          </cell>
        </row>
        <row r="8">
          <cell r="A8" t="str">
            <v>27258-Ecomm On Model photo-shoot</v>
          </cell>
        </row>
        <row r="9">
          <cell r="A9" t="str">
            <v>27282-0-Decision 2024 • Pieces of America (POA)</v>
          </cell>
        </row>
        <row r="10">
          <cell r="A10" t="str">
            <v>27289-0-Elite In Memoriam</v>
          </cell>
        </row>
        <row r="11">
          <cell r="A11" t="str">
            <v>27290-0-World Leaders</v>
          </cell>
        </row>
        <row r="12">
          <cell r="A12" t="str">
            <v>27292-0-Look N See</v>
          </cell>
        </row>
        <row r="13">
          <cell r="A13" t="str">
            <v>27305-0-2025 Leaf Glory of the Game Basketball</v>
          </cell>
        </row>
        <row r="14">
          <cell r="A14" t="str">
            <v>27305-1-2025 Leaf Glory of the Game Basketball 4 Glory</v>
          </cell>
        </row>
        <row r="15">
          <cell r="A15" t="str">
            <v>27305-10-2025 Leaf Glory of the Game Basketball - PAGES IN HISTORY 2 PANEL BOOK</v>
          </cell>
        </row>
        <row r="16">
          <cell r="A16" t="str">
            <v>27305-11-2025 Leaf Glory of the Game Basketball - RETRO RELIC SIGNATURES</v>
          </cell>
        </row>
        <row r="17">
          <cell r="A17" t="str">
            <v>27305-12-2025 Leaf Glory of the Game Basketball - STARS COLLIDE</v>
          </cell>
        </row>
        <row r="18">
          <cell r="A18" t="str">
            <v>27305-13-2025 Leaf Glory of the Game Basketball - THE 7</v>
          </cell>
        </row>
        <row r="19">
          <cell r="A19" t="str">
            <v>27305-14-2025 Leaf Glory of the Game Basketball - THE FRANCHISE 4</v>
          </cell>
        </row>
        <row r="20">
          <cell r="A20" t="str">
            <v>27305-15-2025 Leaf Glory of the Game Basketball - TRADITION</v>
          </cell>
        </row>
        <row r="21">
          <cell r="A21" t="str">
            <v>27305-2-2025 Leaf Glory of the Game Basketball Classic Combos</v>
          </cell>
        </row>
        <row r="22">
          <cell r="A22" t="str">
            <v>27305-3-2025 Leaf Glory of the Game Basketball Court Queens</v>
          </cell>
        </row>
        <row r="23">
          <cell r="A23" t="str">
            <v>27305-4-2025 Leaf Glory of the Game Basketball - For 3!</v>
          </cell>
        </row>
        <row r="24">
          <cell r="A24" t="str">
            <v>27305-5-2025 Leaf Glory of the Game Basketball - FULL COURT 3 Panel Book</v>
          </cell>
        </row>
        <row r="25">
          <cell r="A25" t="str">
            <v>27305-6-2025 Leaf Glory of the Game Basketball - GLORY DAYS</v>
          </cell>
        </row>
        <row r="26">
          <cell r="A26" t="str">
            <v>27305-7-2025 Leaf Glory of the Game Basketball - GLORY OF THE GAME USED</v>
          </cell>
        </row>
        <row r="27">
          <cell r="A27" t="str">
            <v>27305-8-2025 Leaf Glory of the Game Basketball - LET THE RECORD SHOW</v>
          </cell>
        </row>
        <row r="28">
          <cell r="A28" t="str">
            <v>27305-9-2025 Leaf Glory of the Game Basketball - ONE ON ONE</v>
          </cell>
        </row>
        <row r="29">
          <cell r="A29" t="str">
            <v>27313-0-Occlusion Balloon Beauty Photo-shoot</v>
          </cell>
        </row>
        <row r="30">
          <cell r="A30" t="str">
            <v>27314-0-Argen Z GT</v>
          </cell>
        </row>
        <row r="31">
          <cell r="A31" t="str">
            <v>27315-0-C4 25 photo/video shoot</v>
          </cell>
        </row>
        <row r="32">
          <cell r="A32" t="str">
            <v>27324-0-NonStop Printing photography</v>
          </cell>
        </row>
        <row r="33">
          <cell r="A33" t="str">
            <v>27325-0-HO26 Product Photo shoot</v>
          </cell>
        </row>
        <row r="34">
          <cell r="A34" t="str">
            <v>27326-0-Ecomm On Model photo-shoot SP26 Detail shots</v>
          </cell>
        </row>
        <row r="35">
          <cell r="A35" t="str">
            <v>27328-0-FA26 Product photography</v>
          </cell>
        </row>
        <row r="36">
          <cell r="A36" t="str">
            <v>27329-0-Strategy, Branding, Photography, Web Design and Marketing Plan</v>
          </cell>
        </row>
        <row r="37">
          <cell r="A37" t="str">
            <v>27331-0-SP26 DTCx - Photo Shoot Product shots</v>
          </cell>
        </row>
        <row r="38">
          <cell r="A38" t="str">
            <v>27332-0-2026 Q1 Product Photo-shoot</v>
          </cell>
        </row>
        <row r="39">
          <cell r="A39" t="str">
            <v>27333-0-Edits to previous images</v>
          </cell>
        </row>
        <row r="40">
          <cell r="A40" t="str">
            <v>J400015-2027 Fleer Ultra Golf Double Trouble Dual Autos</v>
          </cell>
        </row>
        <row r="41">
          <cell r="A41" t="str">
            <v>J400017-2025 Goodwin Champions • 23XI Autographs</v>
          </cell>
        </row>
        <row r="42">
          <cell r="A42" t="str">
            <v>J400018-2025-26 NHL Hockey Heroes Volume 4 Evo.</v>
          </cell>
        </row>
        <row r="43">
          <cell r="A43" t="str">
            <v>J400020-2025-26 NHL Hockey Series 2</v>
          </cell>
        </row>
        <row r="44">
          <cell r="A44" t="str">
            <v>J400021-Base Card #247 - Zohran Mamdani</v>
          </cell>
        </row>
        <row r="45">
          <cell r="A45" t="str">
            <v>J400023-01-Base Set Holdovers - Form 1</v>
          </cell>
        </row>
        <row r="46">
          <cell r="A46" t="str">
            <v>J400023-02-Base Set Holdovers - Form 2 - Blue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ject Profitability Points"/>
      <sheetName val="Cover"/>
      <sheetName val="Index"/>
      <sheetName val="BS"/>
      <sheetName val="Charts"/>
      <sheetName val="Charts Data"/>
      <sheetName val="Profit and Loss by Month"/>
      <sheetName val="Profit &amp; Loss - Division(Month)"/>
      <sheetName val="Profit and Loss - Division(YTD)"/>
      <sheetName val="Statement of Cash Flows"/>
      <sheetName val="COGS Preparyment V2"/>
      <sheetName val="Cost of Materials"/>
      <sheetName val="PE"/>
      <sheetName val="AR"/>
      <sheetName val="FA"/>
      <sheetName val="AP"/>
      <sheetName val="OA"/>
      <sheetName val="AE"/>
      <sheetName val="AE-SL"/>
      <sheetName val="IL"/>
      <sheetName val="SL"/>
      <sheetName val="RL"/>
      <sheetName val="AL"/>
    </sheetNames>
    <sheetDataSet>
      <sheetData sheetId="0"/>
      <sheetData sheetId="1"/>
      <sheetData sheetId="2"/>
      <sheetData sheetId="3">
        <row r="2">
          <cell r="B2" t="str">
            <v>Pacific Nexus</v>
          </cell>
        </row>
        <row r="43">
          <cell r="B43" t="str">
            <v xml:space="preserve">            2000 Accounts Payable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J. Chauhan" refreshedDate="45985.833749652775" createdVersion="8" refreshedVersion="8" minRefreshableVersion="3" recordCount="119" xr:uid="{E422889B-A252-447F-AD2B-ED85C7AE3569}">
  <cacheSource type="worksheet">
    <worksheetSource ref="B1:K120" sheet="COGS Preparyment V2"/>
  </cacheSource>
  <cacheFields count="10">
    <cacheField name="Transaction date" numFmtId="0">
      <sharedItems/>
    </cacheField>
    <cacheField name="Transaction type" numFmtId="0">
      <sharedItems/>
    </cacheField>
    <cacheField name="Num" numFmtId="0">
      <sharedItems/>
    </cacheField>
    <cacheField name="Name" numFmtId="0">
      <sharedItems/>
    </cacheField>
    <cacheField name="Memo/Description" numFmtId="0">
      <sharedItems/>
    </cacheField>
    <cacheField name="Account full name" numFmtId="0">
      <sharedItems/>
    </cacheField>
    <cacheField name="Item split account" numFmtId="0">
      <sharedItems/>
    </cacheField>
    <cacheField name="Amount" numFmtId="4">
      <sharedItems containsSemiMixedTypes="0" containsString="0" containsNumber="1" minValue="-146" maxValue="2808.06"/>
    </cacheField>
    <cacheField name="Balance" numFmtId="4">
      <sharedItems containsSemiMixedTypes="0" containsString="0" containsNumber="1" minValue="1055.05" maxValue="46234.520000000011"/>
    </cacheField>
    <cacheField name="Customer" numFmtId="0">
      <sharedItems count="14">
        <s v="27315-0-C4 25 photo/video shoot"/>
        <s v="27248-FA26 Product Photo shoot"/>
        <s v="27226-Doppler System and wire Photo-shoot"/>
        <s v="27228-2025 Leaf Lumber Baseball"/>
        <s v="27290-0-World Leaders"/>
        <s v="27292-0-Look N See"/>
        <s v="27289-0-Elite In Memoriam"/>
        <s v="27305-0-2025 Leaf Glory of the Game Basketball"/>
        <s v="27240-Decision 2024 Money Cards"/>
        <s v="27258-Ecomm On Model photo-shoot"/>
        <s v="27239-Bench Warmer International Inc Decision 2024 Political Flags"/>
        <s v="27282-0-Decision 2024 • Pieces of America (POA)"/>
        <s v="27238-Decision 2024 Political Gems - 18 subjects"/>
        <s v="J400015-2027 Fleer Ultra Golf Double Trouble Dual Au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10/02/2025"/>
    <s v="Expense"/>
    <s v=""/>
    <s v="Lensrentals.com"/>
    <s v="LENSRENTALS.COM     MEMPHIS             TN"/>
    <s v="5005 Cost of Materials"/>
    <s v="AMEX #1000"/>
    <n v="1021.31"/>
    <n v="1055.05"/>
    <x v="0"/>
  </r>
  <r>
    <s v="10/11/2025"/>
    <s v="Bill"/>
    <s v="251023"/>
    <s v="Taham Express dba Clipping Partner"/>
    <s v="Clipping path around the product"/>
    <s v="5005 Cost of Materials"/>
    <s v="Accounts Payable"/>
    <n v="13.86"/>
    <n v="3728.1099999999997"/>
    <x v="1"/>
  </r>
  <r>
    <s v="10/11/2025"/>
    <s v="Bill"/>
    <s v="251023"/>
    <s v="Taham Express dba Clipping Partner"/>
    <s v="Retouch per instruction layer on each image"/>
    <s v="5005 Cost of Materials"/>
    <s v="Accounts Payable"/>
    <n v="22"/>
    <n v="3750.1099999999997"/>
    <x v="1"/>
  </r>
  <r>
    <s v="10/11/2025"/>
    <s v="Bill"/>
    <s v="251023"/>
    <s v="Taham Express dba Clipping Partner"/>
    <s v="Clipping path around the product"/>
    <s v="5005 Cost of Materials"/>
    <s v="Accounts Payable"/>
    <n v="1.98"/>
    <n v="3827.0099999999998"/>
    <x v="1"/>
  </r>
  <r>
    <s v="10/11/2025"/>
    <s v="Bill"/>
    <s v="251023"/>
    <s v="Taham Express dba Clipping Partner"/>
    <s v="Retouch per instruction layer on each image"/>
    <s v="5005 Cost of Materials"/>
    <s v="Accounts Payable"/>
    <n v="5.5"/>
    <n v="3832.5099999999998"/>
    <x v="1"/>
  </r>
  <r>
    <s v="10/11/2025"/>
    <s v="Bill"/>
    <s v="251023"/>
    <s v="Taham Express dba Clipping Partner"/>
    <s v="Retouch images per reference layer on hi res files"/>
    <s v="5005 Cost of Materials"/>
    <s v="Accounts Payable"/>
    <n v="38.5"/>
    <n v="4641.01"/>
    <x v="1"/>
  </r>
  <r>
    <s v="10/11/2025"/>
    <s v="Bill"/>
    <s v="251023"/>
    <s v="Taham Express dba Clipping Partner"/>
    <s v="Clipping path around the product._x000a_Do not drop the backgrounds._x000a_Files sent via dropbox link._x000a_File name:27248 ENIJR286_9.3"/>
    <s v="5005 Cost of Materials"/>
    <s v="Accounts Payable"/>
    <n v="29.7"/>
    <n v="4670.71"/>
    <x v="1"/>
  </r>
  <r>
    <s v="10/11/2025"/>
    <s v="Bill"/>
    <s v="251023"/>
    <s v="Taham Express dba Clipping Partner"/>
    <s v="Clipping path around the product"/>
    <s v="5005 Cost of Materials"/>
    <s v="Accounts Payable"/>
    <n v="40.590000000000003"/>
    <n v="4711.3"/>
    <x v="1"/>
  </r>
  <r>
    <s v="10/11/2025"/>
    <s v="Bill"/>
    <s v="251023"/>
    <s v="Taham Express dba Clipping Partner"/>
    <s v="Retouch images per reference layers on hi res files._x000a_Do not drop the backgrounds._x000a_Files sent via Dropbox link._x000a_File names:_x000a_27248 ENIJR286_9.4_1_x000a_27248 ENIJR286_9.4_2"/>
    <s v="5005 Cost of Materials"/>
    <s v="Accounts Payable"/>
    <n v="33"/>
    <n v="4744.3"/>
    <x v="1"/>
  </r>
  <r>
    <s v="10/11/2025"/>
    <s v="Bill"/>
    <s v="251023"/>
    <s v="Taham Express dba Clipping Partner"/>
    <s v="Retouch images per reference layer on hi res files."/>
    <s v="5005 Cost of Materials"/>
    <s v="Accounts Payable"/>
    <n v="22"/>
    <n v="4766.3"/>
    <x v="1"/>
  </r>
  <r>
    <s v="10/11/2025"/>
    <s v="Bill"/>
    <s v="251023"/>
    <s v="Taham Express dba Clipping Partner"/>
    <s v="Clipping path around the product._x000a_Do not drop the backgrounds._x000a_Files sent via Dropbox link._x000a_File name:27248 ENIJR286_9.5"/>
    <s v="5005 Cost of Materials"/>
    <s v="Accounts Payable"/>
    <n v="20.79"/>
    <n v="4787.09"/>
    <x v="1"/>
  </r>
  <r>
    <s v="10/11/2025"/>
    <s v="Bill"/>
    <s v="251023"/>
    <s v="Taham Express dba Clipping Partner"/>
    <s v="Retouch images per reference layers on hi res files"/>
    <s v="5005 Cost of Materials"/>
    <s v="Accounts Payable"/>
    <n v="46.75"/>
    <n v="4833.84"/>
    <x v="1"/>
  </r>
  <r>
    <s v="10/11/2025"/>
    <s v="Bill"/>
    <s v="251023"/>
    <s v="Taham Express dba Clipping Partner"/>
    <s v="Clipping path around the product."/>
    <s v="5005 Cost of Materials"/>
    <s v="Accounts Payable"/>
    <n v="19.8"/>
    <n v="4853.6400000000003"/>
    <x v="1"/>
  </r>
  <r>
    <s v="10/11/2025"/>
    <s v="Bill"/>
    <s v="251023"/>
    <s v="Taham Express dba Clipping Partner"/>
    <s v="Retouch images per supplied reference layer on hi res file"/>
    <s v="5005 Cost of Materials"/>
    <s v="Accounts Payable"/>
    <n v="5.5"/>
    <n v="4859.1400000000003"/>
    <x v="1"/>
  </r>
  <r>
    <s v="10/11/2025"/>
    <s v="Bill"/>
    <s v="251023"/>
    <s v="Taham Express dba Clipping Partner"/>
    <s v="Clipping path around the product."/>
    <s v="5005 Cost of Materials"/>
    <s v="Accounts Payable"/>
    <n v="11.88"/>
    <n v="4871.0200000000004"/>
    <x v="1"/>
  </r>
  <r>
    <s v="10/11/2025"/>
    <s v="Bill"/>
    <s v="251023"/>
    <s v="Taham Express dba Clipping Partner"/>
    <s v="Clipping path around the product."/>
    <s v="5005 Cost of Materials"/>
    <s v="Accounts Payable"/>
    <n v="15.84"/>
    <n v="4886.8600000000006"/>
    <x v="1"/>
  </r>
  <r>
    <s v="10/11/2025"/>
    <s v="Bill"/>
    <s v="251023"/>
    <s v="Taham Express dba Clipping Partner"/>
    <s v="Retouch images per reference layer on hi res files."/>
    <s v="5005 Cost of Materials"/>
    <s v="Accounts Payable"/>
    <n v="13.75"/>
    <n v="4900.6100000000006"/>
    <x v="1"/>
  </r>
  <r>
    <s v="10/11/2025"/>
    <s v="Bill"/>
    <s v="251023"/>
    <s v="Taham Express dba Clipping Partner"/>
    <s v="Separate clipping path around each item in the image"/>
    <s v="5005 Cost of Materials"/>
    <s v="Accounts Payable"/>
    <n v="20"/>
    <n v="4920.6100000000006"/>
    <x v="1"/>
  </r>
  <r>
    <s v="10/11/2025"/>
    <s v="Bill"/>
    <s v="251023"/>
    <s v="Taham Express dba Clipping Partner"/>
    <s v="Clipping path around the product._x000a_Do not drop the backgrounds"/>
    <s v="5005 Cost of Materials"/>
    <s v="Accounts Payable"/>
    <n v="39.6"/>
    <n v="4960.2100000000009"/>
    <x v="1"/>
  </r>
  <r>
    <s v="10/11/2025"/>
    <s v="Bill"/>
    <s v="251023"/>
    <s v="Taham Express dba Clipping Partner"/>
    <s v="Retouch images per reference layers on hi res files."/>
    <s v="5005 Cost of Materials"/>
    <s v="Accounts Payable"/>
    <n v="60.5"/>
    <n v="5020.7100000000009"/>
    <x v="1"/>
  </r>
  <r>
    <s v="10/17/2025"/>
    <s v="Credit Card Credit"/>
    <s v=""/>
    <s v="Lensrentals.com"/>
    <s v="LENSRENTALS.COM MEMPHIS TN XXXX1067 - credit from overcharge"/>
    <s v="5005 Cost of Materials"/>
    <s v="AMEX #1000"/>
    <n v="-11.29"/>
    <n v="6639.3800000000019"/>
    <x v="0"/>
  </r>
  <r>
    <s v="10/17/2025"/>
    <s v="Credit Card Credit"/>
    <s v=""/>
    <s v="Lensrentals.com"/>
    <s v="LENSRENTALS.COM MEMPHIS TN XXXX1067 - credit from overcharge"/>
    <s v="5005 Cost of Materials"/>
    <s v="AMEX #1000"/>
    <n v="-146"/>
    <n v="6493.3800000000019"/>
    <x v="0"/>
  </r>
  <r>
    <s v="10/18/2025"/>
    <s v="Expense"/>
    <s v=""/>
    <s v="DOORDASH"/>
    <s v="DD *DOORDASH MENDOCISAN FRANCISCO CA XXXX1075 - craft services"/>
    <s v="5005 Cost of Materials"/>
    <s v="AMEX #1000"/>
    <n v="157.47999999999999"/>
    <n v="7930.8600000000015"/>
    <x v="2"/>
  </r>
  <r>
    <s v="10/22/2025"/>
    <s v="Bill"/>
    <s v="146169"/>
    <s v="The Printery"/>
    <s v="Signature Sticks 8 Book Cover, OUTSIDES_x000a_1 Form x 30 Sheets_x000a_4 Color Process, WITH UV_x000a_18 x 12 White 14pt, Printed on 1 side"/>
    <s v="5005 Cost of Materials"/>
    <s v="Accounts Payable"/>
    <n v="132.51"/>
    <n v="9281.5400000000027"/>
    <x v="3"/>
  </r>
  <r>
    <s v="10/22/2025"/>
    <s v="Bill"/>
    <s v="146084"/>
    <s v="The Printery"/>
    <s v="World Leaders FRONTS_x000a_6 Forms_x000a_4CP / 0_x000a_18x12 White 188# Tango C1S Digital"/>
    <s v="5005 Cost of Materials"/>
    <s v="Accounts Payable"/>
    <n v="359.58"/>
    <n v="9641.1200000000026"/>
    <x v="4"/>
  </r>
  <r>
    <s v="10/22/2025"/>
    <s v="Bill"/>
    <s v="146084"/>
    <s v="The Printery"/>
    <s v="World Leaders BACKS_x000a_6 Forms_x000a_0 / 4CP_x000a_18x12 White 188# Tango C1S Digital"/>
    <s v="5005 Cost of Materials"/>
    <s v="Accounts Payable"/>
    <n v="305.87"/>
    <n v="9946.9900000000034"/>
    <x v="4"/>
  </r>
  <r>
    <s v="10/22/2025"/>
    <s v="Bill"/>
    <s v="146090"/>
    <s v="The Printery"/>
    <s v="Look N See FRONTS_x000a_1 Form_x000a_4CP / 0_x000a_18x12 White 188# Tango C1S Digital"/>
    <s v="5005 Cost of Materials"/>
    <s v="Accounts Payable"/>
    <n v="180.87"/>
    <n v="10127.860000000004"/>
    <x v="5"/>
  </r>
  <r>
    <s v="10/22/2025"/>
    <s v="Bill"/>
    <s v="146090"/>
    <s v="The Printery"/>
    <s v="Look N See BACKS_x000a_1 Form_x000a_0/ 4CP_x000a_18x12 White 188# Tango C1S Digital"/>
    <s v="5005 Cost of Materials"/>
    <s v="Accounts Payable"/>
    <n v="139.93"/>
    <n v="10267.790000000005"/>
    <x v="5"/>
  </r>
  <r>
    <s v="10/22/2025"/>
    <s v="Bill"/>
    <s v="146091"/>
    <s v="The Printery"/>
    <s v="Elite in Memoriam FRONTS_x000a_1 Form_x000a_4CP / 0_x000a_18x12 White 188# Tango C1S"/>
    <s v="5005 Cost of Materials"/>
    <s v="Accounts Payable"/>
    <n v="104.18"/>
    <n v="10371.970000000005"/>
    <x v="6"/>
  </r>
  <r>
    <s v="10/22/2025"/>
    <s v="Bill"/>
    <s v="146091"/>
    <s v="The Printery"/>
    <s v="Elite in Memoriam BACKS_x000a_1 Form_x000a_0 / 4CP_x000a_18x12 White 188# Tango C1S"/>
    <s v="5005 Cost of Materials"/>
    <s v="Accounts Payable"/>
    <n v="104.18"/>
    <n v="10476.150000000005"/>
    <x v="6"/>
  </r>
  <r>
    <s v="10/22/2025"/>
    <s v="Bill"/>
    <s v="146092"/>
    <s v="The Printery"/>
    <s v="Court Queens"/>
    <s v="5005 Cost of Materials"/>
    <s v="Accounts Payable"/>
    <n v="548.03"/>
    <n v="11024.180000000006"/>
    <x v="7"/>
  </r>
  <r>
    <s v="10/22/2025"/>
    <s v="Bill"/>
    <s v="146092"/>
    <s v="The Printery"/>
    <s v="Classic Combos"/>
    <s v="5005 Cost of Materials"/>
    <s v="Accounts Payable"/>
    <n v="164.41"/>
    <n v="11188.590000000006"/>
    <x v="7"/>
  </r>
  <r>
    <s v="10/22/2025"/>
    <s v="Bill"/>
    <s v="146092"/>
    <s v="The Printery"/>
    <s v="4-Glory"/>
    <s v="5005 Cost of Materials"/>
    <s v="Accounts Payable"/>
    <n v="49.82"/>
    <n v="11238.410000000005"/>
    <x v="7"/>
  </r>
  <r>
    <s v="10/22/2025"/>
    <s v="Bill"/>
    <s v="146092"/>
    <s v="The Printery"/>
    <s v="For 3!"/>
    <s v="5005 Cost of Materials"/>
    <s v="Accounts Payable"/>
    <n v="49.82"/>
    <n v="11288.230000000005"/>
    <x v="7"/>
  </r>
  <r>
    <s v="10/22/2025"/>
    <s v="Bill"/>
    <s v="146092"/>
    <s v="The Printery"/>
    <s v="Glory Days"/>
    <s v="5005 Cost of Materials"/>
    <s v="Accounts Payable"/>
    <n v="493.23"/>
    <n v="11781.460000000005"/>
    <x v="7"/>
  </r>
  <r>
    <s v="10/22/2025"/>
    <s v="Bill"/>
    <s v="146092"/>
    <s v="The Printery"/>
    <s v="Court Queens"/>
    <s v="5005 Cost of Materials"/>
    <s v="Accounts Payable"/>
    <n v="448.65"/>
    <n v="12230.110000000004"/>
    <x v="7"/>
  </r>
  <r>
    <s v="10/22/2025"/>
    <s v="Bill"/>
    <s v="146092"/>
    <s v="The Printery"/>
    <s v="Classic Combos"/>
    <s v="5005 Cost of Materials"/>
    <s v="Accounts Payable"/>
    <n v="192.28"/>
    <n v="12422.390000000005"/>
    <x v="7"/>
  </r>
  <r>
    <s v="10/22/2025"/>
    <s v="Bill"/>
    <s v="146092"/>
    <s v="The Printery"/>
    <s v="4-Glory"/>
    <s v="5005 Cost of Materials"/>
    <s v="Accounts Payable"/>
    <n v="34.96"/>
    <n v="12457.350000000004"/>
    <x v="7"/>
  </r>
  <r>
    <s v="10/22/2025"/>
    <s v="Bill"/>
    <s v="146092"/>
    <s v="The Printery"/>
    <s v="For 3!"/>
    <s v="5005 Cost of Materials"/>
    <s v="Accounts Payable"/>
    <n v="34.96"/>
    <n v="12492.310000000003"/>
    <x v="7"/>
  </r>
  <r>
    <s v="10/22/2025"/>
    <s v="Bill"/>
    <s v="146092"/>
    <s v="The Printery"/>
    <s v="Glory Days"/>
    <s v="5005 Cost of Materials"/>
    <s v="Accounts Payable"/>
    <n v="384.55"/>
    <n v="12876.860000000002"/>
    <x v="7"/>
  </r>
  <r>
    <s v="10/22/2025"/>
    <s v="Bill"/>
    <s v="146095"/>
    <s v="The Printery"/>
    <s v="FULL COURT BOOK, 3 PANEL, 10 VERSIONS_x000a_2 forms x 75 each_x000a_4CP / 0, 18 x 12 White 188#/14pt Tango C2S Digital_x000a_OUTSIDES_x000a_150"/>
    <s v="5005 Cost of Materials"/>
    <s v="Accounts Payable"/>
    <n v="295.87"/>
    <n v="13172.730000000003"/>
    <x v="7"/>
  </r>
  <r>
    <s v="10/22/2025"/>
    <s v="Bill"/>
    <s v="146095"/>
    <s v="The Printery"/>
    <s v="FULL COURT BOOK, 3 PANEL, 10 VERSIONS_x000a_5 forms x 50 each_x000a_4CP / 0, 18 x 12 White 188#/14pt Tango C2S Digital_x000a_INSIDES_x000a_250"/>
    <s v="5005 Cost of Materials"/>
    <s v="Accounts Payable"/>
    <n v="507.28"/>
    <n v="13680.010000000004"/>
    <x v="7"/>
  </r>
  <r>
    <s v="10/22/2025"/>
    <s v="Bill"/>
    <s v="146095"/>
    <s v="The Printery"/>
    <s v="PAGES IN HISTORY BOOK 2 PANEL, 10 VERSIONS_x000a_40 each_x000a_4CP / 0, 18 x 12 White 188#/14pt Tango C2S Digital_x000a_INSIDES_x000a_400"/>
    <s v="5005 Cost of Materials"/>
    <s v="Accounts Payable"/>
    <n v="391.63"/>
    <n v="14071.640000000003"/>
    <x v="7"/>
  </r>
  <r>
    <s v="10/22/2025"/>
    <s v="Bill"/>
    <s v="146095"/>
    <s v="The Printery"/>
    <s v="PAGES IN HISTORY BOOK 2 PANEL, 10 VERSIONS_x000a_20 each_x000a_4CP / 0, 18 x 12 White 188#/14pt Tango C2S Digital_x000a_OUTSIDES_x000a_200"/>
    <s v="5005 Cost of Materials"/>
    <s v="Accounts Payable"/>
    <n v="236.76"/>
    <n v="14308.400000000003"/>
    <x v="7"/>
  </r>
  <r>
    <s v="10/23/2025"/>
    <s v="Bill"/>
    <s v="PW-135911"/>
    <s v="Zuza LLC dba Golden State Graphics"/>
    <s v="Reprint Form 1Back - 4/0 Pacific Plus Upload"/>
    <s v="5005 Cost of Materials"/>
    <s v="Accounts Payable"/>
    <n v="76.400000000000006"/>
    <n v="14384.800000000003"/>
    <x v="8"/>
  </r>
  <r>
    <s v="10/27/2025"/>
    <s v="Expense"/>
    <s v=""/>
    <s v="Hungry Bear Catering Co."/>
    <s v="HUNGRY BEA* HUNGRY BVISTA CA XXXX1075 - craft services"/>
    <s v="5005 Cost of Materials"/>
    <s v="AMEX #1000"/>
    <n v="119.32"/>
    <n v="14504.120000000003"/>
    <x v="9"/>
  </r>
  <r>
    <s v="10/28/2025"/>
    <s v="Bill"/>
    <s v="CC-85595"/>
    <s v="San Diego Die Cutting Inc."/>
    <s v="set up"/>
    <s v="5005 Cost of Materials"/>
    <s v="Accounts Payable"/>
    <n v="105"/>
    <n v="14609.120000000003"/>
    <x v="10"/>
  </r>
  <r>
    <s v="10/28/2025"/>
    <s v="Bill"/>
    <s v="CC-85595"/>
    <s v="San Diego Die Cutting Inc."/>
    <s v="run - qty: 235"/>
    <s v="5005 Cost of Materials"/>
    <s v="Accounts Payable"/>
    <n v="42.3"/>
    <n v="14651.420000000002"/>
    <x v="10"/>
  </r>
  <r>
    <s v="10/28/2025"/>
    <s v="Bill"/>
    <s v="CC-85596"/>
    <s v="San Diego Die Cutting Inc."/>
    <s v="sheets on floor"/>
    <s v="5005 Cost of Materials"/>
    <s v="Accounts Payable"/>
    <n v="30"/>
    <n v="14681.420000000002"/>
    <x v="3"/>
  </r>
  <r>
    <s v="10/28/2025"/>
    <s v="Bill"/>
    <s v="CC-85596"/>
    <s v="San Diego Die Cutting Inc."/>
    <s v="set-up"/>
    <s v="5005 Cost of Materials"/>
    <s v="Accounts Payable"/>
    <n v="135"/>
    <n v="14816.420000000002"/>
    <x v="3"/>
  </r>
  <r>
    <s v="10/28/2025"/>
    <s v="Bill"/>
    <s v="CC-85596"/>
    <s v="San Diego Die Cutting Inc."/>
    <s v="run"/>
    <s v="5005 Cost of Materials"/>
    <s v="Accounts Payable"/>
    <n v="32.4"/>
    <n v="14848.820000000002"/>
    <x v="3"/>
  </r>
  <r>
    <s v="10/28/2025"/>
    <s v="Bill"/>
    <s v="CC-85597"/>
    <s v="San Diego Die Cutting Inc."/>
    <s v="set up"/>
    <s v="5005 Cost of Materials"/>
    <s v="Accounts Payable"/>
    <n v="105"/>
    <n v="14953.820000000002"/>
    <x v="11"/>
  </r>
  <r>
    <s v="10/28/2025"/>
    <s v="Bill"/>
    <s v="CC-85597"/>
    <s v="San Diego Die Cutting Inc."/>
    <s v="run - qty: 100"/>
    <s v="5005 Cost of Materials"/>
    <s v="Accounts Payable"/>
    <n v="18"/>
    <n v="14971.820000000002"/>
    <x v="11"/>
  </r>
  <r>
    <s v="10/28/2025"/>
    <s v="Expense"/>
    <s v=""/>
    <s v="Albertsons"/>
    <s v="ALBERTSONS #XXX1 071SAN MARCOS CA XXXX1075 - craft services"/>
    <s v="5005 Cost of Materials"/>
    <s v="AMEX #1000"/>
    <n v="31.86"/>
    <n v="16437.38"/>
    <x v="9"/>
  </r>
  <r>
    <s v="10/28/2025"/>
    <s v="Expense"/>
    <s v=""/>
    <s v="DOORDASH"/>
    <s v="DD *DOORDASH PANINIKSAN FRANCISCO CA XXXX1075 - craft services"/>
    <s v="5005 Cost of Materials"/>
    <s v="AMEX #1000"/>
    <n v="236.68"/>
    <n v="16674.060000000001"/>
    <x v="9"/>
  </r>
  <r>
    <s v="10/28/2025"/>
    <s v="Expense"/>
    <s v=""/>
    <s v="Mexico Viejo"/>
    <s v="MEXICO VIEJO VISTA CA XXXX1075 - Craft services"/>
    <s v="5005 Cost of Materials"/>
    <s v="AMEX #1000"/>
    <n v="70.56"/>
    <n v="16744.620000000003"/>
    <x v="9"/>
  </r>
  <r>
    <s v="10/29/2025"/>
    <s v="Expense"/>
    <s v=""/>
    <s v="Mexico Viejo"/>
    <s v="MEXICO VIEJO VISTA CA XXXX1075 - craft services"/>
    <s v="5005 Cost of Materials"/>
    <s v="AMEX #1000"/>
    <n v="42.34"/>
    <n v="17229.990000000002"/>
    <x v="9"/>
  </r>
  <r>
    <s v="10/29/2025"/>
    <s v="Expense"/>
    <s v=""/>
    <s v="Michael Stores, Inc.,"/>
    <s v="MICHAELS STORES 9538VISTA CA XXXX1075 - rhinestone applicator pens"/>
    <s v="5005 Cost of Materials"/>
    <s v="AMEX #1000"/>
    <n v="38.950000000000003"/>
    <n v="17268.940000000002"/>
    <x v="12"/>
  </r>
  <r>
    <s v="10/30/2025"/>
    <s v="Bill"/>
    <s v="146206"/>
    <s v="The Printery"/>
    <s v="Leaf Lumber Baseball, Today's Lineup Book Bronze 876_x000a_3 forms x 40 each_x000a_4 Color Process, PLUS UV_x000a_$ 291.04_x000a__x000a_Picked up on: 10/28/25"/>
    <s v="5005 Cost of Materials"/>
    <s v="Accounts Payable"/>
    <n v="291.04000000000002"/>
    <n v="17559.980000000003"/>
    <x v="3"/>
  </r>
  <r>
    <s v="10/30/2025"/>
    <s v="Bill"/>
    <s v="CC-10065"/>
    <s v="Graphic Dies, Inc."/>
    <s v="FOIL - MAGNESIUM - REGULAR ( 6-up DULTOBE )"/>
    <s v="5005 Cost of Materials"/>
    <s v="Accounts Payable"/>
    <n v="166.06"/>
    <n v="17726.040000000005"/>
    <x v="13"/>
  </r>
  <r>
    <s v="10/30/2025"/>
    <s v="Bill"/>
    <s v="146094"/>
    <s v="The Printery"/>
    <s v="Retro Relic Sig, 34 Subjects"/>
    <s v="5005 Cost of Materials"/>
    <s v="Accounts Payable"/>
    <n v="1272.99"/>
    <n v="18999.030000000006"/>
    <x v="7"/>
  </r>
  <r>
    <s v="10/30/2025"/>
    <s v="Bill"/>
    <s v="146094"/>
    <s v="The Printery"/>
    <s v="One on One, 25 Subjects"/>
    <s v="5005 Cost of Materials"/>
    <s v="Accounts Payable"/>
    <n v="1170.02"/>
    <n v="20169.050000000007"/>
    <x v="7"/>
  </r>
  <r>
    <s v="10/30/2025"/>
    <s v="Bill"/>
    <s v="146094"/>
    <s v="The Printery"/>
    <s v="Stars Collide, 20 Subjects"/>
    <s v="5005 Cost of Materials"/>
    <s v="Accounts Payable"/>
    <n v="748.82"/>
    <n v="20917.870000000006"/>
    <x v="7"/>
  </r>
  <r>
    <s v="10/30/2025"/>
    <s v="Bill"/>
    <s v="146094"/>
    <s v="The Printery"/>
    <s v="Glory of the Game, 60 Subjects"/>
    <s v="5005 Cost of Materials"/>
    <s v="Accounts Payable"/>
    <n v="2808.06"/>
    <n v="23725.930000000008"/>
    <x v="7"/>
  </r>
  <r>
    <s v="10/30/2025"/>
    <s v="Bill"/>
    <s v="146094"/>
    <s v="The Printery"/>
    <s v="The 7, 15 Subjects"/>
    <s v="5005 Cost of Materials"/>
    <s v="Accounts Payable"/>
    <n v="561.61"/>
    <n v="24287.540000000008"/>
    <x v="7"/>
  </r>
  <r>
    <s v="10/30/2025"/>
    <s v="Bill"/>
    <s v="146094"/>
    <s v="The Printery"/>
    <s v="The Franchise, 15 Subjects"/>
    <s v="5005 Cost of Materials"/>
    <s v="Accounts Payable"/>
    <n v="702.01"/>
    <n v="24989.550000000007"/>
    <x v="7"/>
  </r>
  <r>
    <s v="10/30/2025"/>
    <s v="Bill"/>
    <s v="146094"/>
    <s v="The Printery"/>
    <s v="Tradition, 22 Subjects"/>
    <s v="5005 Cost of Materials"/>
    <s v="Accounts Payable"/>
    <n v="1029.6199999999999"/>
    <n v="26019.170000000006"/>
    <x v="7"/>
  </r>
  <r>
    <s v="10/30/2025"/>
    <s v="Bill"/>
    <s v="146094"/>
    <s v="The Printery"/>
    <s v="Let The Record, 24 Subjects"/>
    <s v="5005 Cost of Materials"/>
    <s v="Accounts Payable"/>
    <n v="1123.23"/>
    <n v="27142.400000000005"/>
    <x v="7"/>
  </r>
  <r>
    <s v="10/30/2025"/>
    <s v="Bill"/>
    <s v="146094"/>
    <s v="The Printery"/>
    <s v="Retro Relic Sig, 34 Subjects"/>
    <s v="5005 Cost of Materials"/>
    <s v="Accounts Payable"/>
    <n v="1109.74"/>
    <n v="28252.140000000007"/>
    <x v="7"/>
  </r>
  <r>
    <s v="10/30/2025"/>
    <s v="Bill"/>
    <s v="146094"/>
    <s v="The Printery"/>
    <s v="One on One, 25 Subjects"/>
    <s v="5005 Cost of Materials"/>
    <s v="Accounts Payable"/>
    <n v="815.99"/>
    <n v="29068.130000000008"/>
    <x v="7"/>
  </r>
  <r>
    <s v="10/30/2025"/>
    <s v="Bill"/>
    <s v="146094"/>
    <s v="The Printery"/>
    <s v="Stars Collide, 20 Subjects"/>
    <s v="5005 Cost of Materials"/>
    <s v="Accounts Payable"/>
    <n v="652.79"/>
    <n v="29720.920000000009"/>
    <x v="7"/>
  </r>
  <r>
    <s v="10/30/2025"/>
    <s v="Bill"/>
    <s v="146094"/>
    <s v="The Printery"/>
    <s v="Glory of the Game, 60 Subjects"/>
    <s v="5005 Cost of Materials"/>
    <s v="Accounts Payable"/>
    <n v="1468.77"/>
    <n v="31189.69000000001"/>
    <x v="7"/>
  </r>
  <r>
    <s v="10/30/2025"/>
    <s v="Bill"/>
    <s v="146094"/>
    <s v="The Printery"/>
    <s v="The 7, 15 Subjects"/>
    <s v="5005 Cost of Materials"/>
    <s v="Accounts Payable"/>
    <n v="489.59"/>
    <n v="31679.28000000001"/>
    <x v="7"/>
  </r>
  <r>
    <s v="10/30/2025"/>
    <s v="Bill"/>
    <s v="146094"/>
    <s v="The Printery"/>
    <s v="The Franchise, 15 Subjects"/>
    <s v="5005 Cost of Materials"/>
    <s v="Accounts Payable"/>
    <n v="1009.7"/>
    <n v="32688.98000000001"/>
    <x v="7"/>
  </r>
  <r>
    <s v="10/30/2025"/>
    <s v="Bill"/>
    <s v="146094"/>
    <s v="The Printery"/>
    <s v="Tradition, 22 Subjects"/>
    <s v="5005 Cost of Materials"/>
    <s v="Accounts Payable"/>
    <n v="1077.0999999999999"/>
    <n v="33766.080000000009"/>
    <x v="7"/>
  </r>
  <r>
    <s v="10/30/2025"/>
    <s v="Bill"/>
    <s v="146094"/>
    <s v="The Printery"/>
    <s v="Let The Record, 24 Subjects"/>
    <s v="5005 Cost of Materials"/>
    <s v="Accounts Payable"/>
    <n v="1175.02"/>
    <n v="34941.100000000006"/>
    <x v="7"/>
  </r>
  <r>
    <s v="10/30/2025"/>
    <s v="Bill"/>
    <s v="146086"/>
    <s v="The Printery"/>
    <s v="Pieces of America_x000a_1 Form_x000a_4CP + UV / 0_x000a_18x12 White 188# Tango C2S Digital_x000a__x000a_Fronts"/>
    <s v="5005 Cost of Materials"/>
    <s v="Accounts Payable"/>
    <n v="219.85"/>
    <n v="35160.950000000004"/>
    <x v="11"/>
  </r>
  <r>
    <s v="10/30/2025"/>
    <s v="Bill"/>
    <s v="146086"/>
    <s v="The Printery"/>
    <s v="Pieces of America_x000a_1 Form_x000a_BLACK / 4CP + UV_x000a_18x12 White 188# Tango C2S Digital_x000a__x000a_Backs"/>
    <s v="5005 Cost of Materials"/>
    <s v="Accounts Payable"/>
    <n v="216.72"/>
    <n v="35377.670000000006"/>
    <x v="11"/>
  </r>
  <r>
    <s v="10/31/2025"/>
    <s v="Bill"/>
    <s v="CC-10077"/>
    <s v="Graphic Dies, Inc."/>
    <s v="27305-01-Court_Queens-foil.pdf"/>
    <s v="5005 Cost of Materials"/>
    <s v="Accounts Payable"/>
    <n v="237.43"/>
    <n v="40802.250000000007"/>
    <x v="7"/>
  </r>
  <r>
    <s v="10/31/2025"/>
    <s v="Bill"/>
    <s v="CC-10077"/>
    <s v="Graphic Dies, Inc."/>
    <s v="27305-03-Game_Used-foil.pdf"/>
    <s v="5005 Cost of Materials"/>
    <s v="Accounts Payable"/>
    <n v="250.95"/>
    <n v="41053.200000000004"/>
    <x v="7"/>
  </r>
  <r>
    <s v="10/31/2025"/>
    <s v="Bill"/>
    <s v="CC-10077"/>
    <s v="Graphic Dies, Inc."/>
    <s v="27305-04-Retro_Relic_Signatures-foil.pdf"/>
    <s v="5005 Cost of Materials"/>
    <s v="Accounts Payable"/>
    <n v="241.94"/>
    <n v="41295.140000000007"/>
    <x v="7"/>
  </r>
  <r>
    <s v="10/31/2025"/>
    <s v="Bill"/>
    <s v="CC-10077"/>
    <s v="Graphic Dies, Inc."/>
    <s v="27305-05-Let_The_Record_Show-foil.pdf"/>
    <s v="5005 Cost of Materials"/>
    <s v="Accounts Payable"/>
    <n v="250.95"/>
    <n v="41546.090000000004"/>
    <x v="7"/>
  </r>
  <r>
    <s v="10/31/2025"/>
    <s v="Bill"/>
    <s v="CC-10077"/>
    <s v="Graphic Dies, Inc."/>
    <s v="27305-06-Stars_Collide-foil.pdf"/>
    <s v="5005 Cost of Materials"/>
    <s v="Accounts Payable"/>
    <n v="250.95"/>
    <n v="41797.040000000001"/>
    <x v="7"/>
  </r>
  <r>
    <s v="10/31/2025"/>
    <s v="Bill"/>
    <s v="CC-10077"/>
    <s v="Graphic Dies, Inc."/>
    <s v="27305-07-One_On_One-foil.pdf"/>
    <s v="5005 Cost of Materials"/>
    <s v="Accounts Payable"/>
    <n v="250.95"/>
    <n v="42047.99"/>
    <x v="7"/>
  </r>
  <r>
    <s v="10/31/2025"/>
    <s v="Bill"/>
    <s v="CC-10077"/>
    <s v="Graphic Dies, Inc."/>
    <s v="27305-08-The_7-foil.pdf"/>
    <s v="5005 Cost of Materials"/>
    <s v="Accounts Payable"/>
    <n v="241.94"/>
    <n v="42289.93"/>
    <x v="7"/>
  </r>
  <r>
    <s v="10/31/2025"/>
    <s v="Bill"/>
    <s v="CC-10077"/>
    <s v="Graphic Dies, Inc."/>
    <s v="27305-09-The_Franchise_4-foil.pdf"/>
    <s v="5005 Cost of Materials"/>
    <s v="Accounts Payable"/>
    <n v="244.98"/>
    <n v="42534.91"/>
    <x v="7"/>
  </r>
  <r>
    <s v="10/31/2025"/>
    <s v="Bill"/>
    <s v="CC-10077"/>
    <s v="Graphic Dies, Inc."/>
    <s v="27305-012-4_Glory-foil.pdf"/>
    <s v="5005 Cost of Materials"/>
    <s v="Accounts Payable"/>
    <n v="244.98"/>
    <n v="42779.890000000007"/>
    <x v="7"/>
  </r>
  <r>
    <s v="10/31/2025"/>
    <s v="Bill"/>
    <s v="CC-10077"/>
    <s v="Graphic Dies, Inc."/>
    <s v="27305-013-For_3-foil.pdf"/>
    <s v="5005 Cost of Materials"/>
    <s v="Accounts Payable"/>
    <n v="240.6"/>
    <n v="43020.490000000005"/>
    <x v="7"/>
  </r>
  <r>
    <s v="10/31/2025"/>
    <s v="Bill"/>
    <s v="CC-10077"/>
    <s v="Graphic Dies, Inc."/>
    <s v="27305-014-Full_Court_Book-foil.pdf"/>
    <s v="5005 Cost of Materials"/>
    <s v="Accounts Payable"/>
    <n v="241.94"/>
    <n v="43262.430000000008"/>
    <x v="7"/>
  </r>
  <r>
    <s v="10/31/2025"/>
    <s v="Bill"/>
    <s v="CC-10077"/>
    <s v="Graphic Dies, Inc."/>
    <s v="27305-015-Pages_In_History_Book-foil.pdf"/>
    <s v="5005 Cost of Materials"/>
    <s v="Accounts Payable"/>
    <n v="164.55"/>
    <n v="43426.98000000001"/>
    <x v="7"/>
  </r>
  <r>
    <s v="10/31/2025"/>
    <s v="Bill"/>
    <s v="CC-158628"/>
    <s v="Express Die Supply, Inc."/>
    <s v="9-up die cut die for front - 14pt stock - 9&quot; x 12&quot;_x000a_27305-03-Game_Used-die-front.pdf_x000a_.918 2pt center bevel with 1/2&quot; of extra wood past metal"/>
    <s v="5005 Cost of Materials"/>
    <s v="Accounts Payable"/>
    <n v="95"/>
    <n v="43521.98000000001"/>
    <x v="7"/>
  </r>
  <r>
    <s v="10/31/2025"/>
    <s v="Bill"/>
    <s v="CC-158628"/>
    <s v="Express Die Supply, Inc."/>
    <s v="9-up die cut die for front - 100pt stock - 9&quot; x 12&quot;_x000a_27305-03-Game_Used-die-filler.pdf_x000a_.937 3pt LONG center bevel with 1/2&quot; of extra wood past metal"/>
    <s v="5005 Cost of Materials"/>
    <s v="Accounts Payable"/>
    <n v="100"/>
    <n v="43621.98000000001"/>
    <x v="7"/>
  </r>
  <r>
    <s v="10/31/2025"/>
    <s v="Bill"/>
    <s v="CC-158628"/>
    <s v="Express Die Supply, Inc."/>
    <s v="3% Credit card processing fee"/>
    <s v="5005 Cost of Materials"/>
    <s v="Accounts Payable"/>
    <n v="5.85"/>
    <n v="43627.830000000009"/>
    <x v="7"/>
  </r>
  <r>
    <s v="10/31/2025"/>
    <s v="Bill"/>
    <s v="CC-158627"/>
    <s v="Express Die Supply, Inc."/>
    <s v="-up die cut die for front - 14pt stock - 9&quot; x 12&quot;_x000a_27305-05-Let_The_Record_Show-die-front.pdf_x000a_.918 2pt center bevel with 1/2&quot; of extra wood past metal"/>
    <s v="5005 Cost of Materials"/>
    <s v="Accounts Payable"/>
    <n v="95"/>
    <n v="43722.830000000009"/>
    <x v="7"/>
  </r>
  <r>
    <s v="10/31/2025"/>
    <s v="Bill"/>
    <s v="CC-158627"/>
    <s v="Express Die Supply, Inc."/>
    <s v="9-up die cut die for front - 100pt stock - 9&quot; x 12&quot;_x000a_27305-05-Let_The_Record_Show-die-filler.pdf_x000a_.937 3pt LONG center bevel with 1/2&quot; of extra wood past metal"/>
    <s v="5005 Cost of Materials"/>
    <s v="Accounts Payable"/>
    <n v="110"/>
    <n v="43832.830000000009"/>
    <x v="7"/>
  </r>
  <r>
    <s v="10/31/2025"/>
    <s v="Bill"/>
    <s v="CC-158627"/>
    <s v="Express Die Supply, Inc."/>
    <s v="3% Credit card processing fee"/>
    <s v="5005 Cost of Materials"/>
    <s v="Accounts Payable"/>
    <n v="6.15"/>
    <n v="43838.98000000001"/>
    <x v="7"/>
  </r>
  <r>
    <s v="10/31/2025"/>
    <s v="Bill"/>
    <s v="CC-158623"/>
    <s v="Express Die Supply, Inc."/>
    <s v="9-up die cut die for front - 14pt stock - 9&quot; x 12&quot;_x000a_27305-06-Stars_Collide-die-front.pdf_x000a_.918 2pt center bevel with 1/2&quot; of extra wood past metal_x000a_18x 21/32&quot; cut punch"/>
    <s v="5005 Cost of Materials"/>
    <s v="Accounts Payable"/>
    <n v="285"/>
    <n v="44123.98000000001"/>
    <x v="7"/>
  </r>
  <r>
    <s v="10/31/2025"/>
    <s v="Bill"/>
    <s v="CC-158623"/>
    <s v="Express Die Supply, Inc."/>
    <s v="9-up die cut die for front - 100pt stock - 9&quot; x 12&quot;_x000a_27305-06-Stars_Collide-die-filler.pdf_x000a_.937 3pt LONG center bevel with 1/2&quot; of extra wood past metal"/>
    <s v="5005 Cost of Materials"/>
    <s v="Accounts Payable"/>
    <n v="100"/>
    <n v="44223.98000000001"/>
    <x v="7"/>
  </r>
  <r>
    <s v="10/31/2025"/>
    <s v="Bill"/>
    <s v="CC-158623"/>
    <s v="Express Die Supply, Inc."/>
    <s v="3% Credit card processing fee"/>
    <s v="5005 Cost of Materials"/>
    <s v="Accounts Payable"/>
    <n v="11.55"/>
    <n v="44235.530000000013"/>
    <x v="7"/>
  </r>
  <r>
    <s v="10/31/2025"/>
    <s v="Bill"/>
    <s v="CC-158622"/>
    <s v="Express Die Supply, Inc."/>
    <s v="9-up die cut die for front - 14pt stock - 9&quot; x 12&quot;_x000a_27305-04-Retro_Relic_Signatures-die-front.pdf_x000a_.918 2pt center bevel with 1/2&quot; of extra wood past metal"/>
    <s v="5005 Cost of Materials"/>
    <s v="Accounts Payable"/>
    <n v="180"/>
    <n v="44415.530000000013"/>
    <x v="7"/>
  </r>
  <r>
    <s v="10/31/2025"/>
    <s v="Bill"/>
    <s v="CC-158622"/>
    <s v="Express Die Supply, Inc."/>
    <s v="9-up die cut die for front - 100pt stock - 9&quot; x 12&quot;_x000a_27305-04-Retro_Relic_Signatures-die-filler.pdf_x000a_.937 3pt LONG center bevel with 1/2&quot; of extra wood past metal"/>
    <s v="5005 Cost of Materials"/>
    <s v="Accounts Payable"/>
    <n v="100"/>
    <n v="44515.530000000013"/>
    <x v="7"/>
  </r>
  <r>
    <s v="10/31/2025"/>
    <s v="Bill"/>
    <s v="CC-158622"/>
    <s v="Express Die Supply, Inc."/>
    <s v="3% Credit card processing fee"/>
    <s v="5005 Cost of Materials"/>
    <s v="Accounts Payable"/>
    <n v="8.4"/>
    <n v="44523.930000000015"/>
    <x v="7"/>
  </r>
  <r>
    <s v="10/31/2025"/>
    <s v="Bill"/>
    <s v="CC-158621"/>
    <s v="Express Die Supply, Inc."/>
    <s v="9-up die cut die for front - 14pt stock - 9&quot; x 12&quot;_x000a_27305-08-The_7-die-front.pdf_x000a_.918 2pt center bevel with 1/2&quot; of extra wood past metal"/>
    <s v="5005 Cost of Materials"/>
    <s v="Accounts Payable"/>
    <n v="140"/>
    <n v="44663.930000000015"/>
    <x v="7"/>
  </r>
  <r>
    <s v="10/31/2025"/>
    <s v="Bill"/>
    <s v="CC-158621"/>
    <s v="Express Die Supply, Inc."/>
    <s v="9-up die cut die for front - 100pt stock - 9&quot; x 12&quot;_x000a_27305-08-The_7-die-filler.pdf_x000a_.937 3pt LONG center bevel with 1/2&quot; of extra wood past metal"/>
    <s v="5005 Cost of Materials"/>
    <s v="Accounts Payable"/>
    <n v="125"/>
    <n v="44788.930000000015"/>
    <x v="7"/>
  </r>
  <r>
    <s v="10/31/2025"/>
    <s v="Bill"/>
    <s v="CC-158621"/>
    <s v="Express Die Supply, Inc."/>
    <s v="3% Credit card processing fee"/>
    <s v="5005 Cost of Materials"/>
    <s v="Accounts Payable"/>
    <n v="7.95"/>
    <n v="44796.880000000012"/>
    <x v="7"/>
  </r>
  <r>
    <s v="10/31/2025"/>
    <s v="Bill"/>
    <s v="CC-158620"/>
    <s v="Express Die Supply, Inc."/>
    <s v="9-up die cut die for front - 14pt stock - 9&quot; x 12&quot;_x000a_27305-014-Full_Court_Book-die-front.pdf_x000a_.918 2pt center bevel with 1/2&quot; of extra wood past metal"/>
    <s v="5005 Cost of Materials"/>
    <s v="Accounts Payable"/>
    <n v="125"/>
    <n v="44921.880000000012"/>
    <x v="7"/>
  </r>
  <r>
    <s v="10/31/2025"/>
    <s v="Bill"/>
    <s v="CC-158620"/>
    <s v="Express Die Supply, Inc."/>
    <s v="9-up die cut die for front - 100pt stock - 9&quot; x 12&quot;_x000a_27305-014-Full_Court_Book-die-filler.pdf_x000a_.937 3pt LONG center bevel with 1/2&quot; of extra wood past metal"/>
    <s v="5005 Cost of Materials"/>
    <s v="Accounts Payable"/>
    <n v="100"/>
    <n v="45021.880000000012"/>
    <x v="7"/>
  </r>
  <r>
    <s v="10/31/2025"/>
    <s v="Bill"/>
    <s v="CC-158620"/>
    <s v="Express Die Supply, Inc."/>
    <s v="3% Credit card processing fee"/>
    <s v="5005 Cost of Materials"/>
    <s v="Accounts Payable"/>
    <n v="6.75"/>
    <n v="45028.630000000012"/>
    <x v="7"/>
  </r>
  <r>
    <s v="10/31/2025"/>
    <s v="Bill"/>
    <s v="CC-158619"/>
    <s v="Express Die Supply, Inc."/>
    <s v="9-up die cut die for front - 14pt stock - 9&quot; x 12&quot;_x000a_27305-09-The_Franchise_4-die-front.pdf_x000a_.918 2pt center bevel with 1/2&quot; of extra wood past metal"/>
    <s v="5005 Cost of Materials"/>
    <s v="Accounts Payable"/>
    <n v="102"/>
    <n v="45130.630000000012"/>
    <x v="7"/>
  </r>
  <r>
    <s v="10/31/2025"/>
    <s v="Bill"/>
    <s v="CC-158619"/>
    <s v="Express Die Supply, Inc."/>
    <s v="9-up die cut die for front - 100pt stock - 9&quot; x 12&quot;_x000a_27305-09-The_Franchise_4-die-filler.pdf_x000a_.937 3pt LONG center bevel with 1/2&quot; of extra wood past metal"/>
    <s v="5005 Cost of Materials"/>
    <s v="Accounts Payable"/>
    <n v="115"/>
    <n v="45245.630000000012"/>
    <x v="7"/>
  </r>
  <r>
    <s v="10/31/2025"/>
    <s v="Bill"/>
    <s v="CC-158619"/>
    <s v="Express Die Supply, Inc."/>
    <s v="3% Credit card processing fee"/>
    <s v="5005 Cost of Materials"/>
    <s v="Accounts Payable"/>
    <n v="6.51"/>
    <n v="45252.140000000014"/>
    <x v="7"/>
  </r>
  <r>
    <s v="10/31/2025"/>
    <s v="Bill"/>
    <s v="CC-158618"/>
    <s v="Express Die Supply, Inc."/>
    <s v="9-up die cut die for front - 14pt stock - 9&quot; x 12&quot;_x000a_27305-07-One_On_One-die-front.pdf_x000a_.918 2pt center bevel with 1/2&quot; of extra wood past metal"/>
    <s v="5005 Cost of Materials"/>
    <s v="Accounts Payable"/>
    <n v="95"/>
    <n v="45347.140000000014"/>
    <x v="7"/>
  </r>
  <r>
    <s v="10/31/2025"/>
    <s v="Bill"/>
    <s v="CC-158618"/>
    <s v="Express Die Supply, Inc."/>
    <s v="9-up die cut die for front - 100pt stock - 9&quot; x 12&quot;_x000a_27305-07-One_On_One-die-filler.pdf_x000a_.937 3pt LONG center bevel with 1/2&quot; of extra wood past metal"/>
    <s v="5005 Cost of Materials"/>
    <s v="Accounts Payable"/>
    <n v="100"/>
    <n v="45447.140000000014"/>
    <x v="7"/>
  </r>
  <r>
    <s v="10/31/2025"/>
    <s v="Bill"/>
    <s v="CC-158618"/>
    <s v="Express Die Supply, Inc."/>
    <s v="3% Credit card processing fee"/>
    <s v="5005 Cost of Materials"/>
    <s v="Accounts Payable"/>
    <n v="5.85"/>
    <n v="45452.990000000013"/>
    <x v="7"/>
  </r>
  <r>
    <s v="10/31/2025"/>
    <s v="Bill"/>
    <s v="CC-158605"/>
    <s v="Express Die Supply, Inc."/>
    <s v="9-up die cut die for front - 14pt stock - 9&quot; x 12&quot;_x000a_27305-015-Pages_In_History_Book-die-front.pdf_x000a_.918 2pt center bevel with 1/2&quot; of extra wood past metal"/>
    <s v="5005 Cost of Materials"/>
    <s v="Accounts Payable"/>
    <n v="125"/>
    <n v="45577.990000000013"/>
    <x v="7"/>
  </r>
  <r>
    <s v="10/31/2025"/>
    <s v="Bill"/>
    <s v="CC-158605"/>
    <s v="Express Die Supply, Inc."/>
    <s v="9-up die cut die for front - 100pt stock - 9&quot; x 12&quot;_x000a_27305-015-Pages_In_History_Book-die-filler.pdf_x000a_.937 3pt LONG center bevel with 1/2&quot; of extra wood past metal"/>
    <s v="5005 Cost of Materials"/>
    <s v="Accounts Payable"/>
    <n v="100"/>
    <n v="45677.990000000013"/>
    <x v="7"/>
  </r>
  <r>
    <s v="10/31/2025"/>
    <s v="Bill"/>
    <s v="CC-158605"/>
    <s v="Express Die Supply, Inc."/>
    <s v="Shipping - UPS GROUND - 1Z0V5V980341526083 WITH_x000a_158605, 158618, 158619, 158620, 158621,_x000a_158622, 158623, 158627, 158628"/>
    <s v="5005 Cost of Materials"/>
    <s v="Accounts Payable"/>
    <n v="58.04"/>
    <n v="45736.030000000013"/>
    <x v="7"/>
  </r>
  <r>
    <s v="10/31/2025"/>
    <s v="Bill"/>
    <s v="CC-158605"/>
    <s v="Express Die Supply, Inc."/>
    <s v="3% Credit card processing fee"/>
    <s v="5005 Cost of Materials"/>
    <s v="Accounts Payable"/>
    <n v="8.49"/>
    <n v="45744.520000000011"/>
    <x v="7"/>
  </r>
  <r>
    <s v="10/31/2025"/>
    <s v="Bill"/>
    <s v="1506"/>
    <s v="David Kudell-Rimrock Creative Media"/>
    <s v="Equipment Rental_x000a_Job 27315 Rubios_x000a_Sony A7s3 camera_x000a_Sony 24-70mm lens_x000a_(2) SmallHD wireless CineHD monitors"/>
    <s v="5005 Cost of Materials"/>
    <s v="Accounts Payable"/>
    <n v="300"/>
    <n v="46234.5200000000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1E57A-39FA-40F4-A18E-3F5C77AA77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0">
    <pivotField showAll="0"/>
    <pivotField showAll="0"/>
    <pivotField showAll="0"/>
    <pivotField showAll="0"/>
    <pivotField showAll="0"/>
    <pivotField showAll="0"/>
    <pivotField showAll="0"/>
    <pivotField dataField="1" numFmtId="4" showAll="0"/>
    <pivotField numFmtId="4" showAll="0"/>
    <pivotField axis="axisRow" showAll="0">
      <items count="15">
        <item x="2"/>
        <item x="3"/>
        <item x="12"/>
        <item x="10"/>
        <item x="8"/>
        <item x="1"/>
        <item x="9"/>
        <item x="11"/>
        <item x="6"/>
        <item x="4"/>
        <item x="5"/>
        <item x="7"/>
        <item x="0"/>
        <item x="13"/>
        <item t="default"/>
      </items>
    </pivotField>
  </pivotFields>
  <rowFields count="1">
    <field x="9"/>
  </rowFields>
  <rowItems count="15">
    <i>
      <x/>
    </i>
    <i>
      <x v="1"/>
    </i>
    <i>
      <x v="2"/>
    </i>
    <i>
      <x v="3"/>
    </i>
    <i>
      <x v="4"/>
    </i>
    <i>
      <x v="5"/>
    </i>
    <i>
      <x v="6"/>
    </i>
    <i>
      <x v="7"/>
    </i>
    <i>
      <x v="8"/>
    </i>
    <i>
      <x v="9"/>
    </i>
    <i>
      <x v="10"/>
    </i>
    <i>
      <x v="11"/>
    </i>
    <i>
      <x v="12"/>
    </i>
    <i>
      <x v="13"/>
    </i>
    <i t="grand">
      <x/>
    </i>
  </rowItems>
  <colItems count="1">
    <i/>
  </colItems>
  <dataFields count="1">
    <dataField name="Sum of Amount" fld="7" baseField="0" baseItem="0" numFmtId="4"/>
  </dataFields>
  <formats count="6">
    <format dxfId="57">
      <pivotArea type="all" dataOnly="0" outline="0" fieldPosition="0"/>
    </format>
    <format dxfId="56">
      <pivotArea outline="0" collapsedLevelsAreSubtotals="1" fieldPosition="0"/>
    </format>
    <format dxfId="55">
      <pivotArea field="9" type="button" dataOnly="0" labelOnly="1" outline="0" axis="axisRow" fieldPosition="0"/>
    </format>
    <format dxfId="54">
      <pivotArea dataOnly="0" labelOnly="1" fieldPosition="0">
        <references count="1">
          <reference field="9" count="0"/>
        </references>
      </pivotArea>
    </format>
    <format dxfId="53">
      <pivotArea dataOnly="0" labelOnly="1" grandRow="1" outline="0" fieldPosition="0"/>
    </format>
    <format dxfId="5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4D6395-4634-442B-A784-42861675B5CC}" name="Table133" displayName="Table133" ref="B5:P53" headerRowDxfId="51" dataDxfId="50" totalsRowDxfId="48" tableBorderDxfId="49">
  <autoFilter ref="B5:P53" xr:uid="{214D6395-4634-442B-A784-42861675B5CC}"/>
  <tableColumns count="15">
    <tableColumn id="1" xr3:uid="{22E1D5D4-485D-4FBD-8C3E-F8D2C1904D24}" name="Job No/Name" totalsRowLabel="Total" dataDxfId="47" totalsRowDxfId="46"/>
    <tableColumn id="2" xr3:uid="{D1EAE4F0-934B-4658-B65D-889C53A5D326}" name="Customer" dataDxfId="45" totalsRowDxfId="44"/>
    <tableColumn id="16" xr3:uid="{5C5E11CD-DF80-4467-85AC-1DAB6E68491D}" name="Status" dataDxfId="43" totalsRowDxfId="42"/>
    <tableColumn id="3" xr3:uid="{9EF000EB-0B32-47FC-BB48-A8820D81A26E}" name="Income (Estimated)" dataDxfId="41" totalsRowDxfId="40"/>
    <tableColumn id="4" xr3:uid="{74801991-6694-4338-B6E7-BD9B058D8E6C}" name="Invoiced " dataDxfId="39"/>
    <tableColumn id="5" xr3:uid="{125A3BBF-0BE4-4C85-9F74-23751D282F0E}" name="Accrual Amount" dataDxfId="38"/>
    <tableColumn id="6" xr3:uid="{19FADB03-6B75-48BC-B221-86312CF3DBDD}" name="Material Cost (Estimated)" dataDxfId="37" totalsRowDxfId="36"/>
    <tableColumn id="7" xr3:uid="{FA4F402A-6847-4C59-9975-CF74D303DBC0}" name="Estimated Profit ($$)" dataDxfId="35" totalsRowDxfId="34">
      <calculatedColumnFormula>Table133[[#This Row],[Income (Estimated)]]-Table133[[#This Row],[Material Cost (Estimated)]]</calculatedColumnFormula>
    </tableColumn>
    <tableColumn id="8" xr3:uid="{A5F7776B-4556-4FDE-BB1C-CBA01F0B935A}" name="Estimated Profit (%)" dataDxfId="33" totalsRowDxfId="32">
      <calculatedColumnFormula>Table133[[#This Row],[Estimated Profit ($$)]]/Table133[[#This Row],[Income (Estimated)]]</calculatedColumnFormula>
    </tableColumn>
    <tableColumn id="10" xr3:uid="{031C2A6C-17E7-4B94-A0F6-0687FBCA8085}" name="Start date" dataDxfId="31" totalsRowDxfId="30"/>
    <tableColumn id="11" xr3:uid="{E2C34333-4EFE-4013-AA6F-1CDF61045A3D}" name="End date" dataDxfId="29" totalsRowDxfId="28"/>
    <tableColumn id="12" xr3:uid="{8AB81740-F93F-4C3D-A0AC-ECFAAEC9384A}" name="Due date Net 30/ Expected receipt date " dataDxfId="27" totalsRowDxfId="26"/>
    <tableColumn id="13" xr3:uid="{CA754B54-54D5-41AF-A850-E4982672338C}" name="Aix Comment" dataDxfId="25" totalsRowDxfId="24"/>
    <tableColumn id="9" xr3:uid="{AB395736-60CA-4307-AA5D-661241C0422F}" name="Class" dataDxfId="23" totalsRowDxfId="22"/>
    <tableColumn id="14" xr3:uid="{0F3D8DAA-D443-4DF4-A5CC-F55F0F8206D3}" name="Pacific Comment" totalsRowFunction="count" dataDxfId="21" totalsRowDxfId="2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206D-F9E2-4D6C-8D3E-5A87389436DD}">
  <sheetPr codeName="Sheet1"/>
  <dimension ref="A1:A37"/>
  <sheetViews>
    <sheetView showGridLines="0" topLeftCell="A40" workbookViewId="0">
      <selection activeCell="A5" sqref="A5"/>
    </sheetView>
  </sheetViews>
  <sheetFormatPr defaultRowHeight="15" x14ac:dyDescent="0.25"/>
  <cols>
    <col min="1" max="1" width="174" bestFit="1" customWidth="1"/>
  </cols>
  <sheetData>
    <row r="1" spans="1:1" x14ac:dyDescent="0.25">
      <c r="A1" s="212" t="s">
        <v>0</v>
      </c>
    </row>
    <row r="2" spans="1:1" x14ac:dyDescent="0.25">
      <c r="A2" s="206" t="s">
        <v>1</v>
      </c>
    </row>
    <row r="3" spans="1:1" x14ac:dyDescent="0.25">
      <c r="A3" s="207"/>
    </row>
    <row r="4" spans="1:1" x14ac:dyDescent="0.25">
      <c r="A4" s="213" t="s">
        <v>2</v>
      </c>
    </row>
    <row r="5" spans="1:1" x14ac:dyDescent="0.25">
      <c r="A5" s="208" t="s">
        <v>3</v>
      </c>
    </row>
    <row r="6" spans="1:1" x14ac:dyDescent="0.25">
      <c r="A6" s="208" t="s">
        <v>4</v>
      </c>
    </row>
    <row r="7" spans="1:1" x14ac:dyDescent="0.25">
      <c r="A7" s="208" t="s">
        <v>5</v>
      </c>
    </row>
    <row r="8" spans="1:1" x14ac:dyDescent="0.25">
      <c r="A8" s="207"/>
    </row>
    <row r="9" spans="1:1" x14ac:dyDescent="0.25">
      <c r="A9" s="213" t="s">
        <v>6</v>
      </c>
    </row>
    <row r="10" spans="1:1" x14ac:dyDescent="0.25">
      <c r="A10" s="206" t="s">
        <v>7</v>
      </c>
    </row>
    <row r="11" spans="1:1" x14ac:dyDescent="0.25">
      <c r="A11" s="206" t="s">
        <v>8</v>
      </c>
    </row>
    <row r="12" spans="1:1" x14ac:dyDescent="0.25">
      <c r="A12" s="206"/>
    </row>
    <row r="13" spans="1:1" x14ac:dyDescent="0.25">
      <c r="A13" s="206"/>
    </row>
    <row r="14" spans="1:1" x14ac:dyDescent="0.25">
      <c r="A14" s="206"/>
    </row>
    <row r="15" spans="1:1" x14ac:dyDescent="0.25">
      <c r="A15" s="206"/>
    </row>
    <row r="16" spans="1:1" x14ac:dyDescent="0.25">
      <c r="A16" s="206"/>
    </row>
    <row r="17" spans="1:1" x14ac:dyDescent="0.25">
      <c r="A17" s="206"/>
    </row>
    <row r="18" spans="1:1" x14ac:dyDescent="0.25">
      <c r="A18" s="206"/>
    </row>
    <row r="19" spans="1:1" x14ac:dyDescent="0.25">
      <c r="A19" s="206"/>
    </row>
    <row r="20" spans="1:1" x14ac:dyDescent="0.25">
      <c r="A20" s="206"/>
    </row>
    <row r="21" spans="1:1" x14ac:dyDescent="0.25">
      <c r="A21" s="206"/>
    </row>
    <row r="22" spans="1:1" x14ac:dyDescent="0.25">
      <c r="A22" s="206"/>
    </row>
    <row r="23" spans="1:1" x14ac:dyDescent="0.25">
      <c r="A23" s="206"/>
    </row>
    <row r="24" spans="1:1" x14ac:dyDescent="0.25">
      <c r="A24" s="206"/>
    </row>
    <row r="25" spans="1:1" x14ac:dyDescent="0.25">
      <c r="A25" s="206"/>
    </row>
    <row r="26" spans="1:1" x14ac:dyDescent="0.25">
      <c r="A26" s="206"/>
    </row>
    <row r="27" spans="1:1" x14ac:dyDescent="0.25">
      <c r="A27" s="207"/>
    </row>
    <row r="28" spans="1:1" x14ac:dyDescent="0.25">
      <c r="A28" s="214" t="s">
        <v>9</v>
      </c>
    </row>
    <row r="29" spans="1:1" x14ac:dyDescent="0.25">
      <c r="A29" s="205" t="s">
        <v>10</v>
      </c>
    </row>
    <row r="30" spans="1:1" x14ac:dyDescent="0.25">
      <c r="A30" s="208" t="s">
        <v>11</v>
      </c>
    </row>
    <row r="31" spans="1:1" x14ac:dyDescent="0.25">
      <c r="A31" s="208" t="s">
        <v>12</v>
      </c>
    </row>
    <row r="32" spans="1:1" x14ac:dyDescent="0.25">
      <c r="A32" s="209" t="s">
        <v>13</v>
      </c>
    </row>
    <row r="33" spans="1:1" x14ac:dyDescent="0.25">
      <c r="A33" s="209" t="s">
        <v>14</v>
      </c>
    </row>
    <row r="34" spans="1:1" x14ac:dyDescent="0.25">
      <c r="A34" s="215" t="s">
        <v>15</v>
      </c>
    </row>
    <row r="35" spans="1:1" x14ac:dyDescent="0.25">
      <c r="A35" s="206" t="s">
        <v>16</v>
      </c>
    </row>
    <row r="36" spans="1:1" x14ac:dyDescent="0.25">
      <c r="A36" s="208" t="s">
        <v>17</v>
      </c>
    </row>
    <row r="37" spans="1:1" x14ac:dyDescent="0.25">
      <c r="A37" s="208" t="s">
        <v>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F9BD-D573-4233-867F-39F00CED306B}">
  <sheetPr codeName="Sheet2">
    <tabColor theme="3"/>
  </sheetPr>
  <dimension ref="A1:I973"/>
  <sheetViews>
    <sheetView showGridLines="0" zoomScaleNormal="100" workbookViewId="0">
      <pane ySplit="3" topLeftCell="A4" activePane="bottomLeft" state="frozen"/>
      <selection pane="bottomLeft" activeCell="I25" sqref="I25"/>
    </sheetView>
  </sheetViews>
  <sheetFormatPr defaultColWidth="14.42578125" defaultRowHeight="15" x14ac:dyDescent="0.25"/>
  <cols>
    <col min="1" max="9" width="9.140625" style="16" customWidth="1"/>
    <col min="10" max="26" width="8.7109375" style="16" customWidth="1"/>
    <col min="27" max="16384" width="14.42578125" style="16"/>
  </cols>
  <sheetData>
    <row r="1" spans="1:9" ht="21" customHeight="1" x14ac:dyDescent="0.25"/>
    <row r="3" spans="1:9" ht="23.25" x14ac:dyDescent="0.35">
      <c r="A3" s="851" t="s">
        <v>19</v>
      </c>
      <c r="B3" s="850"/>
      <c r="C3" s="850"/>
      <c r="D3" s="850"/>
      <c r="E3" s="850"/>
      <c r="F3" s="850"/>
      <c r="G3" s="850"/>
      <c r="H3" s="850"/>
      <c r="I3" s="850"/>
    </row>
    <row r="5" spans="1:9" ht="21" customHeight="1" x14ac:dyDescent="0.35">
      <c r="A5" s="852" t="s">
        <v>20</v>
      </c>
      <c r="B5" s="853"/>
      <c r="C5" s="853"/>
      <c r="D5" s="853"/>
      <c r="E5" s="853"/>
      <c r="F5" s="853"/>
      <c r="G5" s="853"/>
      <c r="H5" s="853"/>
      <c r="I5" s="853"/>
    </row>
    <row r="6" spans="1:9" ht="21" customHeight="1" x14ac:dyDescent="0.35">
      <c r="A6" s="852" t="s">
        <v>1083</v>
      </c>
      <c r="B6" s="853"/>
      <c r="C6" s="853"/>
      <c r="D6" s="853"/>
      <c r="E6" s="853"/>
      <c r="F6" s="853"/>
      <c r="G6" s="853"/>
      <c r="H6" s="853"/>
      <c r="I6" s="853"/>
    </row>
    <row r="7" spans="1:9" x14ac:dyDescent="0.25">
      <c r="B7" s="854" t="s">
        <v>21</v>
      </c>
      <c r="C7" s="850"/>
    </row>
    <row r="8" spans="1:9" ht="15.75" customHeight="1" x14ac:dyDescent="0.25"/>
    <row r="9" spans="1:9" ht="15.75" customHeight="1" x14ac:dyDescent="0.25">
      <c r="A9" s="855" t="s">
        <v>22</v>
      </c>
      <c r="B9" s="850"/>
      <c r="C9" s="850"/>
      <c r="D9" s="850"/>
      <c r="E9" s="850"/>
      <c r="F9" s="850"/>
      <c r="G9" s="850"/>
      <c r="H9" s="850"/>
      <c r="I9" s="850"/>
    </row>
    <row r="10" spans="1:9" ht="15.75" customHeight="1" x14ac:dyDescent="0.25">
      <c r="A10" s="1"/>
      <c r="B10" s="1"/>
      <c r="C10" s="1"/>
      <c r="D10" s="1"/>
    </row>
    <row r="11" spans="1:9" ht="15.75" customHeight="1" x14ac:dyDescent="0.25">
      <c r="A11" s="1"/>
      <c r="B11" s="1"/>
      <c r="C11" s="1"/>
      <c r="D11" s="1"/>
    </row>
    <row r="12" spans="1:9" ht="15.75" customHeight="1" x14ac:dyDescent="0.25">
      <c r="A12" s="1"/>
      <c r="B12" s="1"/>
      <c r="C12" s="1"/>
      <c r="D12" s="1"/>
    </row>
    <row r="13" spans="1:9" ht="15.75" customHeight="1" x14ac:dyDescent="0.25">
      <c r="A13" s="1"/>
      <c r="B13" s="1"/>
      <c r="C13" s="1"/>
      <c r="D13" s="1"/>
    </row>
    <row r="14" spans="1:9" ht="15.75" customHeight="1" x14ac:dyDescent="0.25">
      <c r="A14" s="1"/>
      <c r="B14" s="1"/>
      <c r="C14" s="1"/>
      <c r="D14" s="1"/>
    </row>
    <row r="15" spans="1:9" ht="15.75" customHeight="1" x14ac:dyDescent="0.25">
      <c r="A15" s="1"/>
      <c r="B15" s="1"/>
      <c r="C15" s="1"/>
      <c r="D15" s="1"/>
    </row>
    <row r="16" spans="1:9" ht="15.75" customHeight="1" x14ac:dyDescent="0.25">
      <c r="A16" s="1"/>
      <c r="B16" s="1"/>
      <c r="C16" s="1"/>
      <c r="D16" s="1"/>
    </row>
    <row r="17" spans="1:9" ht="15.75" customHeight="1" x14ac:dyDescent="0.25">
      <c r="A17" s="856" t="s">
        <v>23</v>
      </c>
      <c r="B17" s="850"/>
      <c r="C17" s="850"/>
      <c r="D17" s="850"/>
      <c r="E17" s="850"/>
      <c r="F17" s="850"/>
      <c r="G17" s="850"/>
      <c r="H17" s="850"/>
      <c r="I17" s="850"/>
    </row>
    <row r="18" spans="1:9" ht="15.75" customHeight="1" x14ac:dyDescent="0.25">
      <c r="A18" s="2"/>
      <c r="B18" s="2"/>
      <c r="C18" s="2"/>
      <c r="D18" s="2"/>
      <c r="E18" s="2"/>
      <c r="F18" s="2"/>
      <c r="G18" s="2"/>
      <c r="H18" s="2"/>
      <c r="I18" s="2"/>
    </row>
    <row r="19" spans="1:9" ht="15.75" customHeight="1" x14ac:dyDescent="0.25">
      <c r="A19" s="849" t="s">
        <v>24</v>
      </c>
      <c r="B19" s="850"/>
      <c r="C19" s="850"/>
      <c r="D19" s="850"/>
      <c r="E19" s="850"/>
      <c r="F19" s="850"/>
      <c r="G19" s="850"/>
      <c r="H19" s="850"/>
      <c r="I19" s="850"/>
    </row>
    <row r="20" spans="1:9" ht="15.75" customHeight="1" x14ac:dyDescent="0.25"/>
    <row r="21" spans="1:9" ht="15.75" customHeight="1" x14ac:dyDescent="0.25"/>
    <row r="22" spans="1:9" ht="15.75" customHeight="1" x14ac:dyDescent="0.25"/>
    <row r="23" spans="1:9" ht="15.75" customHeight="1" x14ac:dyDescent="0.25"/>
    <row r="24" spans="1:9" ht="15.75" customHeight="1" x14ac:dyDescent="0.25"/>
    <row r="25" spans="1:9" ht="15.75" customHeight="1" x14ac:dyDescent="0.25"/>
    <row r="26" spans="1:9" ht="15.75" customHeight="1" x14ac:dyDescent="0.25"/>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sheetData>
  <mergeCells count="7">
    <mergeCell ref="A19:I19"/>
    <mergeCell ref="A3:I3"/>
    <mergeCell ref="A5:I5"/>
    <mergeCell ref="A6:I6"/>
    <mergeCell ref="B7:C7"/>
    <mergeCell ref="A9:I9"/>
    <mergeCell ref="A17:I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5BC2-502B-4571-8BA8-E8882AA5229E}">
  <sheetPr codeName="Sheet3">
    <tabColor theme="3"/>
  </sheetPr>
  <dimension ref="A1:C996"/>
  <sheetViews>
    <sheetView showGridLines="0" workbookViewId="0">
      <pane ySplit="6" topLeftCell="A7" activePane="bottomLeft" state="frozen"/>
      <selection pane="bottomLeft" activeCell="C27" sqref="C27"/>
    </sheetView>
  </sheetViews>
  <sheetFormatPr defaultColWidth="14.42578125" defaultRowHeight="15" x14ac:dyDescent="0.25"/>
  <cols>
    <col min="1" max="1" width="27.7109375" style="16" bestFit="1" customWidth="1"/>
    <col min="2" max="2" width="39.140625" style="16" bestFit="1" customWidth="1"/>
    <col min="3" max="3" width="18.5703125" style="241" bestFit="1" customWidth="1"/>
    <col min="4" max="6" width="9.140625" style="16" customWidth="1"/>
    <col min="7" max="26" width="8.7109375" style="16" customWidth="1"/>
    <col min="27" max="16384" width="14.42578125" style="16"/>
  </cols>
  <sheetData>
    <row r="1" spans="1:3" ht="15.75" x14ac:dyDescent="0.25">
      <c r="A1" s="3" t="str">
        <f>Cover!A3</f>
        <v>Pacific Nexus</v>
      </c>
      <c r="B1" s="3"/>
      <c r="C1" s="2"/>
    </row>
    <row r="2" spans="1:3" ht="15.75" x14ac:dyDescent="0.25">
      <c r="A2" s="4" t="str">
        <f>Cover!A6</f>
        <v>Period Ending 03/31/2026</v>
      </c>
      <c r="B2" s="3"/>
      <c r="C2" s="2"/>
    </row>
    <row r="3" spans="1:3" ht="18.75" x14ac:dyDescent="0.3">
      <c r="B3" s="5"/>
    </row>
    <row r="4" spans="1:3" ht="15.75" x14ac:dyDescent="0.25">
      <c r="A4" s="6" t="s">
        <v>25</v>
      </c>
    </row>
    <row r="6" spans="1:3" ht="15.75" x14ac:dyDescent="0.25">
      <c r="A6" s="14" t="s">
        <v>26</v>
      </c>
      <c r="B6" s="15" t="s">
        <v>27</v>
      </c>
      <c r="C6" s="14" t="s">
        <v>28</v>
      </c>
    </row>
    <row r="7" spans="1:3" x14ac:dyDescent="0.25">
      <c r="A7" s="265"/>
      <c r="B7" s="265"/>
      <c r="C7" s="266"/>
    </row>
    <row r="8" spans="1:3" x14ac:dyDescent="0.25">
      <c r="A8" s="9"/>
      <c r="B8" s="8"/>
      <c r="C8" s="10"/>
    </row>
    <row r="9" spans="1:3" x14ac:dyDescent="0.25">
      <c r="A9" s="7">
        <v>1</v>
      </c>
      <c r="B9" s="8" t="s">
        <v>29</v>
      </c>
      <c r="C9" s="267" t="s">
        <v>30</v>
      </c>
    </row>
    <row r="10" spans="1:3" x14ac:dyDescent="0.25">
      <c r="A10" s="9"/>
      <c r="B10" s="8"/>
      <c r="C10" s="10"/>
    </row>
    <row r="11" spans="1:3" ht="15.75" customHeight="1" x14ac:dyDescent="0.25">
      <c r="A11" s="7">
        <f>+A9+1</f>
        <v>2</v>
      </c>
      <c r="B11" s="8" t="s">
        <v>31</v>
      </c>
      <c r="C11" s="267" t="s">
        <v>32</v>
      </c>
    </row>
    <row r="12" spans="1:3" ht="15.75" customHeight="1" x14ac:dyDescent="0.25">
      <c r="A12" s="7"/>
      <c r="B12" s="8"/>
      <c r="C12" s="267"/>
    </row>
    <row r="13" spans="1:3" ht="15.75" customHeight="1" x14ac:dyDescent="0.25">
      <c r="A13" s="7">
        <f>+A11+1</f>
        <v>3</v>
      </c>
      <c r="B13" s="8" t="s">
        <v>33</v>
      </c>
      <c r="C13" s="267" t="s">
        <v>34</v>
      </c>
    </row>
    <row r="14" spans="1:3" ht="15.75" customHeight="1" x14ac:dyDescent="0.25">
      <c r="A14" s="7"/>
      <c r="B14" s="8"/>
      <c r="C14" s="267"/>
    </row>
    <row r="15" spans="1:3" ht="15.75" customHeight="1" x14ac:dyDescent="0.25">
      <c r="A15" s="7">
        <v>4</v>
      </c>
      <c r="B15" s="8" t="s">
        <v>35</v>
      </c>
      <c r="C15" s="267" t="s">
        <v>36</v>
      </c>
    </row>
    <row r="16" spans="1:3" ht="15.75" customHeight="1" x14ac:dyDescent="0.25">
      <c r="A16" s="7"/>
      <c r="B16" s="8"/>
      <c r="C16" s="267"/>
    </row>
    <row r="17" spans="1:3" ht="15.75" customHeight="1" x14ac:dyDescent="0.25">
      <c r="A17" s="7">
        <v>5</v>
      </c>
      <c r="B17" s="8" t="s">
        <v>37</v>
      </c>
      <c r="C17" s="267" t="s">
        <v>38</v>
      </c>
    </row>
    <row r="18" spans="1:3" ht="15.75" customHeight="1" x14ac:dyDescent="0.25">
      <c r="A18" s="7"/>
      <c r="B18" s="8"/>
      <c r="C18" s="267"/>
    </row>
    <row r="19" spans="1:3" ht="15.75" customHeight="1" x14ac:dyDescent="0.25">
      <c r="A19" s="7">
        <v>6</v>
      </c>
      <c r="B19" s="8" t="s">
        <v>39</v>
      </c>
      <c r="C19" s="537" t="s">
        <v>40</v>
      </c>
    </row>
    <row r="20" spans="1:3" ht="15.75" customHeight="1" x14ac:dyDescent="0.25">
      <c r="A20" s="7"/>
      <c r="B20" s="8"/>
      <c r="C20" s="267"/>
    </row>
    <row r="21" spans="1:3" ht="15.75" customHeight="1" x14ac:dyDescent="0.25">
      <c r="A21" s="7">
        <v>7</v>
      </c>
      <c r="B21" s="8" t="s">
        <v>41</v>
      </c>
      <c r="C21" s="537" t="s">
        <v>42</v>
      </c>
    </row>
    <row r="22" spans="1:3" ht="15.75" customHeight="1" x14ac:dyDescent="0.25">
      <c r="A22" s="7"/>
      <c r="B22" s="8"/>
      <c r="C22" s="537"/>
    </row>
    <row r="23" spans="1:3" ht="15.75" customHeight="1" x14ac:dyDescent="0.25">
      <c r="A23" s="7">
        <v>8</v>
      </c>
      <c r="B23" s="8" t="s">
        <v>43</v>
      </c>
      <c r="C23" s="537" t="s">
        <v>44</v>
      </c>
    </row>
    <row r="24" spans="1:3" ht="15.75" customHeight="1" x14ac:dyDescent="0.25">
      <c r="A24" s="28"/>
      <c r="B24" s="11"/>
      <c r="C24" s="268"/>
    </row>
    <row r="25" spans="1:3" ht="15.75" customHeight="1" x14ac:dyDescent="0.25">
      <c r="A25" s="12"/>
      <c r="B25" s="13"/>
      <c r="C25" s="269"/>
    </row>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hyperlinks>
    <hyperlink ref="C11" location="P_L" display="PL" xr:uid="{84382604-BA4D-456A-9A53-312631516E4F}"/>
    <hyperlink ref="C9" location="B_S" display="BS" xr:uid="{74796044-B14C-413D-8F4E-BEFAF5DB535B}"/>
    <hyperlink ref="C13" location="PL_YTD" display="PL-Division (YTD)" xr:uid="{1AE95F62-4091-4780-A958-641EAC9752F8}"/>
    <hyperlink ref="C15" location="PL_DM" display="PL-Division (Month)" xr:uid="{EA35BD44-4B40-4D27-93F6-C3DB504F2049}"/>
    <hyperlink ref="C17" location="'Statement of Cash Flows'!A1" display="Cash Flow" xr:uid="{210FE141-FC03-45D5-A43A-BA7E548D9B4B}"/>
    <hyperlink ref="C19" location="'Profit and Loss - YOY Summary'!A1" display="P&amp;L YOY Summary" xr:uid="{1CE0F7EB-1445-4E6C-81E8-97B70126B00C}"/>
    <hyperlink ref="C21" location="'Profit and Loss - YOY Detail'!A1" display="P&amp;L YOY Detail" xr:uid="{8EECB1C6-13E3-4130-8272-9434D4F87843}"/>
    <hyperlink ref="C23" location="'Project Profitability Report'!A1" display="PPR" xr:uid="{A2DDD4E2-EAB4-4E61-9DA6-67DA3D75AF9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BF98-7922-4846-B481-001C93F0B57A}">
  <sheetPr codeName="Sheet4">
    <tabColor rgb="FFFFFF00"/>
  </sheetPr>
  <dimension ref="B1:I81"/>
  <sheetViews>
    <sheetView showGridLines="0" tabSelected="1" zoomScaleNormal="100" workbookViewId="0">
      <pane ySplit="7" topLeftCell="A65" activePane="bottomLeft" state="frozen"/>
      <selection activeCell="A8" sqref="A8"/>
      <selection pane="bottomLeft" activeCell="E85" sqref="E85"/>
    </sheetView>
  </sheetViews>
  <sheetFormatPr defaultColWidth="9.140625" defaultRowHeight="15" x14ac:dyDescent="0.25"/>
  <cols>
    <col min="1" max="1" width="2.7109375" style="16" customWidth="1"/>
    <col min="2" max="2" width="69.42578125" style="16" customWidth="1"/>
    <col min="3" max="3" width="13.28515625" style="74" bestFit="1" customWidth="1"/>
    <col min="4" max="4" width="14.85546875" style="16" bestFit="1" customWidth="1"/>
    <col min="5" max="5" width="99.42578125" style="17" bestFit="1" customWidth="1"/>
    <col min="6" max="6" width="13.7109375" style="16" bestFit="1" customWidth="1"/>
    <col min="7" max="16384" width="9.140625" style="16"/>
  </cols>
  <sheetData>
    <row r="1" spans="2:7" ht="15.75" thickBot="1" x14ac:dyDescent="0.3"/>
    <row r="2" spans="2:7" ht="15.75" x14ac:dyDescent="0.25">
      <c r="B2" s="234" t="str">
        <f>Index!A1</f>
        <v>Pacific Nexus</v>
      </c>
      <c r="F2" s="20" t="s">
        <v>45</v>
      </c>
    </row>
    <row r="3" spans="2:7" ht="15.75" x14ac:dyDescent="0.25">
      <c r="B3" s="235" t="str">
        <f>Index!A2</f>
        <v>Period Ending 03/31/2026</v>
      </c>
      <c r="F3" s="238" t="s">
        <v>46</v>
      </c>
      <c r="G3" s="20"/>
    </row>
    <row r="4" spans="2:7" ht="16.5" thickBot="1" x14ac:dyDescent="0.3">
      <c r="B4" s="236" t="s">
        <v>47</v>
      </c>
      <c r="F4" s="238" t="s">
        <v>36</v>
      </c>
      <c r="G4" s="20"/>
    </row>
    <row r="5" spans="2:7" ht="15.75" x14ac:dyDescent="0.25">
      <c r="B5" s="93"/>
      <c r="F5" s="238" t="s">
        <v>34</v>
      </c>
      <c r="G5" s="20"/>
    </row>
    <row r="6" spans="2:7" ht="16.5" thickBot="1" x14ac:dyDescent="0.3">
      <c r="B6" s="56"/>
      <c r="F6" s="238" t="s">
        <v>38</v>
      </c>
    </row>
    <row r="7" spans="2:7" ht="24.75" customHeight="1" thickBot="1" x14ac:dyDescent="0.3">
      <c r="B7" s="77" t="s">
        <v>27</v>
      </c>
      <c r="C7" s="78" t="s">
        <v>48</v>
      </c>
      <c r="D7" s="91" t="s">
        <v>49</v>
      </c>
      <c r="E7" s="92" t="s">
        <v>50</v>
      </c>
    </row>
    <row r="8" spans="2:7" x14ac:dyDescent="0.25">
      <c r="B8" s="380" t="s">
        <v>51</v>
      </c>
      <c r="C8" s="388"/>
      <c r="E8" s="89"/>
    </row>
    <row r="9" spans="2:7" x14ac:dyDescent="0.25">
      <c r="B9" s="381" t="s">
        <v>52</v>
      </c>
      <c r="C9" s="389"/>
      <c r="E9" s="89"/>
    </row>
    <row r="10" spans="2:7" x14ac:dyDescent="0.25">
      <c r="B10" s="382" t="s">
        <v>53</v>
      </c>
      <c r="C10" s="389"/>
      <c r="E10" s="89"/>
    </row>
    <row r="11" spans="2:7" x14ac:dyDescent="0.25">
      <c r="B11" s="383" t="s">
        <v>54</v>
      </c>
      <c r="C11" s="389">
        <v>93993.55</v>
      </c>
      <c r="D11" s="81"/>
      <c r="E11" s="89" t="s">
        <v>1273</v>
      </c>
    </row>
    <row r="12" spans="2:7" x14ac:dyDescent="0.25">
      <c r="B12" s="382" t="s">
        <v>55</v>
      </c>
      <c r="C12" s="390">
        <f>C10+C11</f>
        <v>93993.55</v>
      </c>
      <c r="E12" s="89"/>
    </row>
    <row r="13" spans="2:7" x14ac:dyDescent="0.25">
      <c r="B13" s="382" t="s">
        <v>56</v>
      </c>
      <c r="C13" s="389"/>
      <c r="E13" s="89"/>
    </row>
    <row r="14" spans="2:7" x14ac:dyDescent="0.25">
      <c r="B14" s="383" t="s">
        <v>57</v>
      </c>
      <c r="C14" s="389">
        <v>169897.05000000002</v>
      </c>
      <c r="D14" s="81" t="s">
        <v>58</v>
      </c>
      <c r="E14" s="89" t="s">
        <v>59</v>
      </c>
    </row>
    <row r="15" spans="2:7" x14ac:dyDescent="0.25">
      <c r="B15" s="382" t="s">
        <v>60</v>
      </c>
      <c r="C15" s="390">
        <f>C13+C14</f>
        <v>169897.05000000002</v>
      </c>
      <c r="E15" s="89"/>
    </row>
    <row r="16" spans="2:7" x14ac:dyDescent="0.25">
      <c r="B16" s="382" t="s">
        <v>61</v>
      </c>
      <c r="C16" s="389"/>
      <c r="E16" s="89"/>
    </row>
    <row r="17" spans="2:8" x14ac:dyDescent="0.25">
      <c r="B17" s="383" t="s">
        <v>62</v>
      </c>
      <c r="C17" s="389">
        <v>18571.309999999998</v>
      </c>
      <c r="D17" s="81" t="s">
        <v>63</v>
      </c>
      <c r="E17" s="89"/>
    </row>
    <row r="18" spans="2:8" x14ac:dyDescent="0.25">
      <c r="B18" s="383" t="s">
        <v>64</v>
      </c>
      <c r="C18" s="389">
        <v>119875.41</v>
      </c>
      <c r="D18" s="402" t="s">
        <v>65</v>
      </c>
      <c r="E18" s="89"/>
    </row>
    <row r="19" spans="2:8" x14ac:dyDescent="0.25">
      <c r="B19" s="382" t="s">
        <v>66</v>
      </c>
      <c r="C19" s="390">
        <f>C16+C17+C18</f>
        <v>138446.72</v>
      </c>
      <c r="D19" s="17"/>
      <c r="E19" s="89"/>
    </row>
    <row r="20" spans="2:8" x14ac:dyDescent="0.25">
      <c r="B20" s="381" t="s">
        <v>67</v>
      </c>
      <c r="C20" s="390">
        <f>C9+C12+C15+C19</f>
        <v>402337.32000000007</v>
      </c>
      <c r="D20" s="17"/>
      <c r="E20" s="89"/>
    </row>
    <row r="21" spans="2:8" x14ac:dyDescent="0.25">
      <c r="B21" s="381" t="s">
        <v>68</v>
      </c>
      <c r="C21" s="389"/>
      <c r="D21" s="263"/>
      <c r="E21" s="89"/>
    </row>
    <row r="22" spans="2:8" x14ac:dyDescent="0.25">
      <c r="B22" s="382" t="s">
        <v>69</v>
      </c>
      <c r="C22" s="389">
        <v>226991.82</v>
      </c>
      <c r="D22" s="857" t="s">
        <v>70</v>
      </c>
      <c r="E22" s="89" t="s">
        <v>1274</v>
      </c>
    </row>
    <row r="23" spans="2:8" x14ac:dyDescent="0.25">
      <c r="B23" s="383" t="s">
        <v>71</v>
      </c>
      <c r="C23" s="389">
        <v>-91592.16</v>
      </c>
      <c r="D23" s="857"/>
      <c r="E23" s="89"/>
    </row>
    <row r="24" spans="2:8" x14ac:dyDescent="0.25">
      <c r="B24" s="382" t="s">
        <v>72</v>
      </c>
      <c r="C24" s="390">
        <f>C22+C23</f>
        <v>135399.66</v>
      </c>
      <c r="D24" s="857"/>
      <c r="E24" s="89"/>
    </row>
    <row r="25" spans="2:8" x14ac:dyDescent="0.25">
      <c r="B25" s="382" t="s">
        <v>73</v>
      </c>
      <c r="C25" s="389">
        <v>12840</v>
      </c>
      <c r="D25" s="857"/>
      <c r="E25" s="89"/>
    </row>
    <row r="26" spans="2:8" x14ac:dyDescent="0.25">
      <c r="B26" s="383" t="s">
        <v>74</v>
      </c>
      <c r="C26" s="389">
        <v>-3754.44</v>
      </c>
      <c r="D26" s="857"/>
      <c r="E26" s="89"/>
    </row>
    <row r="27" spans="2:8" x14ac:dyDescent="0.25">
      <c r="B27" s="382" t="s">
        <v>75</v>
      </c>
      <c r="C27" s="390">
        <f>C25+C26</f>
        <v>9085.56</v>
      </c>
      <c r="D27" s="857"/>
      <c r="E27" s="89"/>
    </row>
    <row r="28" spans="2:8" x14ac:dyDescent="0.25">
      <c r="B28" s="381" t="s">
        <v>76</v>
      </c>
      <c r="C28" s="390">
        <f>C21+C24+C27</f>
        <v>144485.22</v>
      </c>
      <c r="D28" s="857"/>
      <c r="E28" s="89"/>
    </row>
    <row r="29" spans="2:8" x14ac:dyDescent="0.25">
      <c r="B29" s="381" t="s">
        <v>77</v>
      </c>
      <c r="C29" s="389"/>
      <c r="D29" s="81"/>
      <c r="E29" s="89"/>
    </row>
    <row r="30" spans="2:8" x14ac:dyDescent="0.25">
      <c r="B30" s="382" t="s">
        <v>78</v>
      </c>
      <c r="C30" s="389">
        <v>2236541.77</v>
      </c>
      <c r="D30" s="857" t="s">
        <v>79</v>
      </c>
      <c r="E30" s="89"/>
    </row>
    <row r="31" spans="2:8" x14ac:dyDescent="0.25">
      <c r="B31" s="383" t="s">
        <v>80</v>
      </c>
      <c r="C31" s="389">
        <v>-298205.45</v>
      </c>
      <c r="D31" s="857"/>
      <c r="E31" s="89"/>
      <c r="H31" s="19"/>
    </row>
    <row r="32" spans="2:8" x14ac:dyDescent="0.25">
      <c r="B32" s="382" t="s">
        <v>81</v>
      </c>
      <c r="C32" s="390">
        <f>C30+C31</f>
        <v>1938336.32</v>
      </c>
      <c r="D32" s="857"/>
      <c r="E32" s="89"/>
    </row>
    <row r="33" spans="2:5" x14ac:dyDescent="0.25">
      <c r="B33" s="382" t="s">
        <v>82</v>
      </c>
      <c r="C33" s="389">
        <v>67628.25</v>
      </c>
      <c r="D33" s="857"/>
      <c r="E33" s="89"/>
    </row>
    <row r="34" spans="2:5" x14ac:dyDescent="0.25">
      <c r="B34" s="383" t="s">
        <v>83</v>
      </c>
      <c r="C34" s="389">
        <v>-13525.55</v>
      </c>
      <c r="D34" s="857"/>
      <c r="E34" s="89"/>
    </row>
    <row r="35" spans="2:5" x14ac:dyDescent="0.25">
      <c r="B35" s="382" t="s">
        <v>84</v>
      </c>
      <c r="C35" s="390">
        <f>C33+C34</f>
        <v>54102.7</v>
      </c>
      <c r="D35" s="857"/>
      <c r="E35" s="89"/>
    </row>
    <row r="36" spans="2:5" x14ac:dyDescent="0.25">
      <c r="B36" s="382" t="s">
        <v>1269</v>
      </c>
      <c r="C36" s="389">
        <v>111368.67</v>
      </c>
      <c r="D36" s="857"/>
      <c r="E36" s="89"/>
    </row>
    <row r="37" spans="2:5" x14ac:dyDescent="0.25">
      <c r="B37" s="383" t="s">
        <v>1270</v>
      </c>
      <c r="C37" s="825">
        <v>-8739.0400000000009</v>
      </c>
      <c r="D37" s="857"/>
      <c r="E37" s="89"/>
    </row>
    <row r="38" spans="2:5" x14ac:dyDescent="0.25">
      <c r="B38" s="382" t="s">
        <v>1271</v>
      </c>
      <c r="C38" s="826">
        <f>C36+C37</f>
        <v>102629.63</v>
      </c>
      <c r="D38" s="857"/>
      <c r="E38" s="146"/>
    </row>
    <row r="39" spans="2:5" x14ac:dyDescent="0.25">
      <c r="B39" s="382" t="s">
        <v>1272</v>
      </c>
      <c r="C39" s="825">
        <v>94343.180000000008</v>
      </c>
      <c r="D39" s="857"/>
      <c r="E39" s="146"/>
    </row>
    <row r="40" spans="2:5" x14ac:dyDescent="0.25">
      <c r="B40" s="381" t="s">
        <v>87</v>
      </c>
      <c r="C40" s="390">
        <f>C29+C32+C35+C38+C39</f>
        <v>2189411.83</v>
      </c>
      <c r="D40" s="857"/>
      <c r="E40" s="89"/>
    </row>
    <row r="41" spans="2:5" x14ac:dyDescent="0.25">
      <c r="B41" s="384" t="s">
        <v>88</v>
      </c>
      <c r="C41" s="390">
        <f>C20+C28+C40</f>
        <v>2736234.37</v>
      </c>
      <c r="E41" s="89"/>
    </row>
    <row r="42" spans="2:5" x14ac:dyDescent="0.25">
      <c r="B42" s="384" t="s">
        <v>89</v>
      </c>
      <c r="C42" s="389"/>
      <c r="E42" s="89"/>
    </row>
    <row r="43" spans="2:5" x14ac:dyDescent="0.25">
      <c r="B43" s="381" t="s">
        <v>90</v>
      </c>
      <c r="C43" s="389"/>
      <c r="E43" s="89"/>
    </row>
    <row r="44" spans="2:5" x14ac:dyDescent="0.25">
      <c r="B44" s="382" t="s">
        <v>91</v>
      </c>
      <c r="C44" s="389"/>
      <c r="E44" s="89"/>
    </row>
    <row r="45" spans="2:5" x14ac:dyDescent="0.25">
      <c r="B45" s="383" t="s">
        <v>92</v>
      </c>
      <c r="C45" s="389"/>
      <c r="E45" s="89"/>
    </row>
    <row r="46" spans="2:5" x14ac:dyDescent="0.25">
      <c r="B46" s="385" t="s">
        <v>93</v>
      </c>
      <c r="C46" s="389">
        <v>117975</v>
      </c>
      <c r="D46" s="81" t="s">
        <v>94</v>
      </c>
      <c r="E46" s="89" t="s">
        <v>95</v>
      </c>
    </row>
    <row r="47" spans="2:5" x14ac:dyDescent="0.25">
      <c r="B47" s="383" t="s">
        <v>96</v>
      </c>
      <c r="C47" s="390">
        <f>C45+C46</f>
        <v>117975</v>
      </c>
      <c r="D47" s="81"/>
      <c r="E47" s="89"/>
    </row>
    <row r="48" spans="2:5" x14ac:dyDescent="0.25">
      <c r="B48" s="383" t="s">
        <v>97</v>
      </c>
      <c r="C48" s="389"/>
      <c r="E48" s="89"/>
    </row>
    <row r="49" spans="2:9" x14ac:dyDescent="0.25">
      <c r="B49" s="385" t="s">
        <v>98</v>
      </c>
      <c r="C49" s="389">
        <v>89608.31</v>
      </c>
      <c r="E49" s="89" t="s">
        <v>1275</v>
      </c>
    </row>
    <row r="50" spans="2:9" x14ac:dyDescent="0.25">
      <c r="B50" s="385" t="s">
        <v>100</v>
      </c>
      <c r="C50" s="389">
        <v>0</v>
      </c>
      <c r="E50" s="89"/>
    </row>
    <row r="51" spans="2:9" x14ac:dyDescent="0.25">
      <c r="B51" s="385" t="s">
        <v>99</v>
      </c>
      <c r="C51" s="389">
        <v>2011.09</v>
      </c>
      <c r="D51" s="81"/>
      <c r="E51" s="89" t="s">
        <v>1057</v>
      </c>
    </row>
    <row r="52" spans="2:9" x14ac:dyDescent="0.25">
      <c r="B52" s="383" t="s">
        <v>101</v>
      </c>
      <c r="C52" s="390">
        <f>C48+C49+C50+C51</f>
        <v>91619.4</v>
      </c>
      <c r="D52" s="81"/>
      <c r="E52" s="89"/>
    </row>
    <row r="53" spans="2:9" x14ac:dyDescent="0.25">
      <c r="B53" s="383" t="s">
        <v>102</v>
      </c>
      <c r="C53" s="389"/>
      <c r="E53" s="89"/>
    </row>
    <row r="54" spans="2:9" x14ac:dyDescent="0.25">
      <c r="B54" s="385" t="s">
        <v>103</v>
      </c>
      <c r="C54" s="389">
        <v>129735.02</v>
      </c>
      <c r="D54" s="264" t="s">
        <v>104</v>
      </c>
      <c r="E54" s="89"/>
    </row>
    <row r="55" spans="2:9" x14ac:dyDescent="0.25">
      <c r="B55" s="385" t="s">
        <v>105</v>
      </c>
      <c r="C55" s="389">
        <v>174947.03</v>
      </c>
      <c r="D55" s="264" t="s">
        <v>106</v>
      </c>
      <c r="E55" s="89"/>
    </row>
    <row r="56" spans="2:9" x14ac:dyDescent="0.25">
      <c r="B56" s="385" t="s">
        <v>108</v>
      </c>
      <c r="C56" s="389"/>
      <c r="D56" s="264"/>
      <c r="E56" s="89"/>
    </row>
    <row r="57" spans="2:9" ht="75" x14ac:dyDescent="0.25">
      <c r="B57" s="386" t="s">
        <v>109</v>
      </c>
      <c r="C57" s="389">
        <v>4765.17</v>
      </c>
      <c r="D57" s="264"/>
      <c r="E57" s="146" t="s">
        <v>1276</v>
      </c>
    </row>
    <row r="58" spans="2:9" ht="60" x14ac:dyDescent="0.25">
      <c r="B58" s="386" t="s">
        <v>110</v>
      </c>
      <c r="C58" s="389">
        <v>-8621</v>
      </c>
      <c r="D58" s="157"/>
      <c r="E58" s="146" t="s">
        <v>111</v>
      </c>
    </row>
    <row r="59" spans="2:9" x14ac:dyDescent="0.25">
      <c r="B59" s="386" t="s">
        <v>112</v>
      </c>
      <c r="C59" s="825">
        <v>1396.4299999999994</v>
      </c>
      <c r="D59" s="157"/>
      <c r="E59" s="146"/>
    </row>
    <row r="60" spans="2:9" ht="15.75" thickBot="1" x14ac:dyDescent="0.3">
      <c r="B60" s="385" t="s">
        <v>113</v>
      </c>
      <c r="C60" s="389">
        <f>C56+C57+C58+C59</f>
        <v>-2459.4000000000005</v>
      </c>
      <c r="D60" s="157"/>
      <c r="E60" s="89"/>
    </row>
    <row r="61" spans="2:9" ht="30.75" thickBot="1" x14ac:dyDescent="0.3">
      <c r="B61" s="385" t="s">
        <v>114</v>
      </c>
      <c r="C61" s="826">
        <v>22180.629999999997</v>
      </c>
      <c r="D61" s="157" t="s">
        <v>115</v>
      </c>
      <c r="E61" s="485" t="s">
        <v>1481</v>
      </c>
    </row>
    <row r="62" spans="2:9" x14ac:dyDescent="0.25">
      <c r="B62" s="385" t="s">
        <v>116</v>
      </c>
      <c r="C62" s="389">
        <v>23647.22</v>
      </c>
      <c r="D62" s="157"/>
      <c r="E62" s="89"/>
    </row>
    <row r="63" spans="2:9" x14ac:dyDescent="0.25">
      <c r="B63" s="385" t="s">
        <v>107</v>
      </c>
      <c r="C63" s="389">
        <v>48935.8</v>
      </c>
      <c r="D63" s="157"/>
      <c r="E63" s="89"/>
      <c r="I63" s="48"/>
    </row>
    <row r="64" spans="2:9" x14ac:dyDescent="0.25">
      <c r="B64" s="383" t="s">
        <v>117</v>
      </c>
      <c r="C64" s="390">
        <f>C53+C54+C55+C60+C61+C62+C63</f>
        <v>396986.3</v>
      </c>
      <c r="D64" s="157"/>
      <c r="E64" s="89"/>
    </row>
    <row r="65" spans="2:5" x14ac:dyDescent="0.25">
      <c r="B65" s="382" t="s">
        <v>118</v>
      </c>
      <c r="C65" s="390">
        <f>C44+C47+C52+C64</f>
        <v>606580.69999999995</v>
      </c>
      <c r="E65" s="89"/>
    </row>
    <row r="66" spans="2:5" x14ac:dyDescent="0.25">
      <c r="B66" s="382" t="s">
        <v>119</v>
      </c>
      <c r="C66" s="389"/>
      <c r="D66" s="81"/>
      <c r="E66" s="89"/>
    </row>
    <row r="67" spans="2:5" x14ac:dyDescent="0.25">
      <c r="B67" s="383" t="s">
        <v>121</v>
      </c>
      <c r="C67" s="389">
        <v>41666.699999999997</v>
      </c>
      <c r="D67" s="157" t="s">
        <v>122</v>
      </c>
      <c r="E67" s="89"/>
    </row>
    <row r="68" spans="2:5" x14ac:dyDescent="0.25">
      <c r="B68" s="383" t="s">
        <v>123</v>
      </c>
      <c r="C68" s="389">
        <v>52500</v>
      </c>
      <c r="D68" s="157" t="s">
        <v>124</v>
      </c>
      <c r="E68" s="146"/>
    </row>
    <row r="69" spans="2:5" x14ac:dyDescent="0.25">
      <c r="B69" s="383" t="s">
        <v>125</v>
      </c>
      <c r="C69" s="389">
        <v>1013228.47</v>
      </c>
      <c r="D69" s="81" t="s">
        <v>126</v>
      </c>
      <c r="E69" s="146"/>
    </row>
    <row r="70" spans="2:5" x14ac:dyDescent="0.25">
      <c r="B70" s="383" t="s">
        <v>120</v>
      </c>
      <c r="C70" s="389">
        <v>2306000</v>
      </c>
      <c r="D70" s="81"/>
      <c r="E70" s="89"/>
    </row>
    <row r="71" spans="2:5" x14ac:dyDescent="0.25">
      <c r="B71" s="382" t="s">
        <v>127</v>
      </c>
      <c r="C71" s="390">
        <f>C66+C67+C68+C69+C70</f>
        <v>3413395.17</v>
      </c>
      <c r="D71" s="81"/>
      <c r="E71" s="89"/>
    </row>
    <row r="72" spans="2:5" x14ac:dyDescent="0.25">
      <c r="B72" s="381" t="s">
        <v>128</v>
      </c>
      <c r="C72" s="390">
        <f>C43+C65+C71</f>
        <v>4019975.87</v>
      </c>
      <c r="D72" s="81"/>
      <c r="E72" s="89"/>
    </row>
    <row r="73" spans="2:5" x14ac:dyDescent="0.25">
      <c r="B73" s="381" t="s">
        <v>129</v>
      </c>
      <c r="C73" s="389"/>
      <c r="E73" s="89"/>
    </row>
    <row r="74" spans="2:5" x14ac:dyDescent="0.25">
      <c r="B74" s="382" t="s">
        <v>130</v>
      </c>
      <c r="C74" s="389">
        <v>30</v>
      </c>
      <c r="D74" s="17"/>
      <c r="E74" s="89"/>
    </row>
    <row r="75" spans="2:5" x14ac:dyDescent="0.25">
      <c r="B75" s="382" t="s">
        <v>131</v>
      </c>
      <c r="C75" s="389">
        <v>-1140026.98</v>
      </c>
      <c r="D75" s="81"/>
      <c r="E75" s="89"/>
    </row>
    <row r="76" spans="2:5" x14ac:dyDescent="0.25">
      <c r="B76" s="382" t="s">
        <v>132</v>
      </c>
      <c r="C76" s="389">
        <v>-143744.51999999999</v>
      </c>
      <c r="D76" s="17"/>
      <c r="E76" s="89"/>
    </row>
    <row r="77" spans="2:5" x14ac:dyDescent="0.25">
      <c r="B77" s="381" t="s">
        <v>133</v>
      </c>
      <c r="C77" s="390">
        <f>C73+C74+C75+C76</f>
        <v>-1283741.5</v>
      </c>
      <c r="E77" s="89"/>
    </row>
    <row r="78" spans="2:5" ht="15.75" thickBot="1" x14ac:dyDescent="0.3">
      <c r="B78" s="387" t="s">
        <v>134</v>
      </c>
      <c r="C78" s="391">
        <f>C72+C77</f>
        <v>2736234.37</v>
      </c>
      <c r="E78" s="89"/>
    </row>
    <row r="79" spans="2:5" x14ac:dyDescent="0.25">
      <c r="B79" s="75"/>
      <c r="C79" s="79"/>
      <c r="E79" s="89"/>
    </row>
    <row r="80" spans="2:5" x14ac:dyDescent="0.25">
      <c r="B80" s="83" t="s">
        <v>135</v>
      </c>
      <c r="C80" s="82">
        <f>C41-C78</f>
        <v>0</v>
      </c>
      <c r="E80" s="89"/>
    </row>
    <row r="81" spans="2:5" ht="15.75" thickBot="1" x14ac:dyDescent="0.3">
      <c r="B81" s="76"/>
      <c r="C81" s="80"/>
      <c r="D81" s="115"/>
      <c r="E81" s="90"/>
    </row>
  </sheetData>
  <autoFilter ref="B7:E72" xr:uid="{1CB0E382-DFBD-47EB-96D2-DD7519174388}"/>
  <mergeCells count="2">
    <mergeCell ref="D22:D28"/>
    <mergeCell ref="D30:D40"/>
  </mergeCells>
  <conditionalFormatting sqref="B1:B1048576">
    <cfRule type="duplicateValues" dxfId="19" priority="1"/>
  </conditionalFormatting>
  <hyperlinks>
    <hyperlink ref="F2" location="Index!A1" display="Home" xr:uid="{D4D559AA-F600-4545-AD80-1C01060C7CDD}"/>
    <hyperlink ref="D17" location="PE!A1" display="PE" xr:uid="{A66EC4A8-BC90-470B-A0FC-1AA3536AF90A}"/>
    <hyperlink ref="D14" location="AR!A1" display="AR" xr:uid="{F05A544C-B003-410A-95A0-0C1E9C8F5F63}"/>
    <hyperlink ref="D30" location="AP!A1" display="AP" xr:uid="{9306C636-EA0C-4FCE-BB68-1A135259B03E}"/>
    <hyperlink ref="D22:D28" location="FA!A1" display="FA" xr:uid="{F6916730-1F80-4BA8-A248-A573FEF2692C}"/>
    <hyperlink ref="F3" location="P_L" display="Profit &amp; Loss" xr:uid="{DF37C94A-080C-4987-AEAA-81FEB63F6D49}"/>
    <hyperlink ref="D30:D40" location="OA!A1" display="OA" xr:uid="{8FCC9484-25B2-435D-A64C-F517283A4187}"/>
    <hyperlink ref="F4" location="'Profit &amp; Loss - Division(Month)'!A1" display="Profit &amp; Loss (Division) Month" xr:uid="{A812E21B-41E1-479B-8743-2C5415F09A9B}"/>
    <hyperlink ref="F5" location="'Profit and Loss - Division(YTD)'!A1" display="PL-Division (YTD)" xr:uid="{28EAC5BB-A536-4C77-826C-3A76C318BC12}"/>
    <hyperlink ref="F6" location="'Statement of Cash Flows'!A1" display="Cash Flow" xr:uid="{011C7D72-10C4-44A1-91E5-30EED0B08094}"/>
    <hyperlink ref="D54" location="AE!A1" display="AE" xr:uid="{B25DFC0A-2EC8-4E54-A77D-5FC8DB6FA3A2}"/>
    <hyperlink ref="D55" location="'AE-SL'!A1" display="AE-SL" xr:uid="{3F1CEC7A-84CE-4E43-A853-DC7039693E32}"/>
    <hyperlink ref="D46" location="AP!A1" display="AP" xr:uid="{46099637-F727-4187-A9B6-33A62297E7AF}"/>
    <hyperlink ref="D18" location="Accrued_Income" display="Accrual Income" xr:uid="{02F57A6B-39C2-4031-9D7A-43953F663508}"/>
    <hyperlink ref="D61" location="I_L" display="IL" xr:uid="{9A87A101-9C45-4574-BCD7-46B97499A3B5}"/>
    <hyperlink ref="D69" location="SL!A1" display="SL" xr:uid="{C677A18B-726A-44CC-ABF1-BB5DEEA43CAC}"/>
    <hyperlink ref="D67" location="Amex_Loan" display="AL" xr:uid="{9FC288DE-EAFE-40A6-902F-3706E337AFD3}"/>
    <hyperlink ref="D68" location="R_L" display="RL" xr:uid="{A5013B73-926E-4B73-91DC-377B7708815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0011-44D3-4DEB-B779-6503DE854071}">
  <sheetPr codeName="Sheet5">
    <tabColor theme="4" tint="0.59999389629810485"/>
  </sheetPr>
  <dimension ref="A24"/>
  <sheetViews>
    <sheetView showGridLines="0" topLeftCell="A16" zoomScale="115" zoomScaleNormal="115" workbookViewId="0">
      <selection activeCell="A5" sqref="A5:A6"/>
    </sheetView>
  </sheetViews>
  <sheetFormatPr defaultRowHeight="15" x14ac:dyDescent="0.25"/>
  <sheetData>
    <row r="24" ht="0.75"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21B4-6DFE-4BC4-8AE7-DAD6EDAFF88C}">
  <sheetPr codeName="Sheet6">
    <tabColor theme="4" tint="0.59999389629810485"/>
  </sheetPr>
  <dimension ref="B2:L100"/>
  <sheetViews>
    <sheetView showGridLines="0" topLeftCell="A75" zoomScaleNormal="100" workbookViewId="0">
      <selection activeCell="A5" sqref="A5:A6"/>
    </sheetView>
  </sheetViews>
  <sheetFormatPr defaultRowHeight="15" x14ac:dyDescent="0.25"/>
  <cols>
    <col min="2" max="2" width="26" customWidth="1"/>
    <col min="3" max="3" width="13.28515625" bestFit="1" customWidth="1"/>
    <col min="4" max="4" width="12.28515625" bestFit="1" customWidth="1"/>
    <col min="5" max="11" width="12.7109375" bestFit="1" customWidth="1"/>
    <col min="12" max="12" width="14.5703125" bestFit="1" customWidth="1"/>
  </cols>
  <sheetData>
    <row r="2" spans="2:12" ht="15.75" x14ac:dyDescent="0.25">
      <c r="B2" s="188" t="s">
        <v>27</v>
      </c>
      <c r="C2" s="188" t="s">
        <v>136</v>
      </c>
      <c r="D2" s="188" t="s">
        <v>137</v>
      </c>
      <c r="E2" s="188" t="s">
        <v>138</v>
      </c>
      <c r="F2" s="188" t="s">
        <v>139</v>
      </c>
      <c r="G2" s="188" t="s">
        <v>140</v>
      </c>
      <c r="H2" s="188" t="s">
        <v>141</v>
      </c>
      <c r="I2" s="188" t="s">
        <v>142</v>
      </c>
      <c r="J2" s="188" t="s">
        <v>143</v>
      </c>
      <c r="K2" s="188" t="s">
        <v>144</v>
      </c>
      <c r="L2" s="188" t="s">
        <v>145</v>
      </c>
    </row>
    <row r="3" spans="2:12" x14ac:dyDescent="0.25">
      <c r="B3" s="189" t="s">
        <v>146</v>
      </c>
      <c r="C3" s="190">
        <v>0</v>
      </c>
      <c r="D3" s="191">
        <f t="shared" ref="D3" si="0">(D4-C4)/C4</f>
        <v>-0.1448178560690582</v>
      </c>
      <c r="E3" s="191">
        <f t="shared" ref="E3" si="1">(E4-D4)/D4</f>
        <v>-0.24802245567698172</v>
      </c>
      <c r="F3" s="191">
        <f t="shared" ref="F3" si="2">(F4-E4)/E4</f>
        <v>1.523379570054429</v>
      </c>
      <c r="G3" s="191">
        <f t="shared" ref="G3" si="3">(G4-F4)/F4</f>
        <v>-0.52972320816940843</v>
      </c>
      <c r="H3" s="191">
        <f t="shared" ref="H3" si="4">(H4-G4)/G4</f>
        <v>0.81196106762598974</v>
      </c>
      <c r="I3" s="191">
        <f t="shared" ref="I3" si="5">(I4-H4)/H4</f>
        <v>-0.18211049183498126</v>
      </c>
      <c r="J3" s="191">
        <f t="shared" ref="J3" si="6">(J4-I4)/I4</f>
        <v>-0.12695658771445517</v>
      </c>
      <c r="K3" s="191">
        <f t="shared" ref="K3" si="7">(K4-J4)/J4</f>
        <v>0.30026692525331872</v>
      </c>
      <c r="L3" s="192"/>
    </row>
    <row r="4" spans="2:12" x14ac:dyDescent="0.25">
      <c r="B4" s="195" t="s">
        <v>147</v>
      </c>
      <c r="C4" s="193">
        <v>206276.98</v>
      </c>
      <c r="D4" s="193">
        <v>176404.39</v>
      </c>
      <c r="E4" s="193">
        <v>132652.14000000001</v>
      </c>
      <c r="F4" s="193">
        <v>334731.69999999995</v>
      </c>
      <c r="G4" s="193">
        <v>157416.54999999999</v>
      </c>
      <c r="H4" s="193">
        <v>285232.65999999997</v>
      </c>
      <c r="I4" s="193">
        <v>233288.8</v>
      </c>
      <c r="J4" s="193">
        <v>203671.25</v>
      </c>
      <c r="K4" s="193">
        <v>264826.99</v>
      </c>
      <c r="L4" s="198">
        <f>SUM(C4:K4)</f>
        <v>1994501.46</v>
      </c>
    </row>
    <row r="5" spans="2:12" x14ac:dyDescent="0.25">
      <c r="B5" s="195" t="s">
        <v>148</v>
      </c>
      <c r="C5" s="190">
        <v>0</v>
      </c>
      <c r="D5" s="191">
        <f t="shared" ref="D5" si="8">(D6-C6)/C6</f>
        <v>1.3895736967120891</v>
      </c>
      <c r="E5" s="191">
        <f t="shared" ref="E5" si="9">(E6-D6)/D6</f>
        <v>-0.55368260246309031</v>
      </c>
      <c r="F5" s="191">
        <f t="shared" ref="F5" si="10">(F6-E6)/E6</f>
        <v>4.3410188723479077</v>
      </c>
      <c r="G5" s="191">
        <f t="shared" ref="G5" si="11">(G6-F6)/F6</f>
        <v>-0.81539028244786393</v>
      </c>
      <c r="H5" s="191">
        <f t="shared" ref="H5" si="12">(H6-G6)/G6</f>
        <v>1.6968709876836749</v>
      </c>
      <c r="I5" s="191">
        <f t="shared" ref="I5" si="13">(I6-H6)/H6</f>
        <v>-0.36305488208067005</v>
      </c>
      <c r="J5" s="191">
        <f t="shared" ref="J5" si="14">(J6-I6)/I6</f>
        <v>-0.1864434463046141</v>
      </c>
      <c r="K5" s="191">
        <f t="shared" ref="K5" si="15">(K6-J6)/J6</f>
        <v>8.2095011892649644E-2</v>
      </c>
      <c r="L5" s="194"/>
    </row>
    <row r="6" spans="2:12" x14ac:dyDescent="0.25">
      <c r="B6" s="196" t="s">
        <v>149</v>
      </c>
      <c r="C6" s="198">
        <v>39995</v>
      </c>
      <c r="D6" s="198">
        <v>95571</v>
      </c>
      <c r="E6" s="198">
        <v>42655</v>
      </c>
      <c r="F6" s="198">
        <v>227821.16</v>
      </c>
      <c r="G6" s="198">
        <v>42058</v>
      </c>
      <c r="H6" s="198">
        <v>113425</v>
      </c>
      <c r="I6" s="198">
        <v>72245.5</v>
      </c>
      <c r="J6" s="198">
        <v>58775.8</v>
      </c>
      <c r="K6" s="198">
        <v>63601</v>
      </c>
      <c r="L6" s="198">
        <f>SUM(C6:K6)</f>
        <v>756147.46000000008</v>
      </c>
    </row>
    <row r="7" spans="2:12" x14ac:dyDescent="0.25">
      <c r="B7" s="195" t="s">
        <v>150</v>
      </c>
      <c r="C7" s="190">
        <v>0</v>
      </c>
      <c r="D7" s="191">
        <f t="shared" ref="D7" si="16">(D8-C8)/C8</f>
        <v>-0.33378720591816158</v>
      </c>
      <c r="E7" s="191">
        <f t="shared" ref="E7" si="17">(E8-D8)/D8</f>
        <v>7.3260165701902483E-2</v>
      </c>
      <c r="F7" s="191">
        <f t="shared" ref="F7" si="18">(F8-E8)/E8</f>
        <v>0.59360802420286007</v>
      </c>
      <c r="G7" s="191">
        <f t="shared" ref="G7" si="19">(G8-F8)/F8</f>
        <v>0.14193989368533039</v>
      </c>
      <c r="H7" s="191">
        <f t="shared" ref="H7" si="20">(H8-G8)/G8</f>
        <v>0.53100262388605146</v>
      </c>
      <c r="I7" s="191">
        <f t="shared" ref="I7" si="21">(I8-H8)/H8</f>
        <v>-6.8474013323969615E-2</v>
      </c>
      <c r="J7" s="191">
        <f t="shared" ref="J7" si="22">(J8-I8)/I8</f>
        <v>-9.4648448263688678E-2</v>
      </c>
      <c r="K7" s="191">
        <f t="shared" ref="K7" si="23">(K8-J8)/J8</f>
        <v>0.38876679702502764</v>
      </c>
      <c r="L7" s="198"/>
    </row>
    <row r="8" spans="2:12" x14ac:dyDescent="0.25">
      <c r="B8" s="196" t="s">
        <v>151</v>
      </c>
      <c r="C8" s="198">
        <v>86243.000000000015</v>
      </c>
      <c r="D8" s="198">
        <v>57456.19</v>
      </c>
      <c r="E8" s="198">
        <v>61665.439999999995</v>
      </c>
      <c r="F8" s="198">
        <v>98270.540000000008</v>
      </c>
      <c r="G8" s="198">
        <v>112219.05000000002</v>
      </c>
      <c r="H8" s="198">
        <v>171807.66000000003</v>
      </c>
      <c r="I8" s="198">
        <v>160043.29999999999</v>
      </c>
      <c r="J8" s="198">
        <v>144895.44999999998</v>
      </c>
      <c r="K8" s="198">
        <v>201225.99000000002</v>
      </c>
      <c r="L8" s="198">
        <f>SUM(C8:K8)</f>
        <v>1093826.6200000001</v>
      </c>
    </row>
    <row r="9" spans="2:12" x14ac:dyDescent="0.25">
      <c r="B9" s="197" t="s">
        <v>152</v>
      </c>
      <c r="C9" s="198">
        <v>93355.12000000001</v>
      </c>
      <c r="D9" s="198">
        <v>85500.190000000017</v>
      </c>
      <c r="E9" s="198">
        <v>-10454.590000000026</v>
      </c>
      <c r="F9" s="198">
        <v>218949.22999999992</v>
      </c>
      <c r="G9" s="198">
        <v>11938.709999999992</v>
      </c>
      <c r="H9" s="198">
        <v>202139.41999999998</v>
      </c>
      <c r="I9" s="198">
        <v>86590.35</v>
      </c>
      <c r="J9" s="198">
        <v>109796.02</v>
      </c>
      <c r="K9" s="198">
        <v>171932.46999999997</v>
      </c>
      <c r="L9" s="198">
        <f>SUM(C9:K9)</f>
        <v>969746.91999999981</v>
      </c>
    </row>
    <row r="10" spans="2:12" x14ac:dyDescent="0.25">
      <c r="B10" s="196" t="s">
        <v>153</v>
      </c>
      <c r="C10" s="199">
        <f>C9/C4</f>
        <v>0.45257168298663286</v>
      </c>
      <c r="D10" s="199">
        <f t="shared" ref="D10:L10" si="24">D9/D4</f>
        <v>0.48468289252892183</v>
      </c>
      <c r="E10" s="199">
        <f t="shared" si="24"/>
        <v>-7.8812071934912048E-2</v>
      </c>
      <c r="F10" s="199">
        <f t="shared" si="24"/>
        <v>0.65410365973703699</v>
      </c>
      <c r="G10" s="199">
        <f t="shared" si="24"/>
        <v>7.5841517299165773E-2</v>
      </c>
      <c r="H10" s="199">
        <f t="shared" si="24"/>
        <v>0.70868258915371052</v>
      </c>
      <c r="I10" s="199">
        <f t="shared" si="24"/>
        <v>0.3711723408924904</v>
      </c>
      <c r="J10" s="199">
        <f t="shared" si="24"/>
        <v>0.53908452960346642</v>
      </c>
      <c r="K10" s="199">
        <f t="shared" si="24"/>
        <v>0.64922563217593487</v>
      </c>
      <c r="L10" s="199">
        <f t="shared" si="24"/>
        <v>0.48621018307000879</v>
      </c>
    </row>
    <row r="11" spans="2:12" x14ac:dyDescent="0.25">
      <c r="B11" s="197" t="s">
        <v>154</v>
      </c>
      <c r="C11" s="198">
        <v>-59483.89999999998</v>
      </c>
      <c r="D11" s="198">
        <v>-56308.099999999962</v>
      </c>
      <c r="E11" s="198">
        <v>-131287.97000000003</v>
      </c>
      <c r="F11" s="198">
        <v>52520.359999999928</v>
      </c>
      <c r="G11" s="198">
        <v>-80565.19</v>
      </c>
      <c r="H11" s="198">
        <v>103493.86</v>
      </c>
      <c r="I11" s="198">
        <v>-32039.53</v>
      </c>
      <c r="J11" s="198">
        <v>16603.650000000009</v>
      </c>
      <c r="K11" s="198">
        <v>92337.519999999975</v>
      </c>
      <c r="L11" s="198">
        <f>SUM(C11:K11)</f>
        <v>-94729.30000000009</v>
      </c>
    </row>
    <row r="12" spans="2:12" x14ac:dyDescent="0.25">
      <c r="B12" s="197" t="s">
        <v>155</v>
      </c>
      <c r="C12" s="199">
        <f>C11/C4</f>
        <v>-0.28836906570961035</v>
      </c>
      <c r="D12" s="199">
        <f t="shared" ref="D12:L12" si="25">D11/D4</f>
        <v>-0.31919897231582478</v>
      </c>
      <c r="E12" s="199">
        <f t="shared" si="25"/>
        <v>-0.98971618550594065</v>
      </c>
      <c r="F12" s="199">
        <f t="shared" si="25"/>
        <v>0.15690285682533187</v>
      </c>
      <c r="G12" s="199">
        <f t="shared" si="25"/>
        <v>-0.5117961866144316</v>
      </c>
      <c r="H12" s="199">
        <f t="shared" si="25"/>
        <v>0.3628401460057204</v>
      </c>
      <c r="I12" s="199">
        <f t="shared" si="25"/>
        <v>-0.13733848345912877</v>
      </c>
      <c r="J12" s="199">
        <f t="shared" si="25"/>
        <v>8.1521815180100321E-2</v>
      </c>
      <c r="K12" s="199">
        <f t="shared" si="25"/>
        <v>0.34867110788065814</v>
      </c>
      <c r="L12" s="199">
        <f t="shared" si="25"/>
        <v>-4.7495227203293244E-2</v>
      </c>
    </row>
    <row r="13" spans="2:12" x14ac:dyDescent="0.25">
      <c r="B13" s="196" t="s">
        <v>156</v>
      </c>
      <c r="C13" s="198">
        <v>-73180.119999999981</v>
      </c>
      <c r="D13" s="198">
        <v>-70004.319999999963</v>
      </c>
      <c r="E13" s="198">
        <v>-145113.19000000003</v>
      </c>
      <c r="F13" s="198">
        <v>38522.019999999931</v>
      </c>
      <c r="G13" s="198">
        <v>-94563.53</v>
      </c>
      <c r="H13" s="198">
        <v>89495.52</v>
      </c>
      <c r="I13" s="198">
        <v>-46037.869999999995</v>
      </c>
      <c r="J13" s="198">
        <v>2605.3100000000086</v>
      </c>
      <c r="K13" s="198">
        <v>78339.179999999978</v>
      </c>
      <c r="L13" s="198">
        <f>SUM(C13:K13)</f>
        <v>-219937.00000000006</v>
      </c>
    </row>
    <row r="14" spans="2:12" x14ac:dyDescent="0.25">
      <c r="B14" s="196" t="s">
        <v>157</v>
      </c>
      <c r="C14" s="199">
        <f>C13/C4</f>
        <v>-0.35476629529868031</v>
      </c>
      <c r="D14" s="199">
        <f t="shared" ref="D14:L14" si="26">D13/D4</f>
        <v>-0.39684001061424806</v>
      </c>
      <c r="E14" s="199">
        <f t="shared" si="26"/>
        <v>-1.093937798515727</v>
      </c>
      <c r="F14" s="199">
        <f t="shared" si="26"/>
        <v>0.11508327415658552</v>
      </c>
      <c r="G14" s="199">
        <f t="shared" si="26"/>
        <v>-0.60072165220238916</v>
      </c>
      <c r="H14" s="199">
        <f t="shared" si="26"/>
        <v>0.31376322753502356</v>
      </c>
      <c r="I14" s="199">
        <f t="shared" si="26"/>
        <v>-0.1973428214299186</v>
      </c>
      <c r="J14" s="199">
        <f t="shared" si="26"/>
        <v>1.2791741593376623E-2</v>
      </c>
      <c r="K14" s="199">
        <f t="shared" si="26"/>
        <v>0.29581267377618869</v>
      </c>
      <c r="L14" s="199">
        <f t="shared" si="26"/>
        <v>-0.11027166658479159</v>
      </c>
    </row>
    <row r="15" spans="2:12" x14ac:dyDescent="0.25">
      <c r="B15" s="196" t="s">
        <v>158</v>
      </c>
      <c r="C15" s="198">
        <v>-97938.459999999977</v>
      </c>
      <c r="D15" s="198">
        <v>-94067.949999999953</v>
      </c>
      <c r="E15" s="198">
        <v>-169679.00000000003</v>
      </c>
      <c r="F15" s="198">
        <v>13224.569999999931</v>
      </c>
      <c r="G15" s="198">
        <v>-120325.33</v>
      </c>
      <c r="H15" s="198">
        <v>64682.210000000006</v>
      </c>
      <c r="I15" s="198">
        <v>-73099.62999999999</v>
      </c>
      <c r="J15" s="198">
        <v>-24017.159999999993</v>
      </c>
      <c r="K15" s="198">
        <v>52551.809999999983</v>
      </c>
      <c r="L15" s="198">
        <f>SUM(C15:K15)</f>
        <v>-448668.93999999994</v>
      </c>
    </row>
    <row r="16" spans="2:12" x14ac:dyDescent="0.25">
      <c r="B16" s="196" t="s">
        <v>159</v>
      </c>
      <c r="C16" s="199">
        <f>C15/C4</f>
        <v>-0.47479103097204534</v>
      </c>
      <c r="D16" s="199">
        <f t="shared" ref="D16:L16" si="27">D15/D4</f>
        <v>-0.5332517518413229</v>
      </c>
      <c r="E16" s="199">
        <f t="shared" si="27"/>
        <v>-1.27912749843312</v>
      </c>
      <c r="F16" s="199">
        <f t="shared" si="27"/>
        <v>3.9507970114572154E-2</v>
      </c>
      <c r="G16" s="199">
        <f t="shared" si="27"/>
        <v>-0.76437534681073882</v>
      </c>
      <c r="H16" s="199">
        <f t="shared" si="27"/>
        <v>0.22676999891947863</v>
      </c>
      <c r="I16" s="199">
        <f t="shared" si="27"/>
        <v>-0.31334393249911696</v>
      </c>
      <c r="J16" s="199">
        <f t="shared" si="27"/>
        <v>-0.11792120881076731</v>
      </c>
      <c r="K16" s="199">
        <f t="shared" si="27"/>
        <v>0.19843827096324276</v>
      </c>
      <c r="L16" s="199">
        <f t="shared" si="27"/>
        <v>-0.22495292633177613</v>
      </c>
    </row>
    <row r="17" spans="3:12" x14ac:dyDescent="0.25">
      <c r="C17" s="187"/>
      <c r="D17" s="187"/>
      <c r="E17" s="187"/>
      <c r="F17" s="187"/>
      <c r="G17" s="187"/>
      <c r="H17" s="187"/>
      <c r="I17" s="187"/>
      <c r="J17" s="187"/>
      <c r="K17" s="187"/>
      <c r="L17" s="187"/>
    </row>
    <row r="18" spans="3:12" x14ac:dyDescent="0.25">
      <c r="C18" s="187"/>
      <c r="D18" s="187"/>
      <c r="E18" s="187"/>
      <c r="F18" s="187"/>
      <c r="G18" s="187"/>
      <c r="H18" s="187"/>
      <c r="I18" s="187"/>
      <c r="J18" s="187"/>
      <c r="K18" s="187"/>
      <c r="L18" s="187"/>
    </row>
    <row r="19" spans="3:12" x14ac:dyDescent="0.25">
      <c r="C19" s="187"/>
      <c r="D19" s="187"/>
      <c r="E19" s="187"/>
      <c r="F19" s="187"/>
      <c r="G19" s="187"/>
      <c r="H19" s="187"/>
      <c r="I19" s="187"/>
      <c r="J19" s="187"/>
      <c r="K19" s="187"/>
      <c r="L19" s="187"/>
    </row>
    <row r="20" spans="3:12" x14ac:dyDescent="0.25">
      <c r="C20" s="187"/>
      <c r="D20" s="187"/>
      <c r="E20" s="187"/>
      <c r="F20" s="187"/>
      <c r="G20" s="187"/>
      <c r="H20" s="187"/>
      <c r="I20" s="187"/>
      <c r="J20" s="187"/>
      <c r="K20" s="187"/>
      <c r="L20" s="187"/>
    </row>
    <row r="21" spans="3:12" x14ac:dyDescent="0.25">
      <c r="C21" s="187"/>
      <c r="D21" s="187"/>
      <c r="E21" s="187"/>
      <c r="F21" s="187"/>
      <c r="G21" s="187"/>
      <c r="H21" s="187"/>
      <c r="I21" s="187"/>
      <c r="J21" s="187"/>
      <c r="K21" s="187"/>
      <c r="L21" s="187"/>
    </row>
    <row r="22" spans="3:12" x14ac:dyDescent="0.25">
      <c r="C22" s="187"/>
      <c r="D22" s="187"/>
      <c r="E22" s="187"/>
      <c r="F22" s="187"/>
      <c r="G22" s="187"/>
      <c r="H22" s="187"/>
      <c r="I22" s="187"/>
      <c r="J22" s="187"/>
      <c r="K22" s="187"/>
      <c r="L22" s="187"/>
    </row>
    <row r="23" spans="3:12" x14ac:dyDescent="0.25">
      <c r="C23" s="187"/>
      <c r="D23" s="187"/>
      <c r="E23" s="187"/>
      <c r="F23" s="187"/>
      <c r="G23" s="187"/>
      <c r="H23" s="187"/>
      <c r="I23" s="187"/>
      <c r="J23" s="187"/>
      <c r="K23" s="187"/>
      <c r="L23" s="187"/>
    </row>
    <row r="24" spans="3:12" x14ac:dyDescent="0.25">
      <c r="C24" s="187"/>
      <c r="D24" s="187"/>
      <c r="E24" s="187"/>
      <c r="F24" s="187"/>
      <c r="G24" s="187"/>
      <c r="H24" s="187"/>
      <c r="I24" s="187"/>
      <c r="J24" s="187"/>
      <c r="K24" s="187"/>
      <c r="L24" s="187"/>
    </row>
    <row r="25" spans="3:12" x14ac:dyDescent="0.25">
      <c r="C25" s="187"/>
      <c r="D25" s="187"/>
      <c r="E25" s="187"/>
      <c r="F25" s="187"/>
      <c r="G25" s="187"/>
      <c r="H25" s="187"/>
      <c r="I25" s="187"/>
      <c r="J25" s="187"/>
      <c r="K25" s="187"/>
      <c r="L25" s="187"/>
    </row>
    <row r="26" spans="3:12" x14ac:dyDescent="0.25">
      <c r="C26" s="187"/>
      <c r="D26" s="187"/>
      <c r="E26" s="187"/>
      <c r="F26" s="187"/>
      <c r="G26" s="187"/>
      <c r="H26" s="187"/>
      <c r="I26" s="187"/>
      <c r="J26" s="187"/>
      <c r="K26" s="187"/>
      <c r="L26" s="187"/>
    </row>
    <row r="63" spans="2:4" x14ac:dyDescent="0.25">
      <c r="B63" s="204" t="s">
        <v>160</v>
      </c>
      <c r="C63" s="204" t="s">
        <v>145</v>
      </c>
      <c r="D63" s="204" t="s">
        <v>161</v>
      </c>
    </row>
    <row r="64" spans="2:4" x14ac:dyDescent="0.25">
      <c r="B64" s="200" t="s">
        <v>162</v>
      </c>
      <c r="C64" s="201">
        <v>318180.89000000007</v>
      </c>
      <c r="D64" s="202">
        <f>C64/$C$67</f>
        <v>0.15952903338561611</v>
      </c>
    </row>
    <row r="65" spans="2:4" x14ac:dyDescent="0.25">
      <c r="B65" s="200" t="s">
        <v>163</v>
      </c>
      <c r="C65" s="201">
        <v>10319.720000000001</v>
      </c>
      <c r="D65" s="202">
        <f>C65/$C$67</f>
        <v>5.1740849565484904E-3</v>
      </c>
    </row>
    <row r="66" spans="2:4" x14ac:dyDescent="0.25">
      <c r="B66" s="200" t="s">
        <v>164</v>
      </c>
      <c r="C66" s="203">
        <v>696253.93000000017</v>
      </c>
      <c r="D66" s="202">
        <f>C66/$C$67</f>
        <v>0.34908669858782665</v>
      </c>
    </row>
    <row r="67" spans="2:4" x14ac:dyDescent="0.25">
      <c r="B67" s="200" t="s">
        <v>147</v>
      </c>
      <c r="C67" s="201">
        <v>1994501.46</v>
      </c>
      <c r="D67" s="202">
        <f>C67/$C$67</f>
        <v>1</v>
      </c>
    </row>
    <row r="92" spans="2:5" x14ac:dyDescent="0.25">
      <c r="B92" s="204" t="s">
        <v>165</v>
      </c>
      <c r="C92" s="204" t="s">
        <v>145</v>
      </c>
      <c r="D92" s="204" t="s">
        <v>166</v>
      </c>
      <c r="E92" s="204" t="s">
        <v>167</v>
      </c>
    </row>
    <row r="93" spans="2:5" x14ac:dyDescent="0.25">
      <c r="B93" s="200" t="s">
        <v>168</v>
      </c>
      <c r="C93" s="201">
        <f>'Profit and Loss by Month'!O25</f>
        <v>0</v>
      </c>
      <c r="D93" s="202">
        <f t="shared" ref="D93:D99" si="28">C93/$C$99</f>
        <v>0</v>
      </c>
      <c r="E93" s="202" t="e">
        <f t="shared" ref="E93:E98" si="29">C93/$C$100</f>
        <v>#REF!</v>
      </c>
    </row>
    <row r="94" spans="2:5" x14ac:dyDescent="0.25">
      <c r="B94" s="200" t="s">
        <v>169</v>
      </c>
      <c r="C94" s="201">
        <f>'Profit and Loss by Month'!O41</f>
        <v>1175</v>
      </c>
      <c r="D94" s="202">
        <f t="shared" si="28"/>
        <v>1.6447404796891909E-3</v>
      </c>
      <c r="E94" s="202" t="e">
        <f t="shared" si="29"/>
        <v>#REF!</v>
      </c>
    </row>
    <row r="95" spans="2:5" x14ac:dyDescent="0.25">
      <c r="B95" s="200" t="s">
        <v>170</v>
      </c>
      <c r="C95" s="201">
        <f>'Profit and Loss by Month'!O35</f>
        <v>12549.99</v>
      </c>
      <c r="D95" s="202">
        <f t="shared" si="28"/>
        <v>1.7567214104420893E-2</v>
      </c>
      <c r="E95" s="202" t="e">
        <f t="shared" si="29"/>
        <v>#REF!</v>
      </c>
    </row>
    <row r="96" spans="2:5" x14ac:dyDescent="0.25">
      <c r="B96" s="200" t="s">
        <v>171</v>
      </c>
      <c r="C96" s="201">
        <f>'Profit and Loss by Month'!O47</f>
        <v>7736.87</v>
      </c>
      <c r="D96" s="202">
        <f t="shared" si="28"/>
        <v>1.0829909170291838E-2</v>
      </c>
      <c r="E96" s="202" t="e">
        <f t="shared" si="29"/>
        <v>#REF!</v>
      </c>
    </row>
    <row r="97" spans="2:5" x14ac:dyDescent="0.25">
      <c r="B97" s="200" t="s">
        <v>172</v>
      </c>
      <c r="C97" s="201">
        <f>'Profit and Loss by Month'!O54</f>
        <v>8503.67</v>
      </c>
      <c r="D97" s="202">
        <f t="shared" si="28"/>
        <v>1.1903259808441346E-2</v>
      </c>
      <c r="E97" s="202" t="e">
        <f t="shared" si="29"/>
        <v>#REF!</v>
      </c>
    </row>
    <row r="98" spans="2:5" x14ac:dyDescent="0.25">
      <c r="B98" s="200" t="s">
        <v>173</v>
      </c>
      <c r="C98" s="201">
        <f>'Profit and Loss by Month'!O74+13098.54</f>
        <v>72647.450000000012</v>
      </c>
      <c r="D98" s="202">
        <f t="shared" si="28"/>
        <v>0.10169038447761407</v>
      </c>
      <c r="E98" s="202" t="e">
        <f t="shared" si="29"/>
        <v>#REF!</v>
      </c>
    </row>
    <row r="99" spans="2:5" x14ac:dyDescent="0.25">
      <c r="B99" s="200" t="s">
        <v>147</v>
      </c>
      <c r="C99" s="201">
        <f>'Profit and Loss by Month'!O11</f>
        <v>714398.41999999993</v>
      </c>
      <c r="D99" s="202">
        <f t="shared" si="28"/>
        <v>1</v>
      </c>
      <c r="E99" s="202"/>
    </row>
    <row r="100" spans="2:5" x14ac:dyDescent="0.25">
      <c r="B100" s="200" t="s">
        <v>174</v>
      </c>
      <c r="C100" s="201" t="e">
        <f>'Profit and Loss by Month'!O75-'Profit and Loss by Month'!#REF!</f>
        <v>#REF!</v>
      </c>
      <c r="D100" s="202"/>
      <c r="E100" s="20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CEF7-638F-4AE3-B9AA-73FB63D58280}">
  <sheetPr codeName="Sheet7">
    <tabColor rgb="FFFFFF00"/>
  </sheetPr>
  <dimension ref="B1:V103"/>
  <sheetViews>
    <sheetView showGridLines="0" zoomScale="90" zoomScaleNormal="90" workbookViewId="0">
      <pane xSplit="2" ySplit="7" topLeftCell="C8" activePane="bottomRight" state="frozen"/>
      <selection activeCell="A8" sqref="A8"/>
      <selection pane="topRight" activeCell="A8" sqref="A8"/>
      <selection pane="bottomLeft" activeCell="A8" sqref="A8"/>
      <selection pane="bottomRight" activeCell="E3" sqref="E3"/>
    </sheetView>
  </sheetViews>
  <sheetFormatPr defaultColWidth="9.140625" defaultRowHeight="15" outlineLevelRow="1" outlineLevelCol="1" x14ac:dyDescent="0.25"/>
  <cols>
    <col min="1" max="1" width="2.7109375" style="173" customWidth="1"/>
    <col min="2" max="2" width="43.85546875" style="173" bestFit="1" customWidth="1"/>
    <col min="3" max="5" width="13.7109375" style="172" customWidth="1" outlineLevel="1"/>
    <col min="6" max="6" width="13.7109375" style="302" customWidth="1" outlineLevel="1"/>
    <col min="7" max="9" width="13.7109375" style="172" customWidth="1" outlineLevel="1"/>
    <col min="10" max="10" width="13.7109375" style="302" customWidth="1" outlineLevel="1"/>
    <col min="11" max="14" width="13.7109375" style="302" customWidth="1"/>
    <col min="15" max="17" width="13.7109375" style="172" customWidth="1"/>
    <col min="18" max="18" width="13.7109375" style="276" customWidth="1"/>
    <col min="19" max="19" width="85.7109375" style="174" customWidth="1"/>
    <col min="20" max="21" width="13" style="276" customWidth="1"/>
    <col min="22" max="16384" width="9.140625" style="173"/>
  </cols>
  <sheetData>
    <row r="1" spans="2:22" ht="15.75" thickBot="1" x14ac:dyDescent="0.3"/>
    <row r="2" spans="2:22" ht="15.75" x14ac:dyDescent="0.25">
      <c r="B2" s="232" t="str">
        <f>Index!A1</f>
        <v>Pacific Nexus</v>
      </c>
      <c r="V2" s="175" t="s">
        <v>45</v>
      </c>
    </row>
    <row r="3" spans="2:22" ht="15.75" x14ac:dyDescent="0.25">
      <c r="B3" s="233" t="s">
        <v>175</v>
      </c>
      <c r="C3" s="465"/>
      <c r="D3" s="525"/>
      <c r="F3" s="172"/>
      <c r="V3" s="262" t="s">
        <v>47</v>
      </c>
    </row>
    <row r="4" spans="2:22" ht="16.5" thickBot="1" x14ac:dyDescent="0.3">
      <c r="B4" s="483" t="str">
        <f>Index!A2</f>
        <v>Period Ending 03/31/2026</v>
      </c>
      <c r="F4" s="539"/>
      <c r="J4" s="539"/>
      <c r="K4" s="539"/>
      <c r="L4" s="539"/>
      <c r="M4" s="539"/>
      <c r="N4" s="539"/>
      <c r="V4" s="238" t="s">
        <v>36</v>
      </c>
    </row>
    <row r="5" spans="2:22" ht="16.5" thickBot="1" x14ac:dyDescent="0.3">
      <c r="B5" s="718"/>
      <c r="C5" s="538"/>
      <c r="D5" s="538"/>
      <c r="F5" s="540"/>
      <c r="G5" s="538"/>
      <c r="H5" s="538"/>
      <c r="J5" s="540"/>
      <c r="K5" s="540"/>
      <c r="L5" s="540"/>
      <c r="M5" s="540"/>
      <c r="N5" s="540"/>
      <c r="V5" s="262" t="s">
        <v>34</v>
      </c>
    </row>
    <row r="6" spans="2:22" x14ac:dyDescent="0.25">
      <c r="B6" s="864"/>
      <c r="C6" s="866">
        <v>46023</v>
      </c>
      <c r="D6" s="867"/>
      <c r="E6" s="867"/>
      <c r="F6" s="868"/>
      <c r="G6" s="866">
        <v>46054</v>
      </c>
      <c r="H6" s="867"/>
      <c r="I6" s="867"/>
      <c r="J6" s="868"/>
      <c r="K6" s="866">
        <v>46082</v>
      </c>
      <c r="L6" s="867"/>
      <c r="M6" s="867"/>
      <c r="N6" s="868"/>
      <c r="O6" s="862" t="s">
        <v>145</v>
      </c>
      <c r="P6" s="862"/>
      <c r="Q6" s="862"/>
      <c r="R6" s="863"/>
      <c r="S6" s="860" t="s">
        <v>176</v>
      </c>
      <c r="T6" s="858" t="s">
        <v>177</v>
      </c>
      <c r="U6" s="858" t="s">
        <v>178</v>
      </c>
      <c r="V6" s="238"/>
    </row>
    <row r="7" spans="2:22" ht="15.75" thickBot="1" x14ac:dyDescent="0.3">
      <c r="B7" s="865"/>
      <c r="C7" s="721" t="s">
        <v>179</v>
      </c>
      <c r="D7" s="721" t="s">
        <v>180</v>
      </c>
      <c r="E7" s="721" t="s">
        <v>181</v>
      </c>
      <c r="F7" s="730" t="s">
        <v>182</v>
      </c>
      <c r="G7" s="721" t="s">
        <v>179</v>
      </c>
      <c r="H7" s="721" t="s">
        <v>180</v>
      </c>
      <c r="I7" s="721" t="s">
        <v>181</v>
      </c>
      <c r="J7" s="730" t="s">
        <v>182</v>
      </c>
      <c r="K7" s="721" t="s">
        <v>179</v>
      </c>
      <c r="L7" s="721" t="s">
        <v>180</v>
      </c>
      <c r="M7" s="721" t="s">
        <v>181</v>
      </c>
      <c r="N7" s="730" t="s">
        <v>182</v>
      </c>
      <c r="O7" s="722" t="s">
        <v>179</v>
      </c>
      <c r="P7" s="722" t="s">
        <v>180</v>
      </c>
      <c r="Q7" s="722" t="s">
        <v>181</v>
      </c>
      <c r="R7" s="725" t="s">
        <v>182</v>
      </c>
      <c r="S7" s="861"/>
      <c r="T7" s="859"/>
      <c r="U7" s="859"/>
    </row>
    <row r="8" spans="2:22" x14ac:dyDescent="0.25">
      <c r="B8" s="384" t="s">
        <v>183</v>
      </c>
      <c r="C8" s="170"/>
      <c r="D8" s="170"/>
      <c r="E8" s="170"/>
      <c r="F8" s="472"/>
      <c r="G8" s="170"/>
      <c r="H8" s="170"/>
      <c r="I8" s="170"/>
      <c r="J8" s="472"/>
      <c r="K8" s="170"/>
      <c r="L8" s="170"/>
      <c r="M8" s="170"/>
      <c r="N8" s="472"/>
      <c r="O8" s="170"/>
      <c r="P8" s="170"/>
      <c r="Q8" s="170"/>
      <c r="R8" s="472"/>
      <c r="S8" s="713"/>
      <c r="T8" s="541"/>
      <c r="U8" s="541"/>
    </row>
    <row r="9" spans="2:22" x14ac:dyDescent="0.25">
      <c r="B9" s="381" t="s">
        <v>184</v>
      </c>
      <c r="C9" s="225">
        <f>206737.15</f>
        <v>206737.15</v>
      </c>
      <c r="D9" s="225">
        <f>345833.33</f>
        <v>345833.33</v>
      </c>
      <c r="E9" s="225">
        <f>(C9)-(D9)</f>
        <v>-139096.18000000002</v>
      </c>
      <c r="F9" s="480">
        <f>IF(D9=0,"",(C9)/(D9))</f>
        <v>0.59779417443657035</v>
      </c>
      <c r="G9" s="225">
        <f>221461.62</f>
        <v>221461.62</v>
      </c>
      <c r="H9" s="225">
        <f>345833.33</f>
        <v>345833.33</v>
      </c>
      <c r="I9" s="225">
        <f>(G9)-(H9)</f>
        <v>-124371.71000000002</v>
      </c>
      <c r="J9" s="480">
        <f>IF(H9=0,"",(G9)/(H9))</f>
        <v>0.64037095556984047</v>
      </c>
      <c r="K9" s="225">
        <f>289563.38</f>
        <v>289563.38</v>
      </c>
      <c r="L9" s="225">
        <f>345833.33</f>
        <v>345833.33</v>
      </c>
      <c r="M9" s="225">
        <f>(K9)-(L9)</f>
        <v>-56269.950000000012</v>
      </c>
      <c r="N9" s="480">
        <f>IF(L9=0,"",(K9)/(L9))</f>
        <v>0.83729170927510077</v>
      </c>
      <c r="O9" s="225">
        <f t="shared" ref="O9:P11" si="0">((C9)+(G9))+(K9)</f>
        <v>717762.15</v>
      </c>
      <c r="P9" s="225">
        <f t="shared" si="0"/>
        <v>1037499.99</v>
      </c>
      <c r="Q9" s="225">
        <f>(O9)-(P9)</f>
        <v>-319737.83999999997</v>
      </c>
      <c r="R9" s="480">
        <f>IF(P9=0,"",(O9)/(P9))</f>
        <v>0.69181894642717057</v>
      </c>
      <c r="S9" s="714"/>
      <c r="T9" s="541"/>
      <c r="U9" s="541"/>
    </row>
    <row r="10" spans="2:22" x14ac:dyDescent="0.25">
      <c r="B10" s="381" t="s">
        <v>185</v>
      </c>
      <c r="C10" s="225">
        <f>-1952.59</f>
        <v>-1952.59</v>
      </c>
      <c r="D10" s="170"/>
      <c r="E10" s="170">
        <f>(C10)-(D10)</f>
        <v>-1952.59</v>
      </c>
      <c r="F10" s="480" t="str">
        <f>IF(D10=0,"",(C10)/(D10))</f>
        <v/>
      </c>
      <c r="G10" s="225">
        <f>-515.62</f>
        <v>-515.62</v>
      </c>
      <c r="H10" s="170"/>
      <c r="I10" s="170">
        <f>(G10)-(H10)</f>
        <v>-515.62</v>
      </c>
      <c r="J10" s="480" t="str">
        <f>IF(H10=0,"",(G10)/(H10))</f>
        <v/>
      </c>
      <c r="K10" s="225">
        <f>-895.52</f>
        <v>-895.52</v>
      </c>
      <c r="L10" s="170"/>
      <c r="M10" s="170">
        <f>(K10)-(L10)</f>
        <v>-895.52</v>
      </c>
      <c r="N10" s="480" t="str">
        <f>IF(L10=0,"",(K10)/(L10))</f>
        <v/>
      </c>
      <c r="O10" s="225">
        <f t="shared" si="0"/>
        <v>-3363.73</v>
      </c>
      <c r="P10" s="225">
        <f t="shared" si="0"/>
        <v>0</v>
      </c>
      <c r="Q10" s="225">
        <f>(O10)-(P10)</f>
        <v>-3363.73</v>
      </c>
      <c r="R10" s="480" t="str">
        <f>IF(P10=0,"",(O10)/(P10))</f>
        <v/>
      </c>
      <c r="S10" s="714"/>
      <c r="T10" s="541"/>
      <c r="U10" s="541"/>
    </row>
    <row r="11" spans="2:22" ht="45" x14ac:dyDescent="0.25">
      <c r="B11" s="399" t="s">
        <v>186</v>
      </c>
      <c r="C11" s="723">
        <f>(C9)+(C10)</f>
        <v>204784.56</v>
      </c>
      <c r="D11" s="723">
        <f>(D9)+(D10)</f>
        <v>345833.33</v>
      </c>
      <c r="E11" s="723">
        <f>(C11)-(D11)</f>
        <v>-141048.77000000002</v>
      </c>
      <c r="F11" s="726">
        <f>IF(D11=0,"",(C11)/(D11))</f>
        <v>0.5921481310086566</v>
      </c>
      <c r="G11" s="723">
        <f>(G9)+(G10)</f>
        <v>220946</v>
      </c>
      <c r="H11" s="723">
        <f>(H9)+(H10)</f>
        <v>345833.33</v>
      </c>
      <c r="I11" s="723">
        <f>(G11)-(H11)</f>
        <v>-124887.33000000002</v>
      </c>
      <c r="J11" s="726">
        <f>IF(H11=0,"",(G11)/(H11))</f>
        <v>0.63888000615787954</v>
      </c>
      <c r="K11" s="723">
        <f>(K9)+(K10)</f>
        <v>288667.86</v>
      </c>
      <c r="L11" s="723">
        <f>(L9)+(L10)</f>
        <v>345833.33</v>
      </c>
      <c r="M11" s="723">
        <f>(K11)-(L11)</f>
        <v>-57165.47000000003</v>
      </c>
      <c r="N11" s="726">
        <f>IF(L11=0,"",(K11)/(L11))</f>
        <v>0.83470225382845542</v>
      </c>
      <c r="O11" s="723">
        <f t="shared" si="0"/>
        <v>714398.41999999993</v>
      </c>
      <c r="P11" s="723">
        <f t="shared" si="0"/>
        <v>1037499.99</v>
      </c>
      <c r="Q11" s="723">
        <f>(O11)-(P11)</f>
        <v>-323101.57000000007</v>
      </c>
      <c r="R11" s="726">
        <f>IF(P11=0,"",(O11)/(P11))</f>
        <v>0.68857679699833052</v>
      </c>
      <c r="S11" s="787" t="s">
        <v>1474</v>
      </c>
      <c r="T11" s="541"/>
      <c r="U11" s="541"/>
    </row>
    <row r="12" spans="2:22" x14ac:dyDescent="0.25">
      <c r="B12" s="384" t="s">
        <v>187</v>
      </c>
      <c r="C12" s="170"/>
      <c r="D12" s="170"/>
      <c r="E12" s="170"/>
      <c r="F12" s="472"/>
      <c r="G12" s="170"/>
      <c r="H12" s="170"/>
      <c r="I12" s="170"/>
      <c r="J12" s="472"/>
      <c r="K12" s="170"/>
      <c r="L12" s="170"/>
      <c r="M12" s="170"/>
      <c r="N12" s="472"/>
      <c r="O12" s="170"/>
      <c r="P12" s="170"/>
      <c r="Q12" s="170"/>
      <c r="R12" s="472"/>
      <c r="S12" s="713"/>
      <c r="T12" s="541"/>
      <c r="U12" s="541"/>
    </row>
    <row r="13" spans="2:22" x14ac:dyDescent="0.25">
      <c r="B13" s="381" t="s">
        <v>188</v>
      </c>
      <c r="C13" s="225">
        <f>29209.55</f>
        <v>29209.55</v>
      </c>
      <c r="D13" s="225">
        <f>44958.33</f>
        <v>44958.33</v>
      </c>
      <c r="E13" s="225">
        <f t="shared" ref="E13:E19" si="1">(C13)-(D13)</f>
        <v>-15748.780000000002</v>
      </c>
      <c r="F13" s="480">
        <f t="shared" ref="F13:F19" si="2">IF(D13=0,"",(C13)/(D13))</f>
        <v>0.64970273584450311</v>
      </c>
      <c r="G13" s="225">
        <f>23283.51</f>
        <v>23283.51</v>
      </c>
      <c r="H13" s="225">
        <f>44958.33</f>
        <v>44958.33</v>
      </c>
      <c r="I13" s="225">
        <f t="shared" ref="I13:I19" si="3">(G13)-(H13)</f>
        <v>-21674.820000000003</v>
      </c>
      <c r="J13" s="480">
        <f t="shared" ref="J13:J19" si="4">IF(H13=0,"",(G13)/(H13))</f>
        <v>0.51789090030701757</v>
      </c>
      <c r="K13" s="225">
        <f>34847.91</f>
        <v>34847.910000000003</v>
      </c>
      <c r="L13" s="225">
        <f>44958.33</f>
        <v>44958.33</v>
      </c>
      <c r="M13" s="225">
        <f t="shared" ref="M13:M19" si="5">(K13)-(L13)</f>
        <v>-10110.419999999998</v>
      </c>
      <c r="N13" s="480">
        <f t="shared" ref="N13:N19" si="6">IF(L13=0,"",(K13)/(L13))</f>
        <v>0.7751157571911591</v>
      </c>
      <c r="O13" s="225">
        <f t="shared" ref="O13:P19" si="7">((C13)+(G13))+(K13)</f>
        <v>87340.97</v>
      </c>
      <c r="P13" s="225">
        <f t="shared" si="7"/>
        <v>134874.99</v>
      </c>
      <c r="Q13" s="225">
        <f t="shared" ref="Q13:Q19" si="8">(O13)-(P13)</f>
        <v>-47534.01999999999</v>
      </c>
      <c r="R13" s="480">
        <f t="shared" ref="R13:R19" si="9">IF(P13=0,"",(O13)/(P13))</f>
        <v>0.6475697977808933</v>
      </c>
      <c r="S13" s="713"/>
      <c r="T13" s="542"/>
      <c r="U13" s="542"/>
    </row>
    <row r="14" spans="2:22" x14ac:dyDescent="0.25">
      <c r="B14" s="381" t="s">
        <v>1278</v>
      </c>
      <c r="C14" s="225"/>
      <c r="D14" s="170"/>
      <c r="E14" s="170">
        <f t="shared" si="1"/>
        <v>0</v>
      </c>
      <c r="F14" s="480" t="str">
        <f t="shared" si="2"/>
        <v/>
      </c>
      <c r="G14" s="225"/>
      <c r="H14" s="170"/>
      <c r="I14" s="170">
        <f t="shared" si="3"/>
        <v>0</v>
      </c>
      <c r="J14" s="480" t="str">
        <f t="shared" si="4"/>
        <v/>
      </c>
      <c r="K14" s="225">
        <v>0</v>
      </c>
      <c r="L14" s="170"/>
      <c r="M14" s="170">
        <f t="shared" si="5"/>
        <v>0</v>
      </c>
      <c r="N14" s="480" t="str">
        <f t="shared" si="6"/>
        <v/>
      </c>
      <c r="O14" s="225">
        <f t="shared" si="7"/>
        <v>0</v>
      </c>
      <c r="P14" s="225">
        <f t="shared" si="7"/>
        <v>0</v>
      </c>
      <c r="Q14" s="225">
        <f t="shared" si="8"/>
        <v>0</v>
      </c>
      <c r="R14" s="480" t="str">
        <f t="shared" si="9"/>
        <v/>
      </c>
      <c r="S14" s="715"/>
      <c r="T14" s="543"/>
      <c r="U14" s="543"/>
    </row>
    <row r="15" spans="2:22" x14ac:dyDescent="0.25">
      <c r="B15" s="381" t="s">
        <v>189</v>
      </c>
      <c r="C15" s="225">
        <f>90285.21</f>
        <v>90285.21</v>
      </c>
      <c r="D15" s="225">
        <f>76465.59</f>
        <v>76465.59</v>
      </c>
      <c r="E15" s="225">
        <f t="shared" si="1"/>
        <v>13819.62000000001</v>
      </c>
      <c r="F15" s="480">
        <f t="shared" si="2"/>
        <v>1.1807299204779562</v>
      </c>
      <c r="G15" s="225">
        <f>86016.39</f>
        <v>86016.39</v>
      </c>
      <c r="H15" s="225">
        <f>76465.59</f>
        <v>76465.59</v>
      </c>
      <c r="I15" s="225">
        <f t="shared" si="3"/>
        <v>9550.8000000000029</v>
      </c>
      <c r="J15" s="480">
        <f t="shared" si="4"/>
        <v>1.124903240791054</v>
      </c>
      <c r="K15" s="225">
        <f>97713.83</f>
        <v>97713.83</v>
      </c>
      <c r="L15" s="225">
        <f>76465.59</f>
        <v>76465.59</v>
      </c>
      <c r="M15" s="225">
        <f t="shared" si="5"/>
        <v>21248.240000000005</v>
      </c>
      <c r="N15" s="480">
        <f t="shared" si="6"/>
        <v>1.2778797626487941</v>
      </c>
      <c r="O15" s="225">
        <f t="shared" si="7"/>
        <v>274015.43</v>
      </c>
      <c r="P15" s="225">
        <f t="shared" si="7"/>
        <v>229396.77</v>
      </c>
      <c r="Q15" s="225">
        <f t="shared" si="8"/>
        <v>44618.66</v>
      </c>
      <c r="R15" s="480">
        <f t="shared" si="9"/>
        <v>1.1945043079726014</v>
      </c>
      <c r="S15" s="715"/>
      <c r="T15" s="541"/>
      <c r="U15" s="541"/>
    </row>
    <row r="16" spans="2:22" x14ac:dyDescent="0.25">
      <c r="B16" s="381" t="s">
        <v>190</v>
      </c>
      <c r="C16" s="225">
        <f>9791.27</f>
        <v>9791.27</v>
      </c>
      <c r="D16" s="225">
        <f>6117.25</f>
        <v>6117.25</v>
      </c>
      <c r="E16" s="225">
        <f t="shared" si="1"/>
        <v>3674.0200000000004</v>
      </c>
      <c r="F16" s="480">
        <f t="shared" si="2"/>
        <v>1.6005999427847482</v>
      </c>
      <c r="G16" s="225">
        <f>7407.13</f>
        <v>7407.13</v>
      </c>
      <c r="H16" s="225">
        <f>6117.25</f>
        <v>6117.25</v>
      </c>
      <c r="I16" s="225">
        <f t="shared" si="3"/>
        <v>1289.8800000000001</v>
      </c>
      <c r="J16" s="480">
        <f t="shared" si="4"/>
        <v>1.210859454820385</v>
      </c>
      <c r="K16" s="225">
        <f>8070.23</f>
        <v>8070.23</v>
      </c>
      <c r="L16" s="225">
        <f>6117.25</f>
        <v>6117.25</v>
      </c>
      <c r="M16" s="225">
        <f t="shared" si="5"/>
        <v>1952.9799999999996</v>
      </c>
      <c r="N16" s="480">
        <f t="shared" si="6"/>
        <v>1.3192578364461154</v>
      </c>
      <c r="O16" s="225">
        <f t="shared" si="7"/>
        <v>25268.63</v>
      </c>
      <c r="P16" s="225">
        <f t="shared" si="7"/>
        <v>18351.75</v>
      </c>
      <c r="Q16" s="225">
        <f t="shared" si="8"/>
        <v>6916.880000000001</v>
      </c>
      <c r="R16" s="480">
        <f t="shared" si="9"/>
        <v>1.3769057446837496</v>
      </c>
      <c r="S16" s="714"/>
      <c r="T16" s="541"/>
      <c r="U16" s="541"/>
    </row>
    <row r="17" spans="2:21" x14ac:dyDescent="0.25">
      <c r="B17" s="827" t="s">
        <v>191</v>
      </c>
      <c r="C17" s="832">
        <f>3351.49</f>
        <v>3351.49</v>
      </c>
      <c r="D17" s="832">
        <f>3058.62</f>
        <v>3058.62</v>
      </c>
      <c r="E17" s="832">
        <f t="shared" si="1"/>
        <v>292.86999999999989</v>
      </c>
      <c r="F17" s="833">
        <f t="shared" si="2"/>
        <v>1.0957523327513714</v>
      </c>
      <c r="G17" s="832">
        <f>3877.27</f>
        <v>3877.27</v>
      </c>
      <c r="H17" s="832">
        <f>3058.62</f>
        <v>3058.62</v>
      </c>
      <c r="I17" s="832">
        <f t="shared" si="3"/>
        <v>818.65000000000009</v>
      </c>
      <c r="J17" s="833">
        <f t="shared" si="4"/>
        <v>1.267653386167618</v>
      </c>
      <c r="K17" s="832">
        <f>4829.13</f>
        <v>4829.13</v>
      </c>
      <c r="L17" s="832">
        <f>3058.62</f>
        <v>3058.62</v>
      </c>
      <c r="M17" s="832">
        <f t="shared" si="5"/>
        <v>1770.5100000000002</v>
      </c>
      <c r="N17" s="833">
        <f t="shared" si="6"/>
        <v>1.5788590933165938</v>
      </c>
      <c r="O17" s="832">
        <f t="shared" si="7"/>
        <v>12057.89</v>
      </c>
      <c r="P17" s="832">
        <f t="shared" si="7"/>
        <v>9175.86</v>
      </c>
      <c r="Q17" s="832">
        <f t="shared" si="8"/>
        <v>2882.0299999999988</v>
      </c>
      <c r="R17" s="833">
        <f t="shared" si="9"/>
        <v>1.3140882707451944</v>
      </c>
      <c r="S17" s="714"/>
      <c r="T17" s="541"/>
      <c r="U17" s="541"/>
    </row>
    <row r="18" spans="2:21" x14ac:dyDescent="0.25">
      <c r="B18" s="399" t="s">
        <v>192</v>
      </c>
      <c r="C18" s="723">
        <f>((((C13)+(C14))+(C15))+(C16))+(C17)</f>
        <v>132637.52000000002</v>
      </c>
      <c r="D18" s="723">
        <f>((((D13)+(D14))+(D15))+(D16))+(D17)</f>
        <v>130599.79</v>
      </c>
      <c r="E18" s="723">
        <f t="shared" si="1"/>
        <v>2037.730000000025</v>
      </c>
      <c r="F18" s="726">
        <f t="shared" si="2"/>
        <v>1.0156028581669236</v>
      </c>
      <c r="G18" s="723">
        <f>((((G13)+(G14))+(G15))+(G16))+(G17)</f>
        <v>120584.3</v>
      </c>
      <c r="H18" s="723">
        <f>((((H13)+(H14))+(H15))+(H16))+(H17)</f>
        <v>130599.79</v>
      </c>
      <c r="I18" s="723">
        <f t="shared" si="3"/>
        <v>-10015.489999999991</v>
      </c>
      <c r="J18" s="726">
        <f t="shared" si="4"/>
        <v>0.92331159184865463</v>
      </c>
      <c r="K18" s="723">
        <f>((((K13)+(K14))+(K15))+(K16))+(K17)</f>
        <v>145461.1</v>
      </c>
      <c r="L18" s="723">
        <f>((((L13)+(L14))+(L15))+(L16))+(L17)</f>
        <v>130599.79</v>
      </c>
      <c r="M18" s="723">
        <f t="shared" si="5"/>
        <v>14861.310000000012</v>
      </c>
      <c r="N18" s="726">
        <f t="shared" si="6"/>
        <v>1.1137927557157634</v>
      </c>
      <c r="O18" s="723">
        <f t="shared" si="7"/>
        <v>398682.92000000004</v>
      </c>
      <c r="P18" s="723">
        <f t="shared" si="7"/>
        <v>391799.37</v>
      </c>
      <c r="Q18" s="723">
        <f t="shared" si="8"/>
        <v>6883.5500000000466</v>
      </c>
      <c r="R18" s="726">
        <f t="shared" si="9"/>
        <v>1.0175690685771139</v>
      </c>
      <c r="S18" s="714"/>
      <c r="T18" s="738">
        <f>K18/$K$11</f>
        <v>0.50390472981647494</v>
      </c>
      <c r="U18" s="738">
        <f>L18/$L$11</f>
        <v>0.37763795062783562</v>
      </c>
    </row>
    <row r="19" spans="2:21" ht="45" x14ac:dyDescent="0.25">
      <c r="B19" s="399" t="s">
        <v>152</v>
      </c>
      <c r="C19" s="723">
        <f>(C11)-(C18)</f>
        <v>72147.039999999979</v>
      </c>
      <c r="D19" s="723">
        <f>(D11)-(D18)</f>
        <v>215233.54000000004</v>
      </c>
      <c r="E19" s="723">
        <f t="shared" si="1"/>
        <v>-143086.50000000006</v>
      </c>
      <c r="F19" s="726">
        <f t="shared" si="2"/>
        <v>0.33520351893111067</v>
      </c>
      <c r="G19" s="723">
        <f>(G11)-(G18)</f>
        <v>100361.7</v>
      </c>
      <c r="H19" s="723">
        <f>(H11)-(H18)</f>
        <v>215233.54000000004</v>
      </c>
      <c r="I19" s="723">
        <f t="shared" si="3"/>
        <v>-114871.84000000004</v>
      </c>
      <c r="J19" s="726">
        <f t="shared" si="4"/>
        <v>0.46629210298729457</v>
      </c>
      <c r="K19" s="723">
        <f>(K11)-(K18)</f>
        <v>143206.75999999998</v>
      </c>
      <c r="L19" s="723">
        <f>(L11)-(L18)</f>
        <v>215233.54000000004</v>
      </c>
      <c r="M19" s="723">
        <f t="shared" si="5"/>
        <v>-72026.780000000057</v>
      </c>
      <c r="N19" s="726">
        <f t="shared" si="6"/>
        <v>0.66535522298244021</v>
      </c>
      <c r="O19" s="723">
        <f t="shared" si="7"/>
        <v>315715.5</v>
      </c>
      <c r="P19" s="723">
        <f t="shared" si="7"/>
        <v>645700.62000000011</v>
      </c>
      <c r="Q19" s="723">
        <f t="shared" si="8"/>
        <v>-329985.12000000011</v>
      </c>
      <c r="R19" s="726">
        <f t="shared" si="9"/>
        <v>0.4889502816336152</v>
      </c>
      <c r="S19" s="787" t="s">
        <v>1475</v>
      </c>
      <c r="T19" s="738">
        <f>K19/$K$11</f>
        <v>0.49609527018352506</v>
      </c>
      <c r="U19" s="738">
        <f>L19/$L$11</f>
        <v>0.62236204937216444</v>
      </c>
    </row>
    <row r="20" spans="2:21" x14ac:dyDescent="0.25">
      <c r="B20" s="381" t="s">
        <v>193</v>
      </c>
      <c r="C20" s="170"/>
      <c r="D20" s="170"/>
      <c r="E20" s="170"/>
      <c r="F20" s="472"/>
      <c r="G20" s="170"/>
      <c r="H20" s="170"/>
      <c r="I20" s="170"/>
      <c r="J20" s="472"/>
      <c r="K20" s="170"/>
      <c r="L20" s="170"/>
      <c r="M20" s="170"/>
      <c r="N20" s="472"/>
      <c r="O20" s="170"/>
      <c r="P20" s="170"/>
      <c r="Q20" s="170"/>
      <c r="R20" s="472"/>
      <c r="S20" s="714"/>
      <c r="T20" s="541"/>
      <c r="U20" s="541"/>
    </row>
    <row r="21" spans="2:21" x14ac:dyDescent="0.25">
      <c r="B21" s="382" t="s">
        <v>194</v>
      </c>
      <c r="C21" s="170"/>
      <c r="D21" s="170"/>
      <c r="E21" s="170">
        <f t="shared" ref="E21:E76" si="10">(C21)-(D21)</f>
        <v>0</v>
      </c>
      <c r="F21" s="480" t="str">
        <f t="shared" ref="F21:F76" si="11">IF(D21=0,"",(C21)/(D21))</f>
        <v/>
      </c>
      <c r="G21" s="170"/>
      <c r="H21" s="170"/>
      <c r="I21" s="170">
        <f t="shared" ref="I21:I76" si="12">(G21)-(H21)</f>
        <v>0</v>
      </c>
      <c r="J21" s="480" t="str">
        <f t="shared" ref="J21:J76" si="13">IF(H21=0,"",(G21)/(H21))</f>
        <v/>
      </c>
      <c r="K21" s="170"/>
      <c r="L21" s="170"/>
      <c r="M21" s="170">
        <f t="shared" ref="M21:M76" si="14">(K21)-(L21)</f>
        <v>0</v>
      </c>
      <c r="N21" s="480" t="str">
        <f t="shared" ref="N21:N76" si="15">IF(L21=0,"",(K21)/(L21))</f>
        <v/>
      </c>
      <c r="O21" s="225">
        <f t="shared" ref="O21:O52" si="16">((C21)+(G21))+(K21)</f>
        <v>0</v>
      </c>
      <c r="P21" s="225">
        <f t="shared" ref="P21:P52" si="17">((D21)+(H21))+(L21)</f>
        <v>0</v>
      </c>
      <c r="Q21" s="225">
        <f t="shared" ref="Q21:Q76" si="18">(O21)-(P21)</f>
        <v>0</v>
      </c>
      <c r="R21" s="480" t="str">
        <f t="shared" ref="R21:R76" si="19">IF(P21=0,"",(O21)/(P21))</f>
        <v/>
      </c>
      <c r="S21" s="716"/>
      <c r="T21" s="541"/>
      <c r="U21" s="541"/>
    </row>
    <row r="22" spans="2:21" x14ac:dyDescent="0.25">
      <c r="B22" s="382" t="s">
        <v>195</v>
      </c>
      <c r="C22" s="225">
        <f>23690.14</f>
        <v>23690.14</v>
      </c>
      <c r="D22" s="225">
        <f>21626.45</f>
        <v>21626.45</v>
      </c>
      <c r="E22" s="225">
        <f t="shared" si="10"/>
        <v>2063.6899999999987</v>
      </c>
      <c r="F22" s="480">
        <f t="shared" si="11"/>
        <v>1.0954243530491596</v>
      </c>
      <c r="G22" s="225">
        <f>19384.61</f>
        <v>19384.61</v>
      </c>
      <c r="H22" s="225">
        <f>21626.45</f>
        <v>21626.45</v>
      </c>
      <c r="I22" s="225">
        <f t="shared" si="12"/>
        <v>-2241.84</v>
      </c>
      <c r="J22" s="480">
        <f t="shared" si="13"/>
        <v>0.89633804900943059</v>
      </c>
      <c r="K22" s="225">
        <f>21461.53</f>
        <v>21461.53</v>
      </c>
      <c r="L22" s="225">
        <f>21626.45</f>
        <v>21626.45</v>
      </c>
      <c r="M22" s="225">
        <f t="shared" si="14"/>
        <v>-164.92000000000189</v>
      </c>
      <c r="N22" s="480">
        <f t="shared" si="15"/>
        <v>0.99237415294696996</v>
      </c>
      <c r="O22" s="225">
        <f t="shared" si="16"/>
        <v>64536.28</v>
      </c>
      <c r="P22" s="225">
        <f t="shared" si="17"/>
        <v>64879.350000000006</v>
      </c>
      <c r="Q22" s="225">
        <f t="shared" si="18"/>
        <v>-343.07000000000698</v>
      </c>
      <c r="R22" s="480">
        <f t="shared" si="19"/>
        <v>0.99471218500185332</v>
      </c>
      <c r="S22" s="714"/>
      <c r="T22" s="541"/>
      <c r="U22" s="541"/>
    </row>
    <row r="23" spans="2:21" x14ac:dyDescent="0.25">
      <c r="B23" s="382" t="s">
        <v>196</v>
      </c>
      <c r="C23" s="225">
        <f>1899.81</f>
        <v>1899.81</v>
      </c>
      <c r="D23" s="225">
        <f>1730.12</f>
        <v>1730.12</v>
      </c>
      <c r="E23" s="225">
        <f t="shared" si="10"/>
        <v>169.69000000000005</v>
      </c>
      <c r="F23" s="480">
        <f t="shared" si="11"/>
        <v>1.0980799019721177</v>
      </c>
      <c r="G23" s="225">
        <f>1358.66</f>
        <v>1358.66</v>
      </c>
      <c r="H23" s="225">
        <f>1730.12</f>
        <v>1730.12</v>
      </c>
      <c r="I23" s="225">
        <f t="shared" si="12"/>
        <v>-371.45999999999981</v>
      </c>
      <c r="J23" s="480">
        <f t="shared" si="13"/>
        <v>0.78529812960950696</v>
      </c>
      <c r="K23" s="225">
        <f>3998.69</f>
        <v>3998.69</v>
      </c>
      <c r="L23" s="225">
        <f>1730.12</f>
        <v>1730.12</v>
      </c>
      <c r="M23" s="225">
        <f t="shared" si="14"/>
        <v>2268.5700000000002</v>
      </c>
      <c r="N23" s="480">
        <f t="shared" si="15"/>
        <v>2.3112211869696901</v>
      </c>
      <c r="O23" s="225">
        <f t="shared" si="16"/>
        <v>7257.16</v>
      </c>
      <c r="P23" s="225">
        <f t="shared" si="17"/>
        <v>5190.3599999999997</v>
      </c>
      <c r="Q23" s="225">
        <f t="shared" si="18"/>
        <v>2066.8000000000002</v>
      </c>
      <c r="R23" s="480">
        <f t="shared" si="19"/>
        <v>1.3981997395171049</v>
      </c>
      <c r="S23" s="714"/>
      <c r="T23" s="541"/>
      <c r="U23" s="541"/>
    </row>
    <row r="24" spans="2:21" x14ac:dyDescent="0.25">
      <c r="B24" s="382" t="s">
        <v>197</v>
      </c>
      <c r="C24" s="225">
        <f>525.64</f>
        <v>525.64</v>
      </c>
      <c r="D24" s="225">
        <f>865.06</f>
        <v>865.06</v>
      </c>
      <c r="E24" s="225">
        <f t="shared" si="10"/>
        <v>-339.41999999999996</v>
      </c>
      <c r="F24" s="480">
        <f t="shared" si="11"/>
        <v>0.60763415254433217</v>
      </c>
      <c r="G24" s="225">
        <f>781.15</f>
        <v>781.15</v>
      </c>
      <c r="H24" s="225">
        <f>865.06</f>
        <v>865.06</v>
      </c>
      <c r="I24" s="225">
        <f t="shared" si="12"/>
        <v>-83.909999999999968</v>
      </c>
      <c r="J24" s="480">
        <f t="shared" si="13"/>
        <v>0.90300094791112762</v>
      </c>
      <c r="K24" s="225">
        <f>1159.91</f>
        <v>1159.9100000000001</v>
      </c>
      <c r="L24" s="225">
        <f>865.06</f>
        <v>865.06</v>
      </c>
      <c r="M24" s="225">
        <f t="shared" si="14"/>
        <v>294.85000000000014</v>
      </c>
      <c r="N24" s="480">
        <f t="shared" si="15"/>
        <v>1.3408434097056854</v>
      </c>
      <c r="O24" s="465">
        <f t="shared" si="16"/>
        <v>2466.6999999999998</v>
      </c>
      <c r="P24" s="225">
        <f t="shared" si="17"/>
        <v>2595.1799999999998</v>
      </c>
      <c r="Q24" s="225">
        <f t="shared" si="18"/>
        <v>-128.48000000000002</v>
      </c>
      <c r="R24" s="480">
        <f t="shared" si="19"/>
        <v>0.95049283672038165</v>
      </c>
      <c r="S24" s="714"/>
      <c r="T24" s="541"/>
      <c r="U24" s="541"/>
    </row>
    <row r="25" spans="2:21" x14ac:dyDescent="0.25">
      <c r="B25" s="827" t="s">
        <v>198</v>
      </c>
      <c r="C25" s="837"/>
      <c r="D25" s="832">
        <f>821.81</f>
        <v>821.81</v>
      </c>
      <c r="E25" s="832">
        <f t="shared" si="10"/>
        <v>-821.81</v>
      </c>
      <c r="F25" s="833">
        <f t="shared" si="11"/>
        <v>0</v>
      </c>
      <c r="G25" s="837"/>
      <c r="H25" s="832">
        <f>821.81</f>
        <v>821.81</v>
      </c>
      <c r="I25" s="832">
        <f t="shared" si="12"/>
        <v>-821.81</v>
      </c>
      <c r="J25" s="833">
        <f t="shared" si="13"/>
        <v>0</v>
      </c>
      <c r="K25" s="837"/>
      <c r="L25" s="832">
        <f>821.81</f>
        <v>821.81</v>
      </c>
      <c r="M25" s="832">
        <f t="shared" si="14"/>
        <v>-821.81</v>
      </c>
      <c r="N25" s="833">
        <f t="shared" si="15"/>
        <v>0</v>
      </c>
      <c r="O25" s="832">
        <f t="shared" si="16"/>
        <v>0</v>
      </c>
      <c r="P25" s="832">
        <f t="shared" si="17"/>
        <v>2465.4299999999998</v>
      </c>
      <c r="Q25" s="832">
        <f t="shared" si="18"/>
        <v>-2465.4299999999998</v>
      </c>
      <c r="R25" s="833">
        <f t="shared" si="19"/>
        <v>0</v>
      </c>
      <c r="S25" s="714"/>
      <c r="T25" s="541"/>
      <c r="U25" s="541"/>
    </row>
    <row r="26" spans="2:21" x14ac:dyDescent="0.25">
      <c r="B26" s="381" t="s">
        <v>199</v>
      </c>
      <c r="C26" s="225">
        <f>((((C21)+(C22))+(C23))+(C24))+(C25)</f>
        <v>26115.59</v>
      </c>
      <c r="D26" s="225">
        <f>((((D21)+(D22))+(D23))+(D24))+(D25)</f>
        <v>25043.440000000002</v>
      </c>
      <c r="E26" s="225">
        <f t="shared" si="10"/>
        <v>1072.1499999999978</v>
      </c>
      <c r="F26" s="480">
        <f t="shared" si="11"/>
        <v>1.0428116105455161</v>
      </c>
      <c r="G26" s="225">
        <f>((((G21)+(G22))+(G23))+(G24))+(G25)</f>
        <v>21524.420000000002</v>
      </c>
      <c r="H26" s="225">
        <f>((((H21)+(H22))+(H23))+(H24))+(H25)</f>
        <v>25043.440000000002</v>
      </c>
      <c r="I26" s="225">
        <f t="shared" si="12"/>
        <v>-3519.0200000000004</v>
      </c>
      <c r="J26" s="480">
        <f t="shared" si="13"/>
        <v>0.85948336171069151</v>
      </c>
      <c r="K26" s="225">
        <f>((((K21)+(K22))+(K23))+(K24))+(K25)</f>
        <v>26620.129999999997</v>
      </c>
      <c r="L26" s="225">
        <f>((((L21)+(L22))+(L23))+(L24))+(L25)</f>
        <v>25043.440000000002</v>
      </c>
      <c r="M26" s="225">
        <f t="shared" si="14"/>
        <v>1576.6899999999951</v>
      </c>
      <c r="N26" s="480">
        <f t="shared" si="15"/>
        <v>1.0629582038250334</v>
      </c>
      <c r="O26" s="225">
        <f t="shared" si="16"/>
        <v>74260.14</v>
      </c>
      <c r="P26" s="225">
        <f t="shared" si="17"/>
        <v>75130.320000000007</v>
      </c>
      <c r="Q26" s="225">
        <f t="shared" si="18"/>
        <v>-870.18000000000757</v>
      </c>
      <c r="R26" s="480">
        <f t="shared" si="19"/>
        <v>0.98841772536041361</v>
      </c>
      <c r="S26" s="714"/>
      <c r="T26" s="738">
        <f>K26/$K$11</f>
        <v>9.2217159194653675E-2</v>
      </c>
      <c r="U26" s="738">
        <f>L26/$L$11</f>
        <v>7.2414766963033908E-2</v>
      </c>
    </row>
    <row r="27" spans="2:21" x14ac:dyDescent="0.25">
      <c r="B27" s="381" t="s">
        <v>200</v>
      </c>
      <c r="C27" s="170">
        <f>1583.92</f>
        <v>1583.92</v>
      </c>
      <c r="D27" s="225">
        <f>100</f>
        <v>100</v>
      </c>
      <c r="E27" s="225">
        <f t="shared" si="10"/>
        <v>1483.92</v>
      </c>
      <c r="F27" s="480">
        <f t="shared" si="11"/>
        <v>15.8392</v>
      </c>
      <c r="G27" s="170">
        <f>-1083.92</f>
        <v>-1083.92</v>
      </c>
      <c r="H27" s="225">
        <f>100</f>
        <v>100</v>
      </c>
      <c r="I27" s="225">
        <f t="shared" si="12"/>
        <v>-1183.92</v>
      </c>
      <c r="J27" s="480">
        <f t="shared" si="13"/>
        <v>-10.8392</v>
      </c>
      <c r="K27" s="170">
        <f>2632.67</f>
        <v>2632.67</v>
      </c>
      <c r="L27" s="225">
        <f>100</f>
        <v>100</v>
      </c>
      <c r="M27" s="225">
        <f t="shared" si="14"/>
        <v>2532.67</v>
      </c>
      <c r="N27" s="480">
        <f t="shared" si="15"/>
        <v>26.326700000000002</v>
      </c>
      <c r="O27" s="225">
        <f t="shared" si="16"/>
        <v>3132.67</v>
      </c>
      <c r="P27" s="225">
        <f t="shared" si="17"/>
        <v>300</v>
      </c>
      <c r="Q27" s="225">
        <f t="shared" si="18"/>
        <v>2832.67</v>
      </c>
      <c r="R27" s="480">
        <f t="shared" si="19"/>
        <v>10.442233333333334</v>
      </c>
      <c r="S27" s="714"/>
      <c r="T27" s="541"/>
      <c r="U27" s="541"/>
    </row>
    <row r="28" spans="2:21" x14ac:dyDescent="0.25">
      <c r="B28" s="381" t="s">
        <v>201</v>
      </c>
      <c r="C28" s="225">
        <f>919.2</f>
        <v>919.2</v>
      </c>
      <c r="D28" s="225">
        <f>830.14</f>
        <v>830.14</v>
      </c>
      <c r="E28" s="225">
        <f t="shared" si="10"/>
        <v>89.060000000000059</v>
      </c>
      <c r="F28" s="480">
        <f t="shared" si="11"/>
        <v>1.1072831088732022</v>
      </c>
      <c r="G28" s="225">
        <f>883.2</f>
        <v>883.2</v>
      </c>
      <c r="H28" s="225">
        <f>830.14</f>
        <v>830.14</v>
      </c>
      <c r="I28" s="225">
        <f t="shared" si="12"/>
        <v>53.060000000000059</v>
      </c>
      <c r="J28" s="480">
        <f t="shared" si="13"/>
        <v>1.0639169296745128</v>
      </c>
      <c r="K28" s="225">
        <f>956</f>
        <v>956</v>
      </c>
      <c r="L28" s="225">
        <f>830.14</f>
        <v>830.14</v>
      </c>
      <c r="M28" s="225">
        <f t="shared" si="14"/>
        <v>125.86000000000001</v>
      </c>
      <c r="N28" s="480">
        <f t="shared" si="15"/>
        <v>1.1516129809429736</v>
      </c>
      <c r="O28" s="225">
        <f t="shared" si="16"/>
        <v>2758.4</v>
      </c>
      <c r="P28" s="225">
        <f t="shared" si="17"/>
        <v>2490.42</v>
      </c>
      <c r="Q28" s="225">
        <f t="shared" si="18"/>
        <v>267.98</v>
      </c>
      <c r="R28" s="480">
        <f t="shared" si="19"/>
        <v>1.1076043398302295</v>
      </c>
      <c r="S28" s="714"/>
      <c r="T28" s="541"/>
      <c r="U28" s="541"/>
    </row>
    <row r="29" spans="2:21" x14ac:dyDescent="0.25">
      <c r="B29" s="381" t="s">
        <v>202</v>
      </c>
      <c r="C29" s="225">
        <f>767.58</f>
        <v>767.58</v>
      </c>
      <c r="D29" s="225">
        <f>1647.22</f>
        <v>1647.22</v>
      </c>
      <c r="E29" s="225">
        <f t="shared" si="10"/>
        <v>-879.64</v>
      </c>
      <c r="F29" s="480">
        <f t="shared" si="11"/>
        <v>0.46598511431381362</v>
      </c>
      <c r="G29" s="225">
        <f>63.72</f>
        <v>63.72</v>
      </c>
      <c r="H29" s="225">
        <f>1647.22</f>
        <v>1647.22</v>
      </c>
      <c r="I29" s="225">
        <f t="shared" si="12"/>
        <v>-1583.5</v>
      </c>
      <c r="J29" s="480">
        <f t="shared" si="13"/>
        <v>3.8683357414310171E-2</v>
      </c>
      <c r="K29" s="225">
        <f>0</f>
        <v>0</v>
      </c>
      <c r="L29" s="225">
        <f>1647.22</f>
        <v>1647.22</v>
      </c>
      <c r="M29" s="225">
        <f t="shared" si="14"/>
        <v>-1647.22</v>
      </c>
      <c r="N29" s="480">
        <f t="shared" si="15"/>
        <v>0</v>
      </c>
      <c r="O29" s="225">
        <f t="shared" si="16"/>
        <v>831.30000000000007</v>
      </c>
      <c r="P29" s="225">
        <f t="shared" si="17"/>
        <v>4941.66</v>
      </c>
      <c r="Q29" s="225">
        <f t="shared" si="18"/>
        <v>-4110.3599999999997</v>
      </c>
      <c r="R29" s="480">
        <f t="shared" si="19"/>
        <v>0.1682228239093746</v>
      </c>
      <c r="S29" s="714"/>
      <c r="T29" s="541"/>
      <c r="U29" s="541"/>
    </row>
    <row r="30" spans="2:21" x14ac:dyDescent="0.25">
      <c r="B30" s="381" t="s">
        <v>203</v>
      </c>
      <c r="C30" s="225">
        <f>103</f>
        <v>103</v>
      </c>
      <c r="D30" s="225">
        <f>250</f>
        <v>250</v>
      </c>
      <c r="E30" s="225">
        <f t="shared" si="10"/>
        <v>-147</v>
      </c>
      <c r="F30" s="480">
        <f t="shared" si="11"/>
        <v>0.41199999999999998</v>
      </c>
      <c r="G30" s="225">
        <f>103</f>
        <v>103</v>
      </c>
      <c r="H30" s="225">
        <f>250</f>
        <v>250</v>
      </c>
      <c r="I30" s="225">
        <f t="shared" si="12"/>
        <v>-147</v>
      </c>
      <c r="J30" s="480">
        <f t="shared" si="13"/>
        <v>0.41199999999999998</v>
      </c>
      <c r="K30" s="225"/>
      <c r="L30" s="225">
        <f>250</f>
        <v>250</v>
      </c>
      <c r="M30" s="225">
        <f t="shared" si="14"/>
        <v>-250</v>
      </c>
      <c r="N30" s="480">
        <f t="shared" si="15"/>
        <v>0</v>
      </c>
      <c r="O30" s="225">
        <f t="shared" si="16"/>
        <v>206</v>
      </c>
      <c r="P30" s="225">
        <f t="shared" si="17"/>
        <v>750</v>
      </c>
      <c r="Q30" s="225">
        <f t="shared" si="18"/>
        <v>-544</v>
      </c>
      <c r="R30" s="480">
        <f t="shared" si="19"/>
        <v>0.27466666666666667</v>
      </c>
      <c r="S30" s="714"/>
      <c r="T30" s="541"/>
      <c r="U30" s="541"/>
    </row>
    <row r="31" spans="2:21" x14ac:dyDescent="0.25">
      <c r="B31" s="382" t="s">
        <v>204</v>
      </c>
      <c r="C31" s="170"/>
      <c r="D31" s="170"/>
      <c r="E31" s="170">
        <f t="shared" si="10"/>
        <v>0</v>
      </c>
      <c r="F31" s="480" t="str">
        <f t="shared" si="11"/>
        <v/>
      </c>
      <c r="G31" s="170"/>
      <c r="H31" s="170"/>
      <c r="I31" s="170">
        <f t="shared" si="12"/>
        <v>0</v>
      </c>
      <c r="J31" s="480" t="str">
        <f t="shared" si="13"/>
        <v/>
      </c>
      <c r="K31" s="170"/>
      <c r="L31" s="170"/>
      <c r="M31" s="170">
        <f t="shared" si="14"/>
        <v>0</v>
      </c>
      <c r="N31" s="480" t="str">
        <f t="shared" si="15"/>
        <v/>
      </c>
      <c r="O31" s="225">
        <f t="shared" si="16"/>
        <v>0</v>
      </c>
      <c r="P31" s="225">
        <f t="shared" si="17"/>
        <v>0</v>
      </c>
      <c r="Q31" s="225">
        <f t="shared" si="18"/>
        <v>0</v>
      </c>
      <c r="R31" s="480" t="str">
        <f t="shared" si="19"/>
        <v/>
      </c>
      <c r="S31" s="714"/>
      <c r="T31" s="541"/>
      <c r="U31" s="541"/>
    </row>
    <row r="32" spans="2:21" x14ac:dyDescent="0.25">
      <c r="B32" s="382" t="s">
        <v>205</v>
      </c>
      <c r="C32" s="170">
        <f>31.59</f>
        <v>31.59</v>
      </c>
      <c r="D32" s="225">
        <f>0</f>
        <v>0</v>
      </c>
      <c r="E32" s="225">
        <f t="shared" si="10"/>
        <v>31.59</v>
      </c>
      <c r="F32" s="480" t="str">
        <f t="shared" si="11"/>
        <v/>
      </c>
      <c r="G32" s="170">
        <f>10.41</f>
        <v>10.41</v>
      </c>
      <c r="H32" s="225">
        <f>0</f>
        <v>0</v>
      </c>
      <c r="I32" s="225">
        <f t="shared" si="12"/>
        <v>10.41</v>
      </c>
      <c r="J32" s="480" t="str">
        <f t="shared" si="13"/>
        <v/>
      </c>
      <c r="K32" s="170">
        <f>6296.82</f>
        <v>6296.82</v>
      </c>
      <c r="L32" s="225">
        <f>0</f>
        <v>0</v>
      </c>
      <c r="M32" s="225">
        <f t="shared" si="14"/>
        <v>6296.82</v>
      </c>
      <c r="N32" s="480" t="str">
        <f t="shared" si="15"/>
        <v/>
      </c>
      <c r="O32" s="225">
        <f t="shared" si="16"/>
        <v>6338.82</v>
      </c>
      <c r="P32" s="225">
        <f t="shared" si="17"/>
        <v>0</v>
      </c>
      <c r="Q32" s="225">
        <f t="shared" si="18"/>
        <v>6338.82</v>
      </c>
      <c r="R32" s="480" t="str">
        <f t="shared" si="19"/>
        <v/>
      </c>
      <c r="S32" s="714"/>
      <c r="T32" s="541"/>
      <c r="U32" s="541"/>
    </row>
    <row r="33" spans="2:21" x14ac:dyDescent="0.25">
      <c r="B33" s="382" t="s">
        <v>206</v>
      </c>
      <c r="C33" s="225">
        <f>2400</f>
        <v>2400</v>
      </c>
      <c r="D33" s="225">
        <f>2400</f>
        <v>2400</v>
      </c>
      <c r="E33" s="225">
        <f t="shared" si="10"/>
        <v>0</v>
      </c>
      <c r="F33" s="480">
        <f t="shared" si="11"/>
        <v>1</v>
      </c>
      <c r="G33" s="225">
        <f>2400</f>
        <v>2400</v>
      </c>
      <c r="H33" s="225">
        <f>2400</f>
        <v>2400</v>
      </c>
      <c r="I33" s="225">
        <f t="shared" si="12"/>
        <v>0</v>
      </c>
      <c r="J33" s="480">
        <f t="shared" si="13"/>
        <v>1</v>
      </c>
      <c r="K33" s="225">
        <f>2400</f>
        <v>2400</v>
      </c>
      <c r="L33" s="225">
        <f>2400</f>
        <v>2400</v>
      </c>
      <c r="M33" s="225">
        <f t="shared" si="14"/>
        <v>0</v>
      </c>
      <c r="N33" s="480">
        <f t="shared" si="15"/>
        <v>1</v>
      </c>
      <c r="O33" s="225">
        <f t="shared" si="16"/>
        <v>7200</v>
      </c>
      <c r="P33" s="225">
        <f t="shared" si="17"/>
        <v>7200</v>
      </c>
      <c r="Q33" s="225">
        <f t="shared" si="18"/>
        <v>0</v>
      </c>
      <c r="R33" s="480">
        <f t="shared" si="19"/>
        <v>1</v>
      </c>
      <c r="S33" s="714"/>
      <c r="T33" s="541"/>
      <c r="U33" s="541"/>
    </row>
    <row r="34" spans="2:21" x14ac:dyDescent="0.25">
      <c r="B34" s="382" t="s">
        <v>207</v>
      </c>
      <c r="C34" s="225">
        <f>1000</f>
        <v>1000</v>
      </c>
      <c r="D34" s="225">
        <f>1000</f>
        <v>1000</v>
      </c>
      <c r="E34" s="225">
        <f t="shared" si="10"/>
        <v>0</v>
      </c>
      <c r="F34" s="480">
        <f t="shared" si="11"/>
        <v>1</v>
      </c>
      <c r="G34" s="465">
        <f>1000</f>
        <v>1000</v>
      </c>
      <c r="H34" s="225">
        <f>1000</f>
        <v>1000</v>
      </c>
      <c r="I34" s="225">
        <f t="shared" si="12"/>
        <v>0</v>
      </c>
      <c r="J34" s="480">
        <f t="shared" si="13"/>
        <v>1</v>
      </c>
      <c r="K34" s="225">
        <f>1093</f>
        <v>1093</v>
      </c>
      <c r="L34" s="225">
        <f>1000</f>
        <v>1000</v>
      </c>
      <c r="M34" s="225">
        <f t="shared" si="14"/>
        <v>93</v>
      </c>
      <c r="N34" s="480">
        <f t="shared" si="15"/>
        <v>1.093</v>
      </c>
      <c r="O34" s="225">
        <f t="shared" si="16"/>
        <v>3093</v>
      </c>
      <c r="P34" s="225">
        <f t="shared" si="17"/>
        <v>3000</v>
      </c>
      <c r="Q34" s="225">
        <f t="shared" si="18"/>
        <v>93</v>
      </c>
      <c r="R34" s="480">
        <f t="shared" si="19"/>
        <v>1.0309999999999999</v>
      </c>
      <c r="S34" s="714"/>
      <c r="T34" s="541"/>
      <c r="U34" s="541"/>
    </row>
    <row r="35" spans="2:21" ht="45" x14ac:dyDescent="0.25">
      <c r="B35" s="827" t="s">
        <v>208</v>
      </c>
      <c r="C35" s="834">
        <f>1710</f>
        <v>1710</v>
      </c>
      <c r="D35" s="832">
        <f>2500</f>
        <v>2500</v>
      </c>
      <c r="E35" s="832">
        <f t="shared" si="10"/>
        <v>-790</v>
      </c>
      <c r="F35" s="833">
        <f t="shared" si="11"/>
        <v>0.68400000000000005</v>
      </c>
      <c r="G35" s="832">
        <f>7200</f>
        <v>7200</v>
      </c>
      <c r="H35" s="832">
        <f>2500</f>
        <v>2500</v>
      </c>
      <c r="I35" s="832">
        <f t="shared" si="12"/>
        <v>4700</v>
      </c>
      <c r="J35" s="833">
        <f t="shared" si="13"/>
        <v>2.88</v>
      </c>
      <c r="K35" s="834">
        <f>3639.99</f>
        <v>3639.99</v>
      </c>
      <c r="L35" s="832">
        <f>2500</f>
        <v>2500</v>
      </c>
      <c r="M35" s="832">
        <f t="shared" si="14"/>
        <v>1139.9899999999998</v>
      </c>
      <c r="N35" s="833">
        <f t="shared" si="15"/>
        <v>1.4559959999999998</v>
      </c>
      <c r="O35" s="834">
        <f t="shared" si="16"/>
        <v>12549.99</v>
      </c>
      <c r="P35" s="832">
        <f t="shared" si="17"/>
        <v>7500</v>
      </c>
      <c r="Q35" s="832">
        <f t="shared" si="18"/>
        <v>5049.99</v>
      </c>
      <c r="R35" s="833">
        <f t="shared" si="19"/>
        <v>1.673332</v>
      </c>
      <c r="S35" s="787" t="s">
        <v>1281</v>
      </c>
      <c r="T35" s="541"/>
      <c r="U35" s="541"/>
    </row>
    <row r="36" spans="2:21" s="836" customFormat="1" x14ac:dyDescent="0.25">
      <c r="B36" s="381" t="s">
        <v>209</v>
      </c>
      <c r="C36" s="724">
        <f>((((C31)+(C32))+(C33))+(C34))+(C35)</f>
        <v>5141.59</v>
      </c>
      <c r="D36" s="724">
        <f>((((D31)+(D32))+(D33))+(D34))+(D35)</f>
        <v>5900</v>
      </c>
      <c r="E36" s="724">
        <f t="shared" si="10"/>
        <v>-758.40999999999985</v>
      </c>
      <c r="F36" s="727">
        <f t="shared" si="11"/>
        <v>0.8714559322033899</v>
      </c>
      <c r="G36" s="724">
        <f>((((G31)+(G32))+(G33))+(G34))+(G35)</f>
        <v>10610.41</v>
      </c>
      <c r="H36" s="724">
        <f>((((H31)+(H32))+(H33))+(H34))+(H35)</f>
        <v>5900</v>
      </c>
      <c r="I36" s="724">
        <f t="shared" si="12"/>
        <v>4710.41</v>
      </c>
      <c r="J36" s="727">
        <f t="shared" si="13"/>
        <v>1.7983745762711865</v>
      </c>
      <c r="K36" s="724">
        <f>((((K31)+(K32))+(K33))+(K34))+(K35)</f>
        <v>13429.81</v>
      </c>
      <c r="L36" s="724">
        <f>((((L31)+(L32))+(L33))+(L34))+(L35)</f>
        <v>5900</v>
      </c>
      <c r="M36" s="724">
        <f t="shared" si="14"/>
        <v>7529.8099999999995</v>
      </c>
      <c r="N36" s="727">
        <f t="shared" si="15"/>
        <v>2.2762389830508472</v>
      </c>
      <c r="O36" s="724">
        <f t="shared" si="16"/>
        <v>29181.809999999998</v>
      </c>
      <c r="P36" s="724">
        <f t="shared" si="17"/>
        <v>17700</v>
      </c>
      <c r="Q36" s="724">
        <f t="shared" si="18"/>
        <v>11481.809999999998</v>
      </c>
      <c r="R36" s="727">
        <f t="shared" si="19"/>
        <v>1.6486898305084745</v>
      </c>
      <c r="S36" s="715"/>
      <c r="T36" s="738">
        <f>K36/$K$11</f>
        <v>4.6523398898651203E-2</v>
      </c>
      <c r="U36" s="738">
        <f>L36/$L$11</f>
        <v>1.7060241128291478E-2</v>
      </c>
    </row>
    <row r="37" spans="2:21" x14ac:dyDescent="0.25">
      <c r="B37" s="382" t="s">
        <v>210</v>
      </c>
      <c r="C37" s="170"/>
      <c r="D37" s="170"/>
      <c r="E37" s="170">
        <f t="shared" si="10"/>
        <v>0</v>
      </c>
      <c r="F37" s="480" t="str">
        <f t="shared" si="11"/>
        <v/>
      </c>
      <c r="G37" s="170"/>
      <c r="H37" s="170"/>
      <c r="I37" s="170">
        <f t="shared" si="12"/>
        <v>0</v>
      </c>
      <c r="J37" s="480" t="str">
        <f t="shared" si="13"/>
        <v/>
      </c>
      <c r="K37" s="170"/>
      <c r="L37" s="170"/>
      <c r="M37" s="170">
        <f t="shared" si="14"/>
        <v>0</v>
      </c>
      <c r="N37" s="480" t="str">
        <f t="shared" si="15"/>
        <v/>
      </c>
      <c r="O37" s="225">
        <f t="shared" si="16"/>
        <v>0</v>
      </c>
      <c r="P37" s="225">
        <f t="shared" si="17"/>
        <v>0</v>
      </c>
      <c r="Q37" s="225">
        <f t="shared" si="18"/>
        <v>0</v>
      </c>
      <c r="R37" s="480" t="str">
        <f t="shared" si="19"/>
        <v/>
      </c>
      <c r="S37" s="714"/>
      <c r="T37" s="541"/>
      <c r="U37" s="541"/>
    </row>
    <row r="38" spans="2:21" x14ac:dyDescent="0.25">
      <c r="B38" s="382" t="s">
        <v>211</v>
      </c>
      <c r="C38" s="225">
        <f>12500</f>
        <v>12500</v>
      </c>
      <c r="D38" s="225">
        <f>10000</f>
        <v>10000</v>
      </c>
      <c r="E38" s="225">
        <f t="shared" si="10"/>
        <v>2500</v>
      </c>
      <c r="F38" s="480">
        <f t="shared" si="11"/>
        <v>1.25</v>
      </c>
      <c r="G38" s="225">
        <f>10000</f>
        <v>10000</v>
      </c>
      <c r="H38" s="225">
        <f>10000</f>
        <v>10000</v>
      </c>
      <c r="I38" s="225">
        <f t="shared" si="12"/>
        <v>0</v>
      </c>
      <c r="J38" s="480">
        <f t="shared" si="13"/>
        <v>1</v>
      </c>
      <c r="K38" s="225">
        <f>11071.43</f>
        <v>11071.43</v>
      </c>
      <c r="L38" s="225">
        <f>10000</f>
        <v>10000</v>
      </c>
      <c r="M38" s="225">
        <f t="shared" si="14"/>
        <v>1071.4300000000003</v>
      </c>
      <c r="N38" s="480">
        <f t="shared" si="15"/>
        <v>1.107143</v>
      </c>
      <c r="O38" s="225">
        <f t="shared" si="16"/>
        <v>33571.43</v>
      </c>
      <c r="P38" s="225">
        <f t="shared" si="17"/>
        <v>30000</v>
      </c>
      <c r="Q38" s="225">
        <f t="shared" si="18"/>
        <v>3571.4300000000003</v>
      </c>
      <c r="R38" s="480">
        <f t="shared" si="19"/>
        <v>1.1190476666666667</v>
      </c>
      <c r="S38" s="714"/>
      <c r="T38" s="541"/>
      <c r="U38" s="541"/>
    </row>
    <row r="39" spans="2:21" x14ac:dyDescent="0.25">
      <c r="B39" s="382" t="s">
        <v>212</v>
      </c>
      <c r="C39" s="225">
        <f>252.75</f>
        <v>252.75</v>
      </c>
      <c r="D39" s="225">
        <f>252</f>
        <v>252</v>
      </c>
      <c r="E39" s="225">
        <f t="shared" si="10"/>
        <v>0.75</v>
      </c>
      <c r="F39" s="480">
        <f t="shared" si="11"/>
        <v>1.0029761904761905</v>
      </c>
      <c r="G39" s="225">
        <f>252.75</f>
        <v>252.75</v>
      </c>
      <c r="H39" s="225">
        <f>252</f>
        <v>252</v>
      </c>
      <c r="I39" s="225">
        <f t="shared" si="12"/>
        <v>0.75</v>
      </c>
      <c r="J39" s="480">
        <f t="shared" si="13"/>
        <v>1.0029761904761905</v>
      </c>
      <c r="K39" s="225">
        <f>252.75</f>
        <v>252.75</v>
      </c>
      <c r="L39" s="225">
        <f>252</f>
        <v>252</v>
      </c>
      <c r="M39" s="225">
        <f t="shared" si="14"/>
        <v>0.75</v>
      </c>
      <c r="N39" s="480">
        <f t="shared" si="15"/>
        <v>1.0029761904761905</v>
      </c>
      <c r="O39" s="225">
        <f t="shared" si="16"/>
        <v>758.25</v>
      </c>
      <c r="P39" s="225">
        <f t="shared" si="17"/>
        <v>756</v>
      </c>
      <c r="Q39" s="225">
        <f t="shared" si="18"/>
        <v>2.25</v>
      </c>
      <c r="R39" s="480">
        <f t="shared" si="19"/>
        <v>1.0029761904761905</v>
      </c>
      <c r="S39" s="714"/>
      <c r="T39" s="541"/>
      <c r="U39" s="541"/>
    </row>
    <row r="40" spans="2:21" x14ac:dyDescent="0.25">
      <c r="B40" s="382" t="s">
        <v>213</v>
      </c>
      <c r="C40" s="225">
        <f>991.15</f>
        <v>991.15</v>
      </c>
      <c r="D40" s="225">
        <f>800</f>
        <v>800</v>
      </c>
      <c r="E40" s="225">
        <f t="shared" si="10"/>
        <v>191.14999999999998</v>
      </c>
      <c r="F40" s="480">
        <f t="shared" si="11"/>
        <v>1.2389375</v>
      </c>
      <c r="G40" s="225">
        <f>765</f>
        <v>765</v>
      </c>
      <c r="H40" s="225">
        <f>800</f>
        <v>800</v>
      </c>
      <c r="I40" s="225">
        <f t="shared" si="12"/>
        <v>-35</v>
      </c>
      <c r="J40" s="480">
        <f t="shared" si="13"/>
        <v>0.95625000000000004</v>
      </c>
      <c r="K40" s="465">
        <f>846.96</f>
        <v>846.96</v>
      </c>
      <c r="L40" s="225">
        <f>800</f>
        <v>800</v>
      </c>
      <c r="M40" s="225">
        <f t="shared" si="14"/>
        <v>46.960000000000036</v>
      </c>
      <c r="N40" s="480">
        <f t="shared" si="15"/>
        <v>1.0587</v>
      </c>
      <c r="O40" s="465">
        <f t="shared" si="16"/>
        <v>2603.11</v>
      </c>
      <c r="P40" s="225">
        <f t="shared" si="17"/>
        <v>2400</v>
      </c>
      <c r="Q40" s="225">
        <f t="shared" si="18"/>
        <v>203.11000000000013</v>
      </c>
      <c r="R40" s="480">
        <f t="shared" si="19"/>
        <v>1.0846291666666668</v>
      </c>
      <c r="S40" s="714"/>
      <c r="T40" s="541"/>
      <c r="U40" s="541"/>
    </row>
    <row r="41" spans="2:21" ht="30" x14ac:dyDescent="0.25">
      <c r="B41" s="827" t="s">
        <v>214</v>
      </c>
      <c r="C41" s="835">
        <f>437.5</f>
        <v>437.5</v>
      </c>
      <c r="D41" s="829">
        <f>379.17</f>
        <v>379.17</v>
      </c>
      <c r="E41" s="829">
        <f t="shared" si="10"/>
        <v>58.329999999999984</v>
      </c>
      <c r="F41" s="830">
        <f t="shared" si="11"/>
        <v>1.1538360102328771</v>
      </c>
      <c r="G41" s="835">
        <f>350</f>
        <v>350</v>
      </c>
      <c r="H41" s="829">
        <f>379.17</f>
        <v>379.17</v>
      </c>
      <c r="I41" s="829">
        <f t="shared" si="12"/>
        <v>-29.170000000000016</v>
      </c>
      <c r="J41" s="830">
        <f t="shared" si="13"/>
        <v>0.92306880818630166</v>
      </c>
      <c r="K41" s="829">
        <f>387.5</f>
        <v>387.5</v>
      </c>
      <c r="L41" s="829">
        <f>379.17</f>
        <v>379.17</v>
      </c>
      <c r="M41" s="829">
        <f t="shared" si="14"/>
        <v>8.3299999999999841</v>
      </c>
      <c r="N41" s="830">
        <f t="shared" si="15"/>
        <v>1.021969037634834</v>
      </c>
      <c r="O41" s="829">
        <f t="shared" si="16"/>
        <v>1175</v>
      </c>
      <c r="P41" s="829">
        <f t="shared" si="17"/>
        <v>1137.51</v>
      </c>
      <c r="Q41" s="829">
        <f t="shared" si="18"/>
        <v>37.490000000000009</v>
      </c>
      <c r="R41" s="830">
        <f t="shared" si="19"/>
        <v>1.0329579520180043</v>
      </c>
      <c r="S41" s="715"/>
      <c r="T41" s="541"/>
      <c r="U41" s="541"/>
    </row>
    <row r="42" spans="2:21" x14ac:dyDescent="0.25">
      <c r="B42" s="381" t="s">
        <v>215</v>
      </c>
      <c r="C42" s="225">
        <f>((((C37)+(C38))+(C39))+(C40))+(C41)</f>
        <v>14181.4</v>
      </c>
      <c r="D42" s="225">
        <f>((((D37)+(D38))+(D39))+(D40))+(D41)</f>
        <v>11431.17</v>
      </c>
      <c r="E42" s="225">
        <f t="shared" si="10"/>
        <v>2750.2299999999996</v>
      </c>
      <c r="F42" s="480">
        <f t="shared" si="11"/>
        <v>1.2405904207530811</v>
      </c>
      <c r="G42" s="225">
        <f>((((G37)+(G38))+(G39))+(G40))+(G41)</f>
        <v>11367.75</v>
      </c>
      <c r="H42" s="225">
        <f>((((H37)+(H38))+(H39))+(H40))+(H41)</f>
        <v>11431.17</v>
      </c>
      <c r="I42" s="225">
        <f t="shared" si="12"/>
        <v>-63.420000000000073</v>
      </c>
      <c r="J42" s="480">
        <f t="shared" si="13"/>
        <v>0.99445201147389117</v>
      </c>
      <c r="K42" s="225">
        <f>((((K37)+(K38))+(K39))+(K40))+(K41)</f>
        <v>12558.64</v>
      </c>
      <c r="L42" s="225">
        <f>((((L37)+(L38))+(L39))+(L40))+(L41)</f>
        <v>11431.17</v>
      </c>
      <c r="M42" s="225">
        <f t="shared" si="14"/>
        <v>1127.4699999999993</v>
      </c>
      <c r="N42" s="480">
        <f t="shared" si="15"/>
        <v>1.0986311987311885</v>
      </c>
      <c r="O42" s="225">
        <f t="shared" si="16"/>
        <v>38107.79</v>
      </c>
      <c r="P42" s="225">
        <f t="shared" si="17"/>
        <v>34293.51</v>
      </c>
      <c r="Q42" s="225">
        <f t="shared" si="18"/>
        <v>3814.2799999999988</v>
      </c>
      <c r="R42" s="480">
        <f t="shared" si="19"/>
        <v>1.1112245436527202</v>
      </c>
      <c r="S42" s="714"/>
      <c r="T42" s="738">
        <f>K42/$K$11</f>
        <v>4.3505501443770016E-2</v>
      </c>
      <c r="U42" s="738">
        <f>L42/$L$11</f>
        <v>3.305398586076131E-2</v>
      </c>
    </row>
    <row r="43" spans="2:21" x14ac:dyDescent="0.25">
      <c r="B43" s="382" t="s">
        <v>216</v>
      </c>
      <c r="C43" s="170"/>
      <c r="D43" s="170"/>
      <c r="E43" s="170">
        <f t="shared" si="10"/>
        <v>0</v>
      </c>
      <c r="F43" s="480" t="str">
        <f t="shared" si="11"/>
        <v/>
      </c>
      <c r="G43" s="170"/>
      <c r="H43" s="170"/>
      <c r="I43" s="170">
        <f t="shared" si="12"/>
        <v>0</v>
      </c>
      <c r="J43" s="480" t="str">
        <f t="shared" si="13"/>
        <v/>
      </c>
      <c r="K43" s="170"/>
      <c r="L43" s="170"/>
      <c r="M43" s="170">
        <f t="shared" si="14"/>
        <v>0</v>
      </c>
      <c r="N43" s="480" t="str">
        <f t="shared" si="15"/>
        <v/>
      </c>
      <c r="O43" s="225">
        <f t="shared" si="16"/>
        <v>0</v>
      </c>
      <c r="P43" s="225">
        <f t="shared" si="17"/>
        <v>0</v>
      </c>
      <c r="Q43" s="225">
        <f t="shared" si="18"/>
        <v>0</v>
      </c>
      <c r="R43" s="480" t="str">
        <f t="shared" si="19"/>
        <v/>
      </c>
      <c r="S43" s="714"/>
      <c r="T43" s="541"/>
      <c r="U43" s="541"/>
    </row>
    <row r="44" spans="2:21" ht="60" x14ac:dyDescent="0.25">
      <c r="B44" s="382" t="s">
        <v>217</v>
      </c>
      <c r="C44" s="225">
        <f>2828.96</f>
        <v>2828.96</v>
      </c>
      <c r="D44" s="225">
        <f>3458.33</f>
        <v>3458.33</v>
      </c>
      <c r="E44" s="225">
        <f t="shared" si="10"/>
        <v>-629.36999999999989</v>
      </c>
      <c r="F44" s="480">
        <f t="shared" si="11"/>
        <v>0.81801331856705406</v>
      </c>
      <c r="G44" s="225">
        <f>12567.45</f>
        <v>12567.45</v>
      </c>
      <c r="H44" s="225">
        <f>3458.33</f>
        <v>3458.33</v>
      </c>
      <c r="I44" s="225">
        <f t="shared" si="12"/>
        <v>9109.1200000000008</v>
      </c>
      <c r="J44" s="480">
        <f t="shared" si="13"/>
        <v>3.6339649483999508</v>
      </c>
      <c r="K44" s="225">
        <f>5427.23</f>
        <v>5427.23</v>
      </c>
      <c r="L44" s="225">
        <f>3458.33</f>
        <v>3458.33</v>
      </c>
      <c r="M44" s="225">
        <f t="shared" si="14"/>
        <v>1968.8999999999996</v>
      </c>
      <c r="N44" s="480">
        <f t="shared" si="15"/>
        <v>1.5693210306708729</v>
      </c>
      <c r="O44" s="225">
        <f t="shared" si="16"/>
        <v>20823.64</v>
      </c>
      <c r="P44" s="225">
        <f t="shared" si="17"/>
        <v>10374.99</v>
      </c>
      <c r="Q44" s="225">
        <f t="shared" si="18"/>
        <v>10448.65</v>
      </c>
      <c r="R44" s="480">
        <f t="shared" si="19"/>
        <v>2.0070997658792926</v>
      </c>
      <c r="S44" s="787" t="s">
        <v>1280</v>
      </c>
      <c r="T44" s="541"/>
      <c r="U44" s="541"/>
    </row>
    <row r="45" spans="2:21" x14ac:dyDescent="0.25">
      <c r="B45" s="382" t="s">
        <v>218</v>
      </c>
      <c r="C45" s="225">
        <f>2019.32</f>
        <v>2019.32</v>
      </c>
      <c r="D45" s="225">
        <f>6916.67</f>
        <v>6916.67</v>
      </c>
      <c r="E45" s="225">
        <f t="shared" si="10"/>
        <v>-4897.3500000000004</v>
      </c>
      <c r="F45" s="480">
        <f t="shared" si="11"/>
        <v>0.29194973881940295</v>
      </c>
      <c r="G45" s="225">
        <f>2029.23</f>
        <v>2029.23</v>
      </c>
      <c r="H45" s="225">
        <f>6916.67</f>
        <v>6916.67</v>
      </c>
      <c r="I45" s="225">
        <f t="shared" si="12"/>
        <v>-4887.4400000000005</v>
      </c>
      <c r="J45" s="480">
        <f t="shared" si="13"/>
        <v>0.2933825092132486</v>
      </c>
      <c r="K45" s="225">
        <f>2096.91</f>
        <v>2096.91</v>
      </c>
      <c r="L45" s="225">
        <f>6916.67</f>
        <v>6916.67</v>
      </c>
      <c r="M45" s="225">
        <f t="shared" si="14"/>
        <v>-4819.76</v>
      </c>
      <c r="N45" s="480">
        <f t="shared" si="15"/>
        <v>0.30316756473852302</v>
      </c>
      <c r="O45" s="225">
        <f t="shared" si="16"/>
        <v>6145.46</v>
      </c>
      <c r="P45" s="225">
        <f t="shared" si="17"/>
        <v>20750.010000000002</v>
      </c>
      <c r="Q45" s="225">
        <f t="shared" si="18"/>
        <v>-14604.550000000003</v>
      </c>
      <c r="R45" s="480">
        <f t="shared" si="19"/>
        <v>0.29616660425705815</v>
      </c>
      <c r="S45" s="714"/>
      <c r="T45" s="541"/>
      <c r="U45" s="541"/>
    </row>
    <row r="46" spans="2:21" x14ac:dyDescent="0.25">
      <c r="B46" s="382" t="s">
        <v>219</v>
      </c>
      <c r="C46" s="465">
        <f>304.87</f>
        <v>304.87</v>
      </c>
      <c r="D46" s="225">
        <f>340</f>
        <v>340</v>
      </c>
      <c r="E46" s="225">
        <f t="shared" si="10"/>
        <v>-35.129999999999995</v>
      </c>
      <c r="F46" s="480">
        <f t="shared" si="11"/>
        <v>0.8966764705882353</v>
      </c>
      <c r="G46" s="225">
        <f>314.87</f>
        <v>314.87</v>
      </c>
      <c r="H46" s="225">
        <f>340</f>
        <v>340</v>
      </c>
      <c r="I46" s="225">
        <f t="shared" si="12"/>
        <v>-25.129999999999995</v>
      </c>
      <c r="J46" s="480">
        <f t="shared" si="13"/>
        <v>0.92608823529411766</v>
      </c>
      <c r="K46" s="465">
        <f>306.91</f>
        <v>306.91000000000003</v>
      </c>
      <c r="L46" s="225">
        <f>340</f>
        <v>340</v>
      </c>
      <c r="M46" s="225">
        <f t="shared" si="14"/>
        <v>-33.089999999999975</v>
      </c>
      <c r="N46" s="480">
        <f t="shared" si="15"/>
        <v>0.90267647058823541</v>
      </c>
      <c r="O46" s="225">
        <f t="shared" si="16"/>
        <v>926.65000000000009</v>
      </c>
      <c r="P46" s="225">
        <f t="shared" si="17"/>
        <v>1020</v>
      </c>
      <c r="Q46" s="225">
        <f t="shared" si="18"/>
        <v>-93.349999999999909</v>
      </c>
      <c r="R46" s="480">
        <f t="shared" si="19"/>
        <v>0.90848039215686283</v>
      </c>
      <c r="S46" s="714"/>
      <c r="T46" s="541"/>
      <c r="U46" s="541"/>
    </row>
    <row r="47" spans="2:21" x14ac:dyDescent="0.25">
      <c r="B47" s="827" t="s">
        <v>220</v>
      </c>
      <c r="C47" s="832">
        <f>4053.35</f>
        <v>4053.35</v>
      </c>
      <c r="D47" s="832">
        <f>1729.17</f>
        <v>1729.17</v>
      </c>
      <c r="E47" s="832">
        <f t="shared" si="10"/>
        <v>2324.1799999999998</v>
      </c>
      <c r="F47" s="833">
        <f t="shared" si="11"/>
        <v>2.3441015053464955</v>
      </c>
      <c r="G47" s="834">
        <f>2209.77</f>
        <v>2209.77</v>
      </c>
      <c r="H47" s="832">
        <f>1729.17</f>
        <v>1729.17</v>
      </c>
      <c r="I47" s="832">
        <f t="shared" si="12"/>
        <v>480.59999999999991</v>
      </c>
      <c r="J47" s="833">
        <f t="shared" si="13"/>
        <v>1.2779368136157809</v>
      </c>
      <c r="K47" s="832">
        <f>1473.75</f>
        <v>1473.75</v>
      </c>
      <c r="L47" s="832">
        <f>1729.17</f>
        <v>1729.17</v>
      </c>
      <c r="M47" s="832">
        <f t="shared" si="14"/>
        <v>-255.42000000000007</v>
      </c>
      <c r="N47" s="833">
        <f t="shared" si="15"/>
        <v>0.85228751366262423</v>
      </c>
      <c r="O47" s="834">
        <f t="shared" si="16"/>
        <v>7736.87</v>
      </c>
      <c r="P47" s="832">
        <f t="shared" si="17"/>
        <v>5187.51</v>
      </c>
      <c r="Q47" s="832">
        <f t="shared" si="18"/>
        <v>2549.3599999999997</v>
      </c>
      <c r="R47" s="833">
        <f t="shared" si="19"/>
        <v>1.4914419442083002</v>
      </c>
      <c r="S47" s="715"/>
      <c r="T47" s="541"/>
      <c r="U47" s="541"/>
    </row>
    <row r="48" spans="2:21" x14ac:dyDescent="0.25">
      <c r="B48" s="381" t="s">
        <v>221</v>
      </c>
      <c r="C48" s="724">
        <f>((((C43)+(C44))+(C45))+(C46))+(C47)</f>
        <v>9206.5</v>
      </c>
      <c r="D48" s="724">
        <f>((((D43)+(D44))+(D45))+(D46))+(D47)</f>
        <v>12444.17</v>
      </c>
      <c r="E48" s="724">
        <f t="shared" si="10"/>
        <v>-3237.67</v>
      </c>
      <c r="F48" s="727">
        <f t="shared" si="11"/>
        <v>0.7398243514834657</v>
      </c>
      <c r="G48" s="724">
        <f>((((G43)+(G44))+(G45))+(G46))+(G47)</f>
        <v>17121.32</v>
      </c>
      <c r="H48" s="724">
        <f>((((H43)+(H44))+(H45))+(H46))+(H47)</f>
        <v>12444.17</v>
      </c>
      <c r="I48" s="724">
        <f t="shared" si="12"/>
        <v>4677.1499999999996</v>
      </c>
      <c r="J48" s="727">
        <f t="shared" si="13"/>
        <v>1.375850699564535</v>
      </c>
      <c r="K48" s="724">
        <f>((((K43)+(K44))+(K45))+(K46))+(K47)</f>
        <v>9304.7999999999993</v>
      </c>
      <c r="L48" s="724">
        <f>((((L43)+(L44))+(L45))+(L46))+(L47)</f>
        <v>12444.17</v>
      </c>
      <c r="M48" s="724">
        <f t="shared" si="14"/>
        <v>-3139.3700000000008</v>
      </c>
      <c r="N48" s="727">
        <f t="shared" si="15"/>
        <v>0.74772363283368837</v>
      </c>
      <c r="O48" s="724">
        <f t="shared" si="16"/>
        <v>35632.619999999995</v>
      </c>
      <c r="P48" s="724">
        <f t="shared" si="17"/>
        <v>37332.51</v>
      </c>
      <c r="Q48" s="724">
        <f t="shared" si="18"/>
        <v>-1699.8900000000067</v>
      </c>
      <c r="R48" s="727">
        <f t="shared" si="19"/>
        <v>0.95446622796056291</v>
      </c>
      <c r="S48" s="714"/>
      <c r="T48" s="738">
        <f>K48/$K$11</f>
        <v>3.2233584992801066E-2</v>
      </c>
      <c r="U48" s="738">
        <f>L48/$L$11</f>
        <v>3.5983142515500166E-2</v>
      </c>
    </row>
    <row r="49" spans="2:21" x14ac:dyDescent="0.25">
      <c r="B49" s="382" t="s">
        <v>222</v>
      </c>
      <c r="C49" s="170"/>
      <c r="D49" s="170"/>
      <c r="E49" s="170">
        <f t="shared" si="10"/>
        <v>0</v>
      </c>
      <c r="F49" s="480" t="str">
        <f t="shared" si="11"/>
        <v/>
      </c>
      <c r="G49" s="170"/>
      <c r="H49" s="170"/>
      <c r="I49" s="170">
        <f t="shared" si="12"/>
        <v>0</v>
      </c>
      <c r="J49" s="480" t="str">
        <f t="shared" si="13"/>
        <v/>
      </c>
      <c r="K49" s="170"/>
      <c r="L49" s="170"/>
      <c r="M49" s="170">
        <f t="shared" si="14"/>
        <v>0</v>
      </c>
      <c r="N49" s="480" t="str">
        <f t="shared" si="15"/>
        <v/>
      </c>
      <c r="O49" s="225">
        <f t="shared" si="16"/>
        <v>0</v>
      </c>
      <c r="P49" s="225">
        <f t="shared" si="17"/>
        <v>0</v>
      </c>
      <c r="Q49" s="225">
        <f t="shared" si="18"/>
        <v>0</v>
      </c>
      <c r="R49" s="480" t="str">
        <f t="shared" si="19"/>
        <v/>
      </c>
      <c r="S49" s="717"/>
      <c r="T49" s="541"/>
      <c r="U49" s="541"/>
    </row>
    <row r="50" spans="2:21" x14ac:dyDescent="0.25">
      <c r="B50" s="382" t="s">
        <v>223</v>
      </c>
      <c r="C50" s="225">
        <f>14266.06</f>
        <v>14266.06</v>
      </c>
      <c r="D50" s="225">
        <f>16760.06</f>
        <v>16760.060000000001</v>
      </c>
      <c r="E50" s="225">
        <f t="shared" si="10"/>
        <v>-2494.0000000000018</v>
      </c>
      <c r="F50" s="480">
        <f t="shared" si="11"/>
        <v>0.85119385014134785</v>
      </c>
      <c r="G50" s="225">
        <f>16795.81</f>
        <v>16795.810000000001</v>
      </c>
      <c r="H50" s="225">
        <f>16760.06</f>
        <v>16760.060000000001</v>
      </c>
      <c r="I50" s="225">
        <f t="shared" si="12"/>
        <v>35.75</v>
      </c>
      <c r="J50" s="480">
        <f t="shared" si="13"/>
        <v>1.0021330472563941</v>
      </c>
      <c r="K50" s="225">
        <f>16795.81</f>
        <v>16795.810000000001</v>
      </c>
      <c r="L50" s="225">
        <f>16760.06</f>
        <v>16760.060000000001</v>
      </c>
      <c r="M50" s="225">
        <f t="shared" si="14"/>
        <v>35.75</v>
      </c>
      <c r="N50" s="480">
        <f t="shared" si="15"/>
        <v>1.0021330472563941</v>
      </c>
      <c r="O50" s="225">
        <f t="shared" si="16"/>
        <v>47857.680000000008</v>
      </c>
      <c r="P50" s="225">
        <f t="shared" si="17"/>
        <v>50280.180000000008</v>
      </c>
      <c r="Q50" s="225">
        <f t="shared" si="18"/>
        <v>-2422.5</v>
      </c>
      <c r="R50" s="480">
        <f t="shared" si="19"/>
        <v>0.9518199815513787</v>
      </c>
      <c r="S50" s="717"/>
      <c r="T50" s="541"/>
      <c r="U50" s="541"/>
    </row>
    <row r="51" spans="2:21" x14ac:dyDescent="0.25">
      <c r="B51" s="382" t="s">
        <v>224</v>
      </c>
      <c r="C51" s="225">
        <f>4341.48</f>
        <v>4341.4799999999996</v>
      </c>
      <c r="D51" s="225">
        <f>4341.48</f>
        <v>4341.4799999999996</v>
      </c>
      <c r="E51" s="225">
        <f t="shared" si="10"/>
        <v>0</v>
      </c>
      <c r="F51" s="480">
        <f t="shared" si="11"/>
        <v>1</v>
      </c>
      <c r="G51" s="225">
        <f>4701.4</f>
        <v>4701.3999999999996</v>
      </c>
      <c r="H51" s="225">
        <f>4341.48</f>
        <v>4341.4799999999996</v>
      </c>
      <c r="I51" s="225">
        <f t="shared" si="12"/>
        <v>359.92000000000007</v>
      </c>
      <c r="J51" s="480">
        <f t="shared" si="13"/>
        <v>1.0829026046417352</v>
      </c>
      <c r="K51" s="225">
        <f>4521.44</f>
        <v>4521.4399999999996</v>
      </c>
      <c r="L51" s="225">
        <f>4341.48</f>
        <v>4341.4799999999996</v>
      </c>
      <c r="M51" s="225">
        <f t="shared" si="14"/>
        <v>179.96000000000004</v>
      </c>
      <c r="N51" s="480">
        <f t="shared" si="15"/>
        <v>1.0414513023208676</v>
      </c>
      <c r="O51" s="225">
        <f t="shared" si="16"/>
        <v>13564.32</v>
      </c>
      <c r="P51" s="225">
        <f t="shared" si="17"/>
        <v>13024.439999999999</v>
      </c>
      <c r="Q51" s="225">
        <f t="shared" si="18"/>
        <v>539.88000000000102</v>
      </c>
      <c r="R51" s="480">
        <f t="shared" si="19"/>
        <v>1.0414513023208676</v>
      </c>
      <c r="S51" s="714"/>
      <c r="T51" s="541"/>
      <c r="U51" s="541"/>
    </row>
    <row r="52" spans="2:21" x14ac:dyDescent="0.25">
      <c r="B52" s="382" t="s">
        <v>225</v>
      </c>
      <c r="C52" s="225">
        <f>4356.62</f>
        <v>4356.62</v>
      </c>
      <c r="D52" s="225">
        <f>6916.67</f>
        <v>6916.67</v>
      </c>
      <c r="E52" s="225">
        <f t="shared" si="10"/>
        <v>-2560.0500000000002</v>
      </c>
      <c r="F52" s="480">
        <f t="shared" si="11"/>
        <v>0.62987246753134096</v>
      </c>
      <c r="G52" s="225">
        <f>6180.17</f>
        <v>6180.17</v>
      </c>
      <c r="H52" s="225">
        <f>6916.67</f>
        <v>6916.67</v>
      </c>
      <c r="I52" s="225">
        <f t="shared" si="12"/>
        <v>-736.5</v>
      </c>
      <c r="J52" s="480">
        <f t="shared" si="13"/>
        <v>0.89351812360572358</v>
      </c>
      <c r="K52" s="225">
        <f>7303.23</f>
        <v>7303.23</v>
      </c>
      <c r="L52" s="225">
        <f>6916.67</f>
        <v>6916.67</v>
      </c>
      <c r="M52" s="225">
        <f t="shared" si="14"/>
        <v>386.55999999999949</v>
      </c>
      <c r="N52" s="480">
        <f t="shared" si="15"/>
        <v>1.0558881658370285</v>
      </c>
      <c r="O52" s="225">
        <f t="shared" si="16"/>
        <v>17840.02</v>
      </c>
      <c r="P52" s="225">
        <f t="shared" si="17"/>
        <v>20750.010000000002</v>
      </c>
      <c r="Q52" s="225">
        <f t="shared" si="18"/>
        <v>-2909.9900000000016</v>
      </c>
      <c r="R52" s="480">
        <f t="shared" si="19"/>
        <v>0.8597595856580309</v>
      </c>
      <c r="S52" s="714"/>
      <c r="T52" s="541"/>
      <c r="U52" s="541"/>
    </row>
    <row r="53" spans="2:21" x14ac:dyDescent="0.25">
      <c r="B53" s="382" t="s">
        <v>226</v>
      </c>
      <c r="C53" s="465">
        <f>1232.07</f>
        <v>1232.07</v>
      </c>
      <c r="D53" s="225">
        <f>1232.11</f>
        <v>1232.1099999999999</v>
      </c>
      <c r="E53" s="225">
        <f t="shared" si="10"/>
        <v>-3.999999999996362E-2</v>
      </c>
      <c r="F53" s="480">
        <f t="shared" si="11"/>
        <v>0.99996753536616056</v>
      </c>
      <c r="G53" s="225">
        <f>1255.58</f>
        <v>1255.58</v>
      </c>
      <c r="H53" s="225">
        <f>1232.11</f>
        <v>1232.1099999999999</v>
      </c>
      <c r="I53" s="225">
        <f t="shared" si="12"/>
        <v>23.470000000000027</v>
      </c>
      <c r="J53" s="480">
        <f t="shared" si="13"/>
        <v>1.0190486239053331</v>
      </c>
      <c r="K53" s="465">
        <f>1255.56</f>
        <v>1255.56</v>
      </c>
      <c r="L53" s="225">
        <f>1232.11</f>
        <v>1232.1099999999999</v>
      </c>
      <c r="M53" s="225">
        <f t="shared" si="14"/>
        <v>23.450000000000045</v>
      </c>
      <c r="N53" s="480">
        <f t="shared" si="15"/>
        <v>1.0190323915884134</v>
      </c>
      <c r="O53" s="465">
        <f t="shared" ref="O53:O76" si="20">((C53)+(G53))+(K53)</f>
        <v>3743.2099999999996</v>
      </c>
      <c r="P53" s="225">
        <f t="shared" ref="P53:P76" si="21">((D53)+(H53))+(L53)</f>
        <v>3696.33</v>
      </c>
      <c r="Q53" s="225">
        <f t="shared" si="18"/>
        <v>46.879999999999654</v>
      </c>
      <c r="R53" s="480">
        <f t="shared" si="19"/>
        <v>1.0126828502866356</v>
      </c>
      <c r="S53" s="714"/>
      <c r="T53" s="541"/>
      <c r="U53" s="541"/>
    </row>
    <row r="54" spans="2:21" x14ac:dyDescent="0.25">
      <c r="B54" s="827" t="s">
        <v>227</v>
      </c>
      <c r="C54" s="828"/>
      <c r="D54" s="829">
        <f>7500</f>
        <v>7500</v>
      </c>
      <c r="E54" s="829">
        <f t="shared" si="10"/>
        <v>-7500</v>
      </c>
      <c r="F54" s="830">
        <f t="shared" si="11"/>
        <v>0</v>
      </c>
      <c r="G54" s="831"/>
      <c r="H54" s="829">
        <f>7500</f>
        <v>7500</v>
      </c>
      <c r="I54" s="829">
        <f t="shared" si="12"/>
        <v>-7500</v>
      </c>
      <c r="J54" s="830">
        <f t="shared" si="13"/>
        <v>0</v>
      </c>
      <c r="K54" s="828">
        <f>8503.67</f>
        <v>8503.67</v>
      </c>
      <c r="L54" s="829">
        <f>7500</f>
        <v>7500</v>
      </c>
      <c r="M54" s="829">
        <f t="shared" si="14"/>
        <v>1003.6700000000001</v>
      </c>
      <c r="N54" s="830">
        <f t="shared" si="15"/>
        <v>1.1338226666666666</v>
      </c>
      <c r="O54" s="829">
        <f t="shared" si="20"/>
        <v>8503.67</v>
      </c>
      <c r="P54" s="829">
        <f t="shared" si="21"/>
        <v>22500</v>
      </c>
      <c r="Q54" s="829">
        <f t="shared" si="18"/>
        <v>-13996.33</v>
      </c>
      <c r="R54" s="830">
        <f t="shared" si="19"/>
        <v>0.37794088888888888</v>
      </c>
      <c r="S54" s="714"/>
      <c r="T54" s="541"/>
      <c r="U54" s="541"/>
    </row>
    <row r="55" spans="2:21" x14ac:dyDescent="0.25">
      <c r="B55" s="381" t="s">
        <v>228</v>
      </c>
      <c r="C55" s="225">
        <f>(((((C49)+(C50))+(C51))+(C52))+(C53))+(C54)</f>
        <v>24196.23</v>
      </c>
      <c r="D55" s="225">
        <f>(((((D49)+(D50))+(D51))+(D52))+(D53))+(D54)</f>
        <v>36750.32</v>
      </c>
      <c r="E55" s="225">
        <f t="shared" si="10"/>
        <v>-12554.09</v>
      </c>
      <c r="F55" s="480">
        <f t="shared" si="11"/>
        <v>0.65839508336253938</v>
      </c>
      <c r="G55" s="225">
        <f>(((((G49)+(G50))+(G51))+(G52))+(G53))+(G54)</f>
        <v>28932.959999999999</v>
      </c>
      <c r="H55" s="225">
        <f>(((((H49)+(H50))+(H51))+(H52))+(H53))+(H54)</f>
        <v>36750.32</v>
      </c>
      <c r="I55" s="225">
        <f t="shared" si="12"/>
        <v>-7817.3600000000006</v>
      </c>
      <c r="J55" s="480">
        <f t="shared" si="13"/>
        <v>0.78728457330439572</v>
      </c>
      <c r="K55" s="225">
        <f>(((((K49)+(K50))+(K51))+(K52))+(K53))+(K54)</f>
        <v>38379.71</v>
      </c>
      <c r="L55" s="225">
        <f>(((((L49)+(L50))+(L51))+(L52))+(L53))+(L54)</f>
        <v>36750.32</v>
      </c>
      <c r="M55" s="225">
        <f t="shared" si="14"/>
        <v>1629.3899999999994</v>
      </c>
      <c r="N55" s="480">
        <f t="shared" si="15"/>
        <v>1.044336756795587</v>
      </c>
      <c r="O55" s="225">
        <f t="shared" si="20"/>
        <v>91508.9</v>
      </c>
      <c r="P55" s="225">
        <f t="shared" si="21"/>
        <v>110250.95999999999</v>
      </c>
      <c r="Q55" s="225">
        <f t="shared" si="18"/>
        <v>-18742.059999999998</v>
      </c>
      <c r="R55" s="480">
        <f t="shared" si="19"/>
        <v>0.83000547115417411</v>
      </c>
      <c r="S55" s="714"/>
      <c r="T55" s="738">
        <f>K55/$K$11</f>
        <v>0.13295456584602111</v>
      </c>
      <c r="U55" s="738">
        <f>L55/$L$11</f>
        <v>0.10626598656641914</v>
      </c>
    </row>
    <row r="56" spans="2:21" x14ac:dyDescent="0.25">
      <c r="B56" s="382" t="s">
        <v>229</v>
      </c>
      <c r="C56" s="170"/>
      <c r="D56" s="170"/>
      <c r="E56" s="170">
        <f t="shared" si="10"/>
        <v>0</v>
      </c>
      <c r="F56" s="480" t="str">
        <f t="shared" si="11"/>
        <v/>
      </c>
      <c r="G56" s="170"/>
      <c r="H56" s="170"/>
      <c r="I56" s="170">
        <f t="shared" si="12"/>
        <v>0</v>
      </c>
      <c r="J56" s="480" t="str">
        <f t="shared" si="13"/>
        <v/>
      </c>
      <c r="K56" s="170"/>
      <c r="L56" s="170"/>
      <c r="M56" s="170">
        <f t="shared" si="14"/>
        <v>0</v>
      </c>
      <c r="N56" s="480" t="str">
        <f t="shared" si="15"/>
        <v/>
      </c>
      <c r="O56" s="225">
        <f t="shared" si="20"/>
        <v>0</v>
      </c>
      <c r="P56" s="225">
        <f t="shared" si="21"/>
        <v>0</v>
      </c>
      <c r="Q56" s="225">
        <f t="shared" si="18"/>
        <v>0</v>
      </c>
      <c r="R56" s="480" t="str">
        <f t="shared" si="19"/>
        <v/>
      </c>
      <c r="S56" s="714"/>
      <c r="T56" s="541"/>
      <c r="U56" s="541"/>
    </row>
    <row r="57" spans="2:21" x14ac:dyDescent="0.25">
      <c r="B57" s="382" t="s">
        <v>230</v>
      </c>
      <c r="C57" s="225">
        <f>1725.05</f>
        <v>1725.05</v>
      </c>
      <c r="D57" s="225">
        <f>5187.5</f>
        <v>5187.5</v>
      </c>
      <c r="E57" s="225">
        <f t="shared" si="10"/>
        <v>-3462.45</v>
      </c>
      <c r="F57" s="480">
        <f t="shared" si="11"/>
        <v>0.33253975903614458</v>
      </c>
      <c r="G57" s="225">
        <f>3643.59</f>
        <v>3643.59</v>
      </c>
      <c r="H57" s="225">
        <f>5187.5</f>
        <v>5187.5</v>
      </c>
      <c r="I57" s="225">
        <f t="shared" si="12"/>
        <v>-1543.9099999999999</v>
      </c>
      <c r="J57" s="480">
        <f t="shared" si="13"/>
        <v>0.70237879518072288</v>
      </c>
      <c r="K57" s="225">
        <f>5138.74</f>
        <v>5138.74</v>
      </c>
      <c r="L57" s="225">
        <f>5187.5</f>
        <v>5187.5</v>
      </c>
      <c r="M57" s="225">
        <f t="shared" si="14"/>
        <v>-48.760000000000218</v>
      </c>
      <c r="N57" s="480">
        <f t="shared" si="15"/>
        <v>0.99060048192771077</v>
      </c>
      <c r="O57" s="225">
        <f t="shared" si="20"/>
        <v>10507.380000000001</v>
      </c>
      <c r="P57" s="225">
        <f t="shared" si="21"/>
        <v>15562.5</v>
      </c>
      <c r="Q57" s="225">
        <f t="shared" si="18"/>
        <v>-5055.119999999999</v>
      </c>
      <c r="R57" s="480">
        <f t="shared" si="19"/>
        <v>0.6751730120481928</v>
      </c>
      <c r="S57" s="714"/>
      <c r="T57" s="541"/>
      <c r="U57" s="541"/>
    </row>
    <row r="58" spans="2:21" x14ac:dyDescent="0.25">
      <c r="B58" s="382" t="s">
        <v>231</v>
      </c>
      <c r="C58" s="225">
        <f>4441.06</f>
        <v>4441.0600000000004</v>
      </c>
      <c r="D58" s="225">
        <f>3376.93</f>
        <v>3376.93</v>
      </c>
      <c r="E58" s="225">
        <f t="shared" si="10"/>
        <v>1064.1300000000006</v>
      </c>
      <c r="F58" s="480">
        <f t="shared" si="11"/>
        <v>1.3151175772077006</v>
      </c>
      <c r="G58" s="225">
        <f>5647.87</f>
        <v>5647.87</v>
      </c>
      <c r="H58" s="225">
        <f>3376.93</f>
        <v>3376.93</v>
      </c>
      <c r="I58" s="225">
        <f t="shared" si="12"/>
        <v>2270.94</v>
      </c>
      <c r="J58" s="480">
        <f t="shared" si="13"/>
        <v>1.6724865484330442</v>
      </c>
      <c r="K58" s="225">
        <f>3191.08</f>
        <v>3191.08</v>
      </c>
      <c r="L58" s="225">
        <f>3376.93</f>
        <v>3376.93</v>
      </c>
      <c r="M58" s="225">
        <f t="shared" si="14"/>
        <v>-185.84999999999991</v>
      </c>
      <c r="N58" s="480">
        <f t="shared" si="15"/>
        <v>0.94496480531133309</v>
      </c>
      <c r="O58" s="225">
        <f t="shared" si="20"/>
        <v>13280.01</v>
      </c>
      <c r="P58" s="225">
        <f t="shared" si="21"/>
        <v>10130.789999999999</v>
      </c>
      <c r="Q58" s="225">
        <f t="shared" si="18"/>
        <v>3149.2200000000012</v>
      </c>
      <c r="R58" s="480">
        <f t="shared" si="19"/>
        <v>1.3108563103173594</v>
      </c>
      <c r="S58" s="714"/>
      <c r="T58" s="541"/>
      <c r="U58" s="541"/>
    </row>
    <row r="59" spans="2:21" x14ac:dyDescent="0.25">
      <c r="B59" s="382" t="s">
        <v>232</v>
      </c>
      <c r="C59" s="225">
        <f>535.32</f>
        <v>535.32000000000005</v>
      </c>
      <c r="D59" s="225">
        <f>1729.17</f>
        <v>1729.17</v>
      </c>
      <c r="E59" s="225">
        <f t="shared" si="10"/>
        <v>-1193.8499999999999</v>
      </c>
      <c r="F59" s="480">
        <f t="shared" si="11"/>
        <v>0.30958205381772758</v>
      </c>
      <c r="G59" s="225">
        <f>449.88</f>
        <v>449.88</v>
      </c>
      <c r="H59" s="225">
        <f>1729.17</f>
        <v>1729.17</v>
      </c>
      <c r="I59" s="225">
        <f t="shared" si="12"/>
        <v>-1279.29</v>
      </c>
      <c r="J59" s="480">
        <f t="shared" si="13"/>
        <v>0.26017106473047763</v>
      </c>
      <c r="K59" s="225">
        <f>651.25</f>
        <v>651.25</v>
      </c>
      <c r="L59" s="225">
        <f>1729.17</f>
        <v>1729.17</v>
      </c>
      <c r="M59" s="225">
        <f t="shared" si="14"/>
        <v>-1077.92</v>
      </c>
      <c r="N59" s="480">
        <f t="shared" si="15"/>
        <v>0.37662577999849639</v>
      </c>
      <c r="O59" s="225">
        <f t="shared" si="20"/>
        <v>1636.45</v>
      </c>
      <c r="P59" s="225">
        <f t="shared" si="21"/>
        <v>5187.51</v>
      </c>
      <c r="Q59" s="225">
        <f t="shared" si="18"/>
        <v>-3551.0600000000004</v>
      </c>
      <c r="R59" s="480">
        <f t="shared" si="19"/>
        <v>0.31545963284890055</v>
      </c>
      <c r="S59" s="714"/>
      <c r="T59" s="541"/>
      <c r="U59" s="541"/>
    </row>
    <row r="60" spans="2:21" x14ac:dyDescent="0.25">
      <c r="B60" s="382" t="s">
        <v>233</v>
      </c>
      <c r="C60" s="225">
        <f>2320.64</f>
        <v>2320.64</v>
      </c>
      <c r="D60" s="225">
        <f>2320.64</f>
        <v>2320.64</v>
      </c>
      <c r="E60" s="225">
        <f t="shared" si="10"/>
        <v>0</v>
      </c>
      <c r="F60" s="480">
        <f t="shared" si="11"/>
        <v>1</v>
      </c>
      <c r="G60" s="225">
        <f>2320.64</f>
        <v>2320.64</v>
      </c>
      <c r="H60" s="225">
        <f>2320.64</f>
        <v>2320.64</v>
      </c>
      <c r="I60" s="225">
        <f t="shared" si="12"/>
        <v>0</v>
      </c>
      <c r="J60" s="480">
        <f t="shared" si="13"/>
        <v>1</v>
      </c>
      <c r="K60" s="225">
        <f>2320.64</f>
        <v>2320.64</v>
      </c>
      <c r="L60" s="225">
        <f>2320.64</f>
        <v>2320.64</v>
      </c>
      <c r="M60" s="225">
        <f t="shared" si="14"/>
        <v>0</v>
      </c>
      <c r="N60" s="480">
        <f t="shared" si="15"/>
        <v>1</v>
      </c>
      <c r="O60" s="225">
        <f t="shared" si="20"/>
        <v>6961.92</v>
      </c>
      <c r="P60" s="225">
        <f t="shared" si="21"/>
        <v>6961.92</v>
      </c>
      <c r="Q60" s="225">
        <f t="shared" si="18"/>
        <v>0</v>
      </c>
      <c r="R60" s="480">
        <f t="shared" si="19"/>
        <v>1</v>
      </c>
      <c r="S60" s="714"/>
      <c r="T60" s="541"/>
      <c r="U60" s="541"/>
    </row>
    <row r="61" spans="2:21" x14ac:dyDescent="0.25">
      <c r="B61" s="382" t="s">
        <v>234</v>
      </c>
      <c r="C61" s="170"/>
      <c r="D61" s="225">
        <f>425</f>
        <v>425</v>
      </c>
      <c r="E61" s="225">
        <f t="shared" si="10"/>
        <v>-425</v>
      </c>
      <c r="F61" s="480">
        <f t="shared" si="11"/>
        <v>0</v>
      </c>
      <c r="G61" s="170"/>
      <c r="H61" s="225">
        <f>425</f>
        <v>425</v>
      </c>
      <c r="I61" s="225">
        <f t="shared" si="12"/>
        <v>-425</v>
      </c>
      <c r="J61" s="480">
        <f t="shared" si="13"/>
        <v>0</v>
      </c>
      <c r="K61" s="170"/>
      <c r="L61" s="225">
        <f>425</f>
        <v>425</v>
      </c>
      <c r="M61" s="225">
        <f t="shared" si="14"/>
        <v>-425</v>
      </c>
      <c r="N61" s="480">
        <f t="shared" si="15"/>
        <v>0</v>
      </c>
      <c r="O61" s="225">
        <f t="shared" si="20"/>
        <v>0</v>
      </c>
      <c r="P61" s="225">
        <f t="shared" si="21"/>
        <v>1275</v>
      </c>
      <c r="Q61" s="225">
        <f t="shared" si="18"/>
        <v>-1275</v>
      </c>
      <c r="R61" s="480">
        <f t="shared" si="19"/>
        <v>0</v>
      </c>
      <c r="S61" s="714"/>
      <c r="T61" s="541"/>
      <c r="U61" s="541"/>
    </row>
    <row r="62" spans="2:21" x14ac:dyDescent="0.25">
      <c r="B62" s="382" t="s">
        <v>235</v>
      </c>
      <c r="C62" s="225">
        <f>1488.33</f>
        <v>1488.33</v>
      </c>
      <c r="D62" s="225">
        <f>691.67</f>
        <v>691.67</v>
      </c>
      <c r="E62" s="225">
        <f t="shared" si="10"/>
        <v>796.66</v>
      </c>
      <c r="F62" s="480">
        <f t="shared" si="11"/>
        <v>2.1517920395564358</v>
      </c>
      <c r="G62" s="225">
        <f>390.63</f>
        <v>390.63</v>
      </c>
      <c r="H62" s="225">
        <f>691.67</f>
        <v>691.67</v>
      </c>
      <c r="I62" s="225">
        <f t="shared" si="12"/>
        <v>-301.03999999999996</v>
      </c>
      <c r="J62" s="480">
        <f t="shared" si="13"/>
        <v>0.56476354330822509</v>
      </c>
      <c r="K62" s="225">
        <f>1186.01</f>
        <v>1186.01</v>
      </c>
      <c r="L62" s="225">
        <f>691.67</f>
        <v>691.67</v>
      </c>
      <c r="M62" s="225">
        <f t="shared" si="14"/>
        <v>494.34000000000003</v>
      </c>
      <c r="N62" s="480">
        <f t="shared" si="15"/>
        <v>1.7147049893735453</v>
      </c>
      <c r="O62" s="225">
        <f t="shared" si="20"/>
        <v>3064.9700000000003</v>
      </c>
      <c r="P62" s="225">
        <f t="shared" si="21"/>
        <v>2075.0099999999998</v>
      </c>
      <c r="Q62" s="225">
        <f t="shared" si="18"/>
        <v>989.96000000000049</v>
      </c>
      <c r="R62" s="480">
        <f t="shared" si="19"/>
        <v>1.4770868574127356</v>
      </c>
      <c r="S62" s="714"/>
      <c r="T62" s="541"/>
      <c r="U62" s="541"/>
    </row>
    <row r="63" spans="2:21" x14ac:dyDescent="0.25">
      <c r="B63" s="382" t="s">
        <v>236</v>
      </c>
      <c r="C63" s="225">
        <f>-655.24</f>
        <v>-655.24</v>
      </c>
      <c r="D63" s="225">
        <f>1037.5</f>
        <v>1037.5</v>
      </c>
      <c r="E63" s="225">
        <f t="shared" si="10"/>
        <v>-1692.74</v>
      </c>
      <c r="F63" s="480">
        <f t="shared" si="11"/>
        <v>-0.63155662650602407</v>
      </c>
      <c r="G63" s="225">
        <f>1941.62</f>
        <v>1941.62</v>
      </c>
      <c r="H63" s="225">
        <f>1037.5</f>
        <v>1037.5</v>
      </c>
      <c r="I63" s="225">
        <f t="shared" si="12"/>
        <v>904.11999999999989</v>
      </c>
      <c r="J63" s="480">
        <f t="shared" si="13"/>
        <v>1.8714409638554217</v>
      </c>
      <c r="K63" s="225">
        <f>5187.04</f>
        <v>5187.04</v>
      </c>
      <c r="L63" s="225">
        <f>1037.5</f>
        <v>1037.5</v>
      </c>
      <c r="M63" s="225">
        <f t="shared" si="14"/>
        <v>4149.54</v>
      </c>
      <c r="N63" s="480">
        <f t="shared" si="15"/>
        <v>4.9995566265060241</v>
      </c>
      <c r="O63" s="225">
        <f t="shared" si="20"/>
        <v>6473.42</v>
      </c>
      <c r="P63" s="225">
        <f t="shared" si="21"/>
        <v>3112.5</v>
      </c>
      <c r="Q63" s="225">
        <f t="shared" si="18"/>
        <v>3360.92</v>
      </c>
      <c r="R63" s="480">
        <f t="shared" si="19"/>
        <v>2.0798136546184738</v>
      </c>
      <c r="S63" s="714"/>
      <c r="T63" s="541"/>
      <c r="U63" s="541"/>
    </row>
    <row r="64" spans="2:21" x14ac:dyDescent="0.25">
      <c r="B64" s="382" t="s">
        <v>237</v>
      </c>
      <c r="C64" s="225">
        <f>1734.63</f>
        <v>1734.63</v>
      </c>
      <c r="D64" s="225">
        <f>345.83</f>
        <v>345.83</v>
      </c>
      <c r="E64" s="225">
        <f t="shared" si="10"/>
        <v>1388.8000000000002</v>
      </c>
      <c r="F64" s="480">
        <f t="shared" si="11"/>
        <v>5.0158459358644425</v>
      </c>
      <c r="G64" s="225">
        <f>1457.61</f>
        <v>1457.61</v>
      </c>
      <c r="H64" s="225">
        <f>345.83</f>
        <v>345.83</v>
      </c>
      <c r="I64" s="225">
        <f t="shared" si="12"/>
        <v>1111.78</v>
      </c>
      <c r="J64" s="480">
        <f t="shared" si="13"/>
        <v>4.2148165283520802</v>
      </c>
      <c r="K64" s="225">
        <f>1721.32</f>
        <v>1721.32</v>
      </c>
      <c r="L64" s="225">
        <f>345.83</f>
        <v>345.83</v>
      </c>
      <c r="M64" s="225">
        <f t="shared" si="14"/>
        <v>1375.49</v>
      </c>
      <c r="N64" s="480">
        <f t="shared" si="15"/>
        <v>4.9773588179163175</v>
      </c>
      <c r="O64" s="225">
        <f t="shared" si="20"/>
        <v>4913.5599999999995</v>
      </c>
      <c r="P64" s="225">
        <f t="shared" si="21"/>
        <v>1037.49</v>
      </c>
      <c r="Q64" s="225">
        <f t="shared" si="18"/>
        <v>3876.0699999999997</v>
      </c>
      <c r="R64" s="480">
        <f t="shared" si="19"/>
        <v>4.7360070940442798</v>
      </c>
      <c r="S64" s="714"/>
      <c r="T64" s="541"/>
      <c r="U64" s="541"/>
    </row>
    <row r="65" spans="2:21" x14ac:dyDescent="0.25">
      <c r="B65" s="382" t="s">
        <v>238</v>
      </c>
      <c r="C65" s="225">
        <f>171.54</f>
        <v>171.54</v>
      </c>
      <c r="D65" s="225">
        <f>171.54</f>
        <v>171.54</v>
      </c>
      <c r="E65" s="225">
        <f t="shared" si="10"/>
        <v>0</v>
      </c>
      <c r="F65" s="480">
        <f t="shared" si="11"/>
        <v>1</v>
      </c>
      <c r="G65" s="225">
        <f>171.54</f>
        <v>171.54</v>
      </c>
      <c r="H65" s="225">
        <f>171.54</f>
        <v>171.54</v>
      </c>
      <c r="I65" s="225">
        <f t="shared" si="12"/>
        <v>0</v>
      </c>
      <c r="J65" s="480">
        <f t="shared" si="13"/>
        <v>1</v>
      </c>
      <c r="K65" s="225">
        <f>171.54</f>
        <v>171.54</v>
      </c>
      <c r="L65" s="225">
        <f>171.54</f>
        <v>171.54</v>
      </c>
      <c r="M65" s="225">
        <f t="shared" si="14"/>
        <v>0</v>
      </c>
      <c r="N65" s="480">
        <f t="shared" si="15"/>
        <v>1</v>
      </c>
      <c r="O65" s="225">
        <f t="shared" si="20"/>
        <v>514.62</v>
      </c>
      <c r="P65" s="225">
        <f t="shared" si="21"/>
        <v>514.62</v>
      </c>
      <c r="Q65" s="225">
        <f t="shared" si="18"/>
        <v>0</v>
      </c>
      <c r="R65" s="480">
        <f t="shared" si="19"/>
        <v>1</v>
      </c>
      <c r="S65" s="714"/>
      <c r="T65" s="541"/>
      <c r="U65" s="541"/>
    </row>
    <row r="66" spans="2:21" x14ac:dyDescent="0.25">
      <c r="B66" s="382" t="s">
        <v>239</v>
      </c>
      <c r="C66" s="170"/>
      <c r="D66" s="225">
        <f>345.83</f>
        <v>345.83</v>
      </c>
      <c r="E66" s="225">
        <f t="shared" si="10"/>
        <v>-345.83</v>
      </c>
      <c r="F66" s="480">
        <f t="shared" si="11"/>
        <v>0</v>
      </c>
      <c r="G66" s="170"/>
      <c r="H66" s="225">
        <f>345.83</f>
        <v>345.83</v>
      </c>
      <c r="I66" s="225">
        <f t="shared" si="12"/>
        <v>-345.83</v>
      </c>
      <c r="J66" s="480">
        <f t="shared" si="13"/>
        <v>0</v>
      </c>
      <c r="K66" s="170"/>
      <c r="L66" s="225">
        <f>345.83</f>
        <v>345.83</v>
      </c>
      <c r="M66" s="225">
        <f t="shared" si="14"/>
        <v>-345.83</v>
      </c>
      <c r="N66" s="480">
        <f t="shared" si="15"/>
        <v>0</v>
      </c>
      <c r="O66" s="225">
        <f t="shared" si="20"/>
        <v>0</v>
      </c>
      <c r="P66" s="225">
        <f t="shared" si="21"/>
        <v>1037.49</v>
      </c>
      <c r="Q66" s="225">
        <f t="shared" si="18"/>
        <v>-1037.49</v>
      </c>
      <c r="R66" s="480">
        <f t="shared" si="19"/>
        <v>0</v>
      </c>
      <c r="S66" s="714"/>
      <c r="T66" s="541"/>
      <c r="U66" s="541"/>
    </row>
    <row r="67" spans="2:21" x14ac:dyDescent="0.25">
      <c r="B67" s="382" t="s">
        <v>240</v>
      </c>
      <c r="C67" s="225">
        <f>921.43</f>
        <v>921.43</v>
      </c>
      <c r="D67" s="225">
        <f>1729.17</f>
        <v>1729.17</v>
      </c>
      <c r="E67" s="225">
        <f t="shared" si="10"/>
        <v>-807.74000000000012</v>
      </c>
      <c r="F67" s="480">
        <f t="shared" si="11"/>
        <v>0.53287415349560763</v>
      </c>
      <c r="G67" s="225">
        <f>1158.41</f>
        <v>1158.4100000000001</v>
      </c>
      <c r="H67" s="225">
        <f>1729.17</f>
        <v>1729.17</v>
      </c>
      <c r="I67" s="225">
        <f t="shared" si="12"/>
        <v>-570.76</v>
      </c>
      <c r="J67" s="480">
        <f t="shared" si="13"/>
        <v>0.66992256400469596</v>
      </c>
      <c r="K67" s="225">
        <f>1305.19</f>
        <v>1305.19</v>
      </c>
      <c r="L67" s="225">
        <f>1729.17</f>
        <v>1729.17</v>
      </c>
      <c r="M67" s="225">
        <f t="shared" si="14"/>
        <v>-423.98</v>
      </c>
      <c r="N67" s="480">
        <f t="shared" si="15"/>
        <v>0.75480721964873321</v>
      </c>
      <c r="O67" s="225">
        <f t="shared" si="20"/>
        <v>3385.03</v>
      </c>
      <c r="P67" s="225">
        <f t="shared" si="21"/>
        <v>5187.51</v>
      </c>
      <c r="Q67" s="225">
        <f t="shared" si="18"/>
        <v>-1802.48</v>
      </c>
      <c r="R67" s="480">
        <f t="shared" si="19"/>
        <v>0.65253464571634556</v>
      </c>
      <c r="S67" s="714"/>
      <c r="T67" s="541"/>
      <c r="U67" s="541"/>
    </row>
    <row r="68" spans="2:21" x14ac:dyDescent="0.25">
      <c r="B68" s="382" t="s">
        <v>241</v>
      </c>
      <c r="C68" s="225">
        <f>521.74</f>
        <v>521.74</v>
      </c>
      <c r="D68" s="225">
        <f>312.32</f>
        <v>312.32</v>
      </c>
      <c r="E68" s="225">
        <f t="shared" si="10"/>
        <v>209.42000000000002</v>
      </c>
      <c r="F68" s="480">
        <f t="shared" si="11"/>
        <v>1.6705302254098362</v>
      </c>
      <c r="G68" s="225">
        <f>330.74</f>
        <v>330.74</v>
      </c>
      <c r="H68" s="225">
        <f>312.32</f>
        <v>312.32</v>
      </c>
      <c r="I68" s="225">
        <f t="shared" si="12"/>
        <v>18.420000000000016</v>
      </c>
      <c r="J68" s="480">
        <f t="shared" si="13"/>
        <v>1.0589779713114755</v>
      </c>
      <c r="K68" s="225">
        <f>1225.74</f>
        <v>1225.74</v>
      </c>
      <c r="L68" s="225">
        <f>312.32</f>
        <v>312.32</v>
      </c>
      <c r="M68" s="225">
        <f t="shared" si="14"/>
        <v>913.42000000000007</v>
      </c>
      <c r="N68" s="480">
        <f t="shared" si="15"/>
        <v>3.9246285860655741</v>
      </c>
      <c r="O68" s="225">
        <f t="shared" si="20"/>
        <v>2078.2200000000003</v>
      </c>
      <c r="P68" s="225">
        <f t="shared" si="21"/>
        <v>936.96</v>
      </c>
      <c r="Q68" s="225">
        <f t="shared" si="18"/>
        <v>1141.2600000000002</v>
      </c>
      <c r="R68" s="480">
        <f t="shared" si="19"/>
        <v>2.2180455942622954</v>
      </c>
      <c r="S68" s="714"/>
      <c r="T68" s="541"/>
      <c r="U68" s="541"/>
    </row>
    <row r="69" spans="2:21" x14ac:dyDescent="0.25">
      <c r="B69" s="382" t="s">
        <v>242</v>
      </c>
      <c r="C69" s="225">
        <f>389.67</f>
        <v>389.67</v>
      </c>
      <c r="D69" s="225">
        <f>172.92</f>
        <v>172.92</v>
      </c>
      <c r="E69" s="225">
        <f t="shared" si="10"/>
        <v>216.75000000000003</v>
      </c>
      <c r="F69" s="480">
        <f t="shared" si="11"/>
        <v>2.2534698126301183</v>
      </c>
      <c r="G69" s="225">
        <f>346.4</f>
        <v>346.4</v>
      </c>
      <c r="H69" s="225">
        <f>172.92</f>
        <v>172.92</v>
      </c>
      <c r="I69" s="225">
        <f t="shared" si="12"/>
        <v>173.48</v>
      </c>
      <c r="J69" s="480">
        <f t="shared" si="13"/>
        <v>2.0032384917881103</v>
      </c>
      <c r="K69" s="225"/>
      <c r="L69" s="225">
        <f>172.92</f>
        <v>172.92</v>
      </c>
      <c r="M69" s="225">
        <f t="shared" si="14"/>
        <v>-172.92</v>
      </c>
      <c r="N69" s="480">
        <f t="shared" si="15"/>
        <v>0</v>
      </c>
      <c r="O69" s="225">
        <f t="shared" si="20"/>
        <v>736.06999999999994</v>
      </c>
      <c r="P69" s="225">
        <f t="shared" si="21"/>
        <v>518.76</v>
      </c>
      <c r="Q69" s="225">
        <f t="shared" si="18"/>
        <v>217.30999999999995</v>
      </c>
      <c r="R69" s="480">
        <f t="shared" si="19"/>
        <v>1.4189027681394093</v>
      </c>
      <c r="S69" s="714"/>
      <c r="T69" s="541"/>
      <c r="U69" s="541"/>
    </row>
    <row r="70" spans="2:21" x14ac:dyDescent="0.25">
      <c r="B70" s="382" t="s">
        <v>243</v>
      </c>
      <c r="C70" s="225">
        <f>722.8</f>
        <v>722.8</v>
      </c>
      <c r="D70" s="225">
        <f>536</f>
        <v>536</v>
      </c>
      <c r="E70" s="225">
        <f t="shared" si="10"/>
        <v>186.79999999999995</v>
      </c>
      <c r="F70" s="480">
        <f t="shared" si="11"/>
        <v>1.3485074626865672</v>
      </c>
      <c r="G70" s="225">
        <f>259.04</f>
        <v>259.04000000000002</v>
      </c>
      <c r="H70" s="225">
        <f>536</f>
        <v>536</v>
      </c>
      <c r="I70" s="225">
        <f t="shared" si="12"/>
        <v>-276.95999999999998</v>
      </c>
      <c r="J70" s="480">
        <f t="shared" si="13"/>
        <v>0.4832835820895523</v>
      </c>
      <c r="K70" s="225">
        <f>482.82</f>
        <v>482.82</v>
      </c>
      <c r="L70" s="225">
        <f>536</f>
        <v>536</v>
      </c>
      <c r="M70" s="225">
        <f t="shared" si="14"/>
        <v>-53.180000000000007</v>
      </c>
      <c r="N70" s="480">
        <f t="shared" si="15"/>
        <v>0.90078358208955223</v>
      </c>
      <c r="O70" s="225">
        <f t="shared" si="20"/>
        <v>1464.6599999999999</v>
      </c>
      <c r="P70" s="225">
        <f t="shared" si="21"/>
        <v>1608</v>
      </c>
      <c r="Q70" s="225">
        <f t="shared" si="18"/>
        <v>-143.34000000000015</v>
      </c>
      <c r="R70" s="480">
        <f t="shared" si="19"/>
        <v>0.91085820895522374</v>
      </c>
      <c r="S70" s="714"/>
      <c r="T70" s="541"/>
      <c r="U70" s="541"/>
    </row>
    <row r="71" spans="2:21" x14ac:dyDescent="0.25">
      <c r="B71" s="382" t="s">
        <v>244</v>
      </c>
      <c r="C71" s="170"/>
      <c r="D71" s="225">
        <f>172.92</f>
        <v>172.92</v>
      </c>
      <c r="E71" s="225">
        <f t="shared" si="10"/>
        <v>-172.92</v>
      </c>
      <c r="F71" s="480">
        <f t="shared" si="11"/>
        <v>0</v>
      </c>
      <c r="G71" s="170"/>
      <c r="H71" s="225">
        <f>172.92</f>
        <v>172.92</v>
      </c>
      <c r="I71" s="225">
        <f t="shared" si="12"/>
        <v>-172.92</v>
      </c>
      <c r="J71" s="480">
        <f t="shared" si="13"/>
        <v>0</v>
      </c>
      <c r="K71" s="170"/>
      <c r="L71" s="225">
        <f>172.92</f>
        <v>172.92</v>
      </c>
      <c r="M71" s="225">
        <f t="shared" si="14"/>
        <v>-172.92</v>
      </c>
      <c r="N71" s="480">
        <f t="shared" si="15"/>
        <v>0</v>
      </c>
      <c r="O71" s="225">
        <f t="shared" si="20"/>
        <v>0</v>
      </c>
      <c r="P71" s="225">
        <f t="shared" si="21"/>
        <v>518.76</v>
      </c>
      <c r="Q71" s="225">
        <f t="shared" si="18"/>
        <v>-518.76</v>
      </c>
      <c r="R71" s="480">
        <f t="shared" si="19"/>
        <v>0</v>
      </c>
      <c r="S71" s="714"/>
      <c r="T71" s="541"/>
      <c r="U71" s="541"/>
    </row>
    <row r="72" spans="2:21" x14ac:dyDescent="0.25">
      <c r="B72" s="382" t="s">
        <v>245</v>
      </c>
      <c r="C72" s="170"/>
      <c r="D72" s="225">
        <f>1729.17</f>
        <v>1729.17</v>
      </c>
      <c r="E72" s="225">
        <f t="shared" si="10"/>
        <v>-1729.17</v>
      </c>
      <c r="F72" s="480">
        <f t="shared" si="11"/>
        <v>0</v>
      </c>
      <c r="G72" s="170"/>
      <c r="H72" s="225">
        <f>1729.17</f>
        <v>1729.17</v>
      </c>
      <c r="I72" s="225">
        <f t="shared" si="12"/>
        <v>-1729.17</v>
      </c>
      <c r="J72" s="480">
        <f t="shared" si="13"/>
        <v>0</v>
      </c>
      <c r="K72" s="170"/>
      <c r="L72" s="225">
        <f>1729.17</f>
        <v>1729.17</v>
      </c>
      <c r="M72" s="225">
        <f t="shared" si="14"/>
        <v>-1729.17</v>
      </c>
      <c r="N72" s="480">
        <f t="shared" si="15"/>
        <v>0</v>
      </c>
      <c r="O72" s="225">
        <f t="shared" si="20"/>
        <v>0</v>
      </c>
      <c r="P72" s="225">
        <f t="shared" si="21"/>
        <v>5187.51</v>
      </c>
      <c r="Q72" s="225">
        <f t="shared" si="18"/>
        <v>-5187.51</v>
      </c>
      <c r="R72" s="480">
        <f t="shared" si="19"/>
        <v>0</v>
      </c>
      <c r="S72" s="714"/>
      <c r="T72" s="541"/>
      <c r="U72" s="541"/>
    </row>
    <row r="73" spans="2:21" x14ac:dyDescent="0.25">
      <c r="B73" s="382" t="s">
        <v>246</v>
      </c>
      <c r="C73" s="225">
        <f>0</f>
        <v>0</v>
      </c>
      <c r="D73" s="225">
        <f>34.58</f>
        <v>34.58</v>
      </c>
      <c r="E73" s="225">
        <f t="shared" si="10"/>
        <v>-34.58</v>
      </c>
      <c r="F73" s="480">
        <f t="shared" si="11"/>
        <v>0</v>
      </c>
      <c r="G73" s="225">
        <f>4532.6</f>
        <v>4532.6000000000004</v>
      </c>
      <c r="H73" s="225">
        <f>34.58</f>
        <v>34.58</v>
      </c>
      <c r="I73" s="225">
        <f t="shared" si="12"/>
        <v>4498.0200000000004</v>
      </c>
      <c r="J73" s="480">
        <f t="shared" si="13"/>
        <v>131.07576633892424</v>
      </c>
      <c r="K73" s="225"/>
      <c r="L73" s="225">
        <f>34.58</f>
        <v>34.58</v>
      </c>
      <c r="M73" s="225">
        <f t="shared" si="14"/>
        <v>-34.58</v>
      </c>
      <c r="N73" s="480">
        <f t="shared" si="15"/>
        <v>0</v>
      </c>
      <c r="O73" s="225">
        <f t="shared" si="20"/>
        <v>4532.6000000000004</v>
      </c>
      <c r="P73" s="225">
        <f t="shared" si="21"/>
        <v>103.74</v>
      </c>
      <c r="Q73" s="225">
        <f t="shared" si="18"/>
        <v>4428.8600000000006</v>
      </c>
      <c r="R73" s="480">
        <f t="shared" si="19"/>
        <v>43.691922112974751</v>
      </c>
      <c r="S73" s="714"/>
      <c r="T73" s="541"/>
      <c r="U73" s="541"/>
    </row>
    <row r="74" spans="2:21" x14ac:dyDescent="0.25">
      <c r="B74" s="731" t="s">
        <v>247</v>
      </c>
      <c r="C74" s="124">
        <f>(((((((((((((((((C56)+(C57))+(C58))+(C59))+(C60))+(C61))+(C62))+(C63))+(C64))+(C65))+(C66))+(C67))+(C68))+(C69))+(C70))+(C71))+(C72))+(C73)</f>
        <v>14316.970000000001</v>
      </c>
      <c r="D74" s="124">
        <f>(((((((((((((((((D56)+(D57))+(D58))+(D59))+(D60))+(D61))+(D62))+(D63))+(D64))+(D65))+(D66))+(D67))+(D68))+(D69))+(D70))+(D71))+(D72))+(D73)</f>
        <v>20318.689999999995</v>
      </c>
      <c r="E74" s="124">
        <f t="shared" si="10"/>
        <v>-6001.7199999999939</v>
      </c>
      <c r="F74" s="482">
        <f t="shared" si="11"/>
        <v>0.70462072111932439</v>
      </c>
      <c r="G74" s="124">
        <f>(((((((((((((((((G56)+(G57))+(G58))+(G59))+(G60))+(G61))+(G62))+(G63))+(G64))+(G65))+(G66))+(G67))+(G68))+(G69))+(G70))+(G71))+(G72))+(G73)</f>
        <v>22650.57</v>
      </c>
      <c r="H74" s="124">
        <f>(((((((((((((((((H56)+(H57))+(H58))+(H59))+(H60))+(H61))+(H62))+(H63))+(H64))+(H65))+(H66))+(H67))+(H68))+(H69))+(H70))+(H71))+(H72))+(H73)</f>
        <v>20318.689999999995</v>
      </c>
      <c r="I74" s="124">
        <f t="shared" si="12"/>
        <v>2331.8800000000047</v>
      </c>
      <c r="J74" s="482">
        <f t="shared" si="13"/>
        <v>1.1147652727611872</v>
      </c>
      <c r="K74" s="124">
        <f>(((((((((((((((((K56)+(K57))+(K58))+(K59))+(K60))+(K61))+(K62))+(K63))+(K64))+(K65))+(K66))+(K67))+(K68))+(K69))+(K70))+(K71))+(K72))+(K73)</f>
        <v>22581.37</v>
      </c>
      <c r="L74" s="124">
        <f>(((((((((((((((((L56)+(L57))+(L58))+(L59))+(L60))+(L61))+(L62))+(L63))+(L64))+(L65))+(L66))+(L67))+(L68))+(L69))+(L70))+(L71))+(L72))+(L73)</f>
        <v>20318.689999999995</v>
      </c>
      <c r="M74" s="124">
        <f t="shared" si="14"/>
        <v>2262.6800000000039</v>
      </c>
      <c r="N74" s="482">
        <f t="shared" si="15"/>
        <v>1.1113595413877571</v>
      </c>
      <c r="O74" s="124">
        <f t="shared" si="20"/>
        <v>59548.91</v>
      </c>
      <c r="P74" s="124">
        <f t="shared" si="21"/>
        <v>60956.069999999985</v>
      </c>
      <c r="Q74" s="124">
        <f t="shared" si="18"/>
        <v>-1407.1599999999817</v>
      </c>
      <c r="R74" s="482">
        <f t="shared" si="19"/>
        <v>0.97691517842275621</v>
      </c>
      <c r="S74" s="715"/>
      <c r="T74" s="738">
        <f>K74/$K$11</f>
        <v>7.8226131582504549E-2</v>
      </c>
      <c r="U74" s="738">
        <f>L74/$L$11</f>
        <v>5.8752839120509277E-2</v>
      </c>
    </row>
    <row r="75" spans="2:21" x14ac:dyDescent="0.25">
      <c r="B75" s="732" t="s">
        <v>248</v>
      </c>
      <c r="C75" s="524">
        <f>(((((((((C26)+(C27))+(C28))+(C29))+(C30))+(C36))+(C42))+(C48))+(C55))+(C74)</f>
        <v>96531.98000000001</v>
      </c>
      <c r="D75" s="524">
        <f>(((((((((D26)+(D27))+(D28))+(D29))+(D30))+(D36))+(D42))+(D48))+(D55))+(D74)</f>
        <v>114715.15</v>
      </c>
      <c r="E75" s="524">
        <f t="shared" si="10"/>
        <v>-18183.169999999984</v>
      </c>
      <c r="F75" s="481">
        <f t="shared" si="11"/>
        <v>0.84149286297407111</v>
      </c>
      <c r="G75" s="524">
        <f>(((((((((G26)+(G27))+(G28))+(G29))+(G30))+(G36))+(G42))+(G48))+(G55))+(G74)</f>
        <v>112173.43</v>
      </c>
      <c r="H75" s="524">
        <f>(((((((((H26)+(H27))+(H28))+(H29))+(H30))+(H36))+(H42))+(H48))+(H55))+(H74)</f>
        <v>114715.15</v>
      </c>
      <c r="I75" s="524">
        <f t="shared" si="12"/>
        <v>-2541.7200000000012</v>
      </c>
      <c r="J75" s="481">
        <f t="shared" si="13"/>
        <v>0.97784320553998316</v>
      </c>
      <c r="K75" s="524">
        <f>(((((((((K26)+(K27))+(K28))+(K29))+(K30))+(K36))+(K42))+(K48))+(K55))+(K74)</f>
        <v>126463.12999999998</v>
      </c>
      <c r="L75" s="524">
        <f>(((((((((L26)+(L27))+(L28))+(L29))+(L30))+(L36))+(L42))+(L48))+(L55))+(L74)</f>
        <v>114715.15</v>
      </c>
      <c r="M75" s="524">
        <f t="shared" si="14"/>
        <v>11747.979999999981</v>
      </c>
      <c r="N75" s="481">
        <f t="shared" si="15"/>
        <v>1.1024100129756182</v>
      </c>
      <c r="O75" s="524">
        <f t="shared" si="20"/>
        <v>335168.53999999998</v>
      </c>
      <c r="P75" s="524">
        <f t="shared" si="21"/>
        <v>344145.44999999995</v>
      </c>
      <c r="Q75" s="524">
        <f t="shared" si="18"/>
        <v>-8976.9099999999744</v>
      </c>
      <c r="R75" s="481">
        <f t="shared" si="19"/>
        <v>0.97391536049655758</v>
      </c>
      <c r="S75" s="715"/>
      <c r="T75" s="738">
        <f>K75/$K$11</f>
        <v>0.43809217278293461</v>
      </c>
      <c r="U75" s="738">
        <f>L75/$L$11</f>
        <v>0.33170646102849599</v>
      </c>
    </row>
    <row r="76" spans="2:21" x14ac:dyDescent="0.25">
      <c r="B76" s="732" t="s">
        <v>249</v>
      </c>
      <c r="C76" s="524">
        <f>(C19)-(C75)</f>
        <v>-24384.940000000031</v>
      </c>
      <c r="D76" s="524">
        <f>(D19)-(D75)</f>
        <v>100518.39000000004</v>
      </c>
      <c r="E76" s="524">
        <f t="shared" si="10"/>
        <v>-124903.33000000007</v>
      </c>
      <c r="F76" s="481">
        <f t="shared" si="11"/>
        <v>-0.24259182822168182</v>
      </c>
      <c r="G76" s="524">
        <f>(G19)-(G75)</f>
        <v>-11811.729999999996</v>
      </c>
      <c r="H76" s="524">
        <f>(H19)-(H75)</f>
        <v>100518.39000000004</v>
      </c>
      <c r="I76" s="524">
        <f t="shared" si="12"/>
        <v>-112330.12000000004</v>
      </c>
      <c r="J76" s="481">
        <f t="shared" si="13"/>
        <v>-0.11750814950378723</v>
      </c>
      <c r="K76" s="524">
        <f>(K19)-(K75)</f>
        <v>16743.630000000005</v>
      </c>
      <c r="L76" s="524">
        <f>(L19)-(L75)</f>
        <v>100518.39000000004</v>
      </c>
      <c r="M76" s="524">
        <f t="shared" si="14"/>
        <v>-83774.760000000038</v>
      </c>
      <c r="N76" s="481">
        <f t="shared" si="15"/>
        <v>0.16657280324525689</v>
      </c>
      <c r="O76" s="524">
        <f t="shared" si="20"/>
        <v>-19453.040000000023</v>
      </c>
      <c r="P76" s="524">
        <f t="shared" si="21"/>
        <v>301555.17000000016</v>
      </c>
      <c r="Q76" s="524">
        <f t="shared" si="18"/>
        <v>-321008.2100000002</v>
      </c>
      <c r="R76" s="481">
        <f t="shared" si="19"/>
        <v>-6.4509058160070715E-2</v>
      </c>
      <c r="S76" s="715"/>
      <c r="T76" s="738">
        <f>K76/$K$11</f>
        <v>5.8003097400590439E-2</v>
      </c>
      <c r="U76" s="738">
        <f>L76/$L$11</f>
        <v>0.29065558834366845</v>
      </c>
    </row>
    <row r="77" spans="2:21" x14ac:dyDescent="0.25">
      <c r="B77" s="384" t="s">
        <v>250</v>
      </c>
      <c r="C77" s="170"/>
      <c r="D77" s="170"/>
      <c r="E77" s="170"/>
      <c r="F77" s="472"/>
      <c r="G77" s="170"/>
      <c r="H77" s="170"/>
      <c r="I77" s="170"/>
      <c r="J77" s="472"/>
      <c r="K77" s="170"/>
      <c r="L77" s="170"/>
      <c r="M77" s="170"/>
      <c r="N77" s="472"/>
      <c r="O77" s="170"/>
      <c r="P77" s="170"/>
      <c r="Q77" s="170"/>
      <c r="R77" s="472"/>
      <c r="S77" s="713"/>
      <c r="T77" s="541"/>
      <c r="U77" s="541"/>
    </row>
    <row r="78" spans="2:21" x14ac:dyDescent="0.25">
      <c r="B78" s="381" t="s">
        <v>251</v>
      </c>
      <c r="C78" s="225">
        <f>15050</f>
        <v>15050</v>
      </c>
      <c r="D78" s="170"/>
      <c r="E78" s="170">
        <f>(C78)-(D78)</f>
        <v>15050</v>
      </c>
      <c r="F78" s="277" t="str">
        <f>IF(D78=0,"",(C78)/(D78))</f>
        <v/>
      </c>
      <c r="G78" s="225"/>
      <c r="H78" s="170"/>
      <c r="I78" s="170">
        <f>(G78)-(H78)</f>
        <v>0</v>
      </c>
      <c r="J78" s="277" t="str">
        <f>IF(H78=0,"",(G78)/(H78))</f>
        <v/>
      </c>
      <c r="K78" s="225">
        <f>639.99</f>
        <v>639.99</v>
      </c>
      <c r="L78" s="170"/>
      <c r="M78" s="170">
        <f>(K78)-(L78)</f>
        <v>639.99</v>
      </c>
      <c r="N78" s="277" t="str">
        <f>IF(L78=0,"",(K78)/(L78))</f>
        <v/>
      </c>
      <c r="O78" s="225">
        <f t="shared" ref="O78:P80" si="22">((C78)+(G78))+(K78)</f>
        <v>15689.99</v>
      </c>
      <c r="P78" s="225">
        <f t="shared" si="22"/>
        <v>0</v>
      </c>
      <c r="Q78" s="225">
        <f>(O78)-(P78)</f>
        <v>15689.99</v>
      </c>
      <c r="R78" s="480" t="str">
        <f>IF(P78=0,"",(O78)/(P78))</f>
        <v/>
      </c>
      <c r="S78" s="713" t="s">
        <v>252</v>
      </c>
      <c r="T78" s="541"/>
      <c r="U78" s="541"/>
    </row>
    <row r="79" spans="2:21" ht="30" x14ac:dyDescent="0.25">
      <c r="B79" s="381" t="s">
        <v>1277</v>
      </c>
      <c r="C79" s="225"/>
      <c r="D79" s="170"/>
      <c r="E79" s="170">
        <f>(C79)-(D79)</f>
        <v>0</v>
      </c>
      <c r="F79" s="277" t="str">
        <f>IF(D79=0,"",(C79)/(D79))</f>
        <v/>
      </c>
      <c r="G79" s="225"/>
      <c r="H79" s="170"/>
      <c r="I79" s="170">
        <f>(G79)-(H79)</f>
        <v>0</v>
      </c>
      <c r="J79" s="277" t="str">
        <f>IF(H79=0,"",(G79)/(H79))</f>
        <v/>
      </c>
      <c r="K79" s="225">
        <f>12897.29</f>
        <v>12897.29</v>
      </c>
      <c r="L79" s="170"/>
      <c r="M79" s="170">
        <f>(K79)-(L79)</f>
        <v>12897.29</v>
      </c>
      <c r="N79" s="277" t="str">
        <f>IF(L79=0,"",(K79)/(L79))</f>
        <v/>
      </c>
      <c r="O79" s="225">
        <f t="shared" si="22"/>
        <v>12897.29</v>
      </c>
      <c r="P79" s="225">
        <f t="shared" si="22"/>
        <v>0</v>
      </c>
      <c r="Q79" s="225">
        <f>(O79)-(P79)</f>
        <v>12897.29</v>
      </c>
      <c r="R79" s="480" t="str">
        <f>IF(P79=0,"",(O79)/(P79))</f>
        <v/>
      </c>
      <c r="S79" s="848" t="s">
        <v>1279</v>
      </c>
      <c r="T79" s="541"/>
      <c r="U79" s="541"/>
    </row>
    <row r="80" spans="2:21" x14ac:dyDescent="0.25">
      <c r="B80" s="732" t="s">
        <v>253</v>
      </c>
      <c r="C80" s="524">
        <f>(C78)+(C79)</f>
        <v>15050</v>
      </c>
      <c r="D80" s="524">
        <f>(D78)+(D79)</f>
        <v>0</v>
      </c>
      <c r="E80" s="524">
        <f>(C80)-(D80)</f>
        <v>15050</v>
      </c>
      <c r="F80" s="733" t="str">
        <f>IF(D80=0,"",(C80)/(D80))</f>
        <v/>
      </c>
      <c r="G80" s="524">
        <f>(G78)+(G79)</f>
        <v>0</v>
      </c>
      <c r="H80" s="524">
        <f>(H78)+(H79)</f>
        <v>0</v>
      </c>
      <c r="I80" s="524">
        <f>(G80)-(H80)</f>
        <v>0</v>
      </c>
      <c r="J80" s="733" t="str">
        <f>IF(H80=0,"",(G80)/(H80))</f>
        <v/>
      </c>
      <c r="K80" s="524">
        <f>(K78)+(K79)</f>
        <v>13537.28</v>
      </c>
      <c r="L80" s="524">
        <f>(L78)+(L79)</f>
        <v>0</v>
      </c>
      <c r="M80" s="524">
        <f>(K80)-(L80)</f>
        <v>13537.28</v>
      </c>
      <c r="N80" s="733" t="str">
        <f>IF(L80=0,"",(K80)/(L80))</f>
        <v/>
      </c>
      <c r="O80" s="524">
        <f t="shared" si="22"/>
        <v>28587.279999999999</v>
      </c>
      <c r="P80" s="524">
        <f t="shared" si="22"/>
        <v>0</v>
      </c>
      <c r="Q80" s="524">
        <f>(O80)-(P80)</f>
        <v>28587.279999999999</v>
      </c>
      <c r="R80" s="481" t="str">
        <f>IF(P80=0,"",(O80)/(P80))</f>
        <v/>
      </c>
      <c r="S80" s="715"/>
      <c r="T80" s="738">
        <f>K80/$K$11</f>
        <v>4.6895695281074942E-2</v>
      </c>
      <c r="U80" s="738">
        <f>L80/$L$11</f>
        <v>0</v>
      </c>
    </row>
    <row r="81" spans="2:21" outlineLevel="1" x14ac:dyDescent="0.25">
      <c r="B81" s="384" t="s">
        <v>254</v>
      </c>
      <c r="C81" s="170"/>
      <c r="D81" s="170"/>
      <c r="E81" s="170"/>
      <c r="F81" s="472"/>
      <c r="G81" s="170"/>
      <c r="H81" s="170"/>
      <c r="I81" s="170"/>
      <c r="J81" s="472"/>
      <c r="K81" s="170"/>
      <c r="L81" s="170"/>
      <c r="M81" s="170"/>
      <c r="N81" s="472"/>
      <c r="O81" s="170"/>
      <c r="P81" s="170"/>
      <c r="Q81" s="170"/>
      <c r="R81" s="472"/>
      <c r="S81" s="713"/>
      <c r="T81" s="541"/>
      <c r="U81" s="541"/>
    </row>
    <row r="82" spans="2:21" outlineLevel="1" x14ac:dyDescent="0.25">
      <c r="B82" s="381" t="s">
        <v>1059</v>
      </c>
      <c r="C82" s="170"/>
      <c r="D82" s="170"/>
      <c r="E82" s="170">
        <f t="shared" ref="E82:E89" si="23">(C82)-(D82)</f>
        <v>0</v>
      </c>
      <c r="F82" s="472" t="str">
        <f t="shared" ref="F82:F89" si="24">IF(D82=0,"",(C82)/(D82))</f>
        <v/>
      </c>
      <c r="G82" s="170">
        <f>1816.79</f>
        <v>1816.79</v>
      </c>
      <c r="H82" s="170"/>
      <c r="I82" s="170">
        <f t="shared" ref="I82:I89" si="25">(G82)-(H82)</f>
        <v>1816.79</v>
      </c>
      <c r="J82" s="472" t="str">
        <f t="shared" ref="J82:J89" si="26">IF(H82=0,"",(G82)/(H82))</f>
        <v/>
      </c>
      <c r="K82" s="170">
        <f>17.04</f>
        <v>17.04</v>
      </c>
      <c r="L82" s="170"/>
      <c r="M82" s="170">
        <f t="shared" ref="M82:M89" si="27">(K82)-(L82)</f>
        <v>17.04</v>
      </c>
      <c r="N82" s="472" t="str">
        <f t="shared" ref="N82:N89" si="28">IF(L82=0,"",(K82)/(L82))</f>
        <v/>
      </c>
      <c r="O82" s="170">
        <f t="shared" ref="O82:P89" si="29">((C82)+(G82))+(K82)</f>
        <v>1833.83</v>
      </c>
      <c r="P82" s="170">
        <f t="shared" si="29"/>
        <v>0</v>
      </c>
      <c r="Q82" s="170">
        <f t="shared" ref="Q82:Q89" si="30">(O82)-(P82)</f>
        <v>1833.83</v>
      </c>
      <c r="R82" s="472" t="str">
        <f t="shared" ref="R82:R89" si="31">IF(P82=0,"",(O82)/(P82))</f>
        <v/>
      </c>
      <c r="S82" s="713"/>
      <c r="T82" s="541"/>
      <c r="U82" s="541"/>
    </row>
    <row r="83" spans="2:21" outlineLevel="1" x14ac:dyDescent="0.25">
      <c r="B83" s="381" t="s">
        <v>255</v>
      </c>
      <c r="C83" s="225">
        <f>21510.5</f>
        <v>21510.5</v>
      </c>
      <c r="D83" s="225">
        <f>16908.2</f>
        <v>16908.2</v>
      </c>
      <c r="E83" s="225">
        <f t="shared" si="23"/>
        <v>4602.2999999999993</v>
      </c>
      <c r="F83" s="480">
        <f t="shared" si="24"/>
        <v>1.2721933736293631</v>
      </c>
      <c r="G83" s="225">
        <f>20760</f>
        <v>20760</v>
      </c>
      <c r="H83" s="225">
        <f>16882.05</f>
        <v>16882.05</v>
      </c>
      <c r="I83" s="225">
        <f t="shared" si="25"/>
        <v>3877.9500000000007</v>
      </c>
      <c r="J83" s="480">
        <f t="shared" si="26"/>
        <v>1.2297084773472418</v>
      </c>
      <c r="K83" s="225">
        <f>27038.72</f>
        <v>27038.720000000001</v>
      </c>
      <c r="L83" s="225">
        <f>16855.71</f>
        <v>16855.71</v>
      </c>
      <c r="M83" s="225">
        <f t="shared" si="27"/>
        <v>10183.010000000002</v>
      </c>
      <c r="N83" s="480">
        <f t="shared" si="28"/>
        <v>1.6041282153050807</v>
      </c>
      <c r="O83" s="225">
        <f t="shared" si="29"/>
        <v>69309.22</v>
      </c>
      <c r="P83" s="225">
        <f t="shared" si="29"/>
        <v>50645.96</v>
      </c>
      <c r="Q83" s="225">
        <f t="shared" si="30"/>
        <v>18663.260000000002</v>
      </c>
      <c r="R83" s="480">
        <f t="shared" si="31"/>
        <v>1.3685044177265078</v>
      </c>
      <c r="S83" s="714"/>
      <c r="T83" s="541"/>
      <c r="U83" s="541"/>
    </row>
    <row r="84" spans="2:21" outlineLevel="1" x14ac:dyDescent="0.25">
      <c r="B84" s="381" t="s">
        <v>256</v>
      </c>
      <c r="C84" s="225">
        <f>9720.17</f>
        <v>9720.17</v>
      </c>
      <c r="D84" s="225">
        <f>9034.76</f>
        <v>9034.76</v>
      </c>
      <c r="E84" s="225">
        <f t="shared" si="23"/>
        <v>685.40999999999985</v>
      </c>
      <c r="F84" s="480">
        <f t="shared" si="24"/>
        <v>1.0758636643364075</v>
      </c>
      <c r="G84" s="225">
        <f>8887.16</f>
        <v>8887.16</v>
      </c>
      <c r="H84" s="225">
        <f>8975.11</f>
        <v>8975.11</v>
      </c>
      <c r="I84" s="225">
        <f t="shared" si="25"/>
        <v>-87.950000000000728</v>
      </c>
      <c r="J84" s="480">
        <f t="shared" si="26"/>
        <v>0.99020067720618454</v>
      </c>
      <c r="K84" s="225">
        <f>10169.38</f>
        <v>10169.379999999999</v>
      </c>
      <c r="L84" s="225">
        <f>8914.86</f>
        <v>8914.86</v>
      </c>
      <c r="M84" s="225">
        <f t="shared" si="27"/>
        <v>1254.5199999999986</v>
      </c>
      <c r="N84" s="480">
        <f t="shared" si="28"/>
        <v>1.1407223444899863</v>
      </c>
      <c r="O84" s="225">
        <f t="shared" si="29"/>
        <v>28776.71</v>
      </c>
      <c r="P84" s="225">
        <f t="shared" si="29"/>
        <v>26924.730000000003</v>
      </c>
      <c r="Q84" s="225">
        <f t="shared" si="30"/>
        <v>1851.9799999999959</v>
      </c>
      <c r="R84" s="480">
        <f t="shared" si="31"/>
        <v>1.0687836052580655</v>
      </c>
      <c r="S84" s="714"/>
      <c r="T84" s="541"/>
      <c r="U84" s="541"/>
    </row>
    <row r="85" spans="2:21" outlineLevel="1" x14ac:dyDescent="0.25">
      <c r="B85" s="381" t="s">
        <v>257</v>
      </c>
      <c r="C85" s="225">
        <f>4623</f>
        <v>4623</v>
      </c>
      <c r="D85" s="225">
        <f>3621.9</f>
        <v>3621.9</v>
      </c>
      <c r="E85" s="225">
        <f t="shared" si="23"/>
        <v>1001.0999999999999</v>
      </c>
      <c r="F85" s="480">
        <f t="shared" si="24"/>
        <v>1.2764018885115547</v>
      </c>
      <c r="G85" s="225">
        <f>4623</f>
        <v>4623</v>
      </c>
      <c r="H85" s="225">
        <f>3621.9</f>
        <v>3621.9</v>
      </c>
      <c r="I85" s="225">
        <f t="shared" si="25"/>
        <v>1001.0999999999999</v>
      </c>
      <c r="J85" s="480">
        <f t="shared" si="26"/>
        <v>1.2764018885115547</v>
      </c>
      <c r="K85" s="225">
        <f>4746.6</f>
        <v>4746.6000000000004</v>
      </c>
      <c r="L85" s="225">
        <f>3621.9</f>
        <v>3621.9</v>
      </c>
      <c r="M85" s="225">
        <f t="shared" si="27"/>
        <v>1124.7000000000003</v>
      </c>
      <c r="N85" s="480">
        <f t="shared" si="28"/>
        <v>1.3105276236229604</v>
      </c>
      <c r="O85" s="225">
        <f t="shared" si="29"/>
        <v>13992.6</v>
      </c>
      <c r="P85" s="225">
        <f t="shared" si="29"/>
        <v>10865.7</v>
      </c>
      <c r="Q85" s="225">
        <f t="shared" si="30"/>
        <v>3126.8999999999996</v>
      </c>
      <c r="R85" s="480">
        <f t="shared" si="31"/>
        <v>1.2877771335486898</v>
      </c>
      <c r="S85" s="714"/>
      <c r="T85" s="541"/>
      <c r="U85" s="541"/>
    </row>
    <row r="86" spans="2:21" outlineLevel="1" x14ac:dyDescent="0.25">
      <c r="B86" s="381" t="s">
        <v>258</v>
      </c>
      <c r="C86" s="225">
        <f>12988.8</f>
        <v>12988.8</v>
      </c>
      <c r="D86" s="225">
        <f>12988.8</f>
        <v>12988.8</v>
      </c>
      <c r="E86" s="225">
        <f t="shared" si="23"/>
        <v>0</v>
      </c>
      <c r="F86" s="480">
        <f t="shared" si="24"/>
        <v>1</v>
      </c>
      <c r="G86" s="225">
        <f>12988.8</f>
        <v>12988.8</v>
      </c>
      <c r="H86" s="225">
        <f>12988.8</f>
        <v>12988.8</v>
      </c>
      <c r="I86" s="225">
        <f t="shared" si="25"/>
        <v>0</v>
      </c>
      <c r="J86" s="480">
        <f t="shared" si="26"/>
        <v>1</v>
      </c>
      <c r="K86" s="225">
        <f>12988.8</f>
        <v>12988.8</v>
      </c>
      <c r="L86" s="225">
        <f>12988.8</f>
        <v>12988.8</v>
      </c>
      <c r="M86" s="225">
        <f t="shared" si="27"/>
        <v>0</v>
      </c>
      <c r="N86" s="480">
        <f t="shared" si="28"/>
        <v>1</v>
      </c>
      <c r="O86" s="225">
        <f t="shared" si="29"/>
        <v>38966.399999999994</v>
      </c>
      <c r="P86" s="225">
        <f t="shared" si="29"/>
        <v>38966.399999999994</v>
      </c>
      <c r="Q86" s="225">
        <f t="shared" si="30"/>
        <v>0</v>
      </c>
      <c r="R86" s="480">
        <f t="shared" si="31"/>
        <v>1</v>
      </c>
      <c r="S86" s="714"/>
      <c r="T86" s="541"/>
      <c r="U86" s="541"/>
    </row>
    <row r="87" spans="2:21" outlineLevel="1" x14ac:dyDescent="0.25">
      <c r="B87" s="384" t="s">
        <v>259</v>
      </c>
      <c r="C87" s="724">
        <f>((((C82)+(C83))+(C84))+(C85))+(C86)</f>
        <v>48842.47</v>
      </c>
      <c r="D87" s="724">
        <f>((((D82)+(D83))+(D84))+(D85))+(D86)</f>
        <v>42553.66</v>
      </c>
      <c r="E87" s="724">
        <f t="shared" si="23"/>
        <v>6288.8099999999977</v>
      </c>
      <c r="F87" s="727">
        <f t="shared" si="24"/>
        <v>1.147785407882659</v>
      </c>
      <c r="G87" s="724">
        <f>((((G82)+(G83))+(G84))+(G85))+(G86)</f>
        <v>49075.75</v>
      </c>
      <c r="H87" s="724">
        <f>((((H82)+(H83))+(H84))+(H85))+(H86)</f>
        <v>42467.86</v>
      </c>
      <c r="I87" s="724">
        <f t="shared" si="25"/>
        <v>6607.8899999999994</v>
      </c>
      <c r="J87" s="727">
        <f t="shared" si="26"/>
        <v>1.1555974329763732</v>
      </c>
      <c r="K87" s="724">
        <f>((((K82)+(K83))+(K84))+(K85))+(K86)</f>
        <v>54960.539999999994</v>
      </c>
      <c r="L87" s="724">
        <f>((((L82)+(L83))+(L84))+(L85))+(L86)</f>
        <v>42381.270000000004</v>
      </c>
      <c r="M87" s="724">
        <f t="shared" si="27"/>
        <v>12579.26999999999</v>
      </c>
      <c r="N87" s="727">
        <f t="shared" si="28"/>
        <v>1.2968120115324526</v>
      </c>
      <c r="O87" s="724">
        <f t="shared" si="29"/>
        <v>152878.76</v>
      </c>
      <c r="P87" s="724">
        <f t="shared" si="29"/>
        <v>127402.79000000001</v>
      </c>
      <c r="Q87" s="724">
        <f t="shared" si="30"/>
        <v>25475.97</v>
      </c>
      <c r="R87" s="727">
        <f t="shared" si="31"/>
        <v>1.199963988229771</v>
      </c>
      <c r="S87" s="715"/>
      <c r="T87" s="541"/>
      <c r="U87" s="541"/>
    </row>
    <row r="88" spans="2:21" outlineLevel="1" x14ac:dyDescent="0.25">
      <c r="B88" s="384" t="s">
        <v>260</v>
      </c>
      <c r="C88" s="724">
        <f>(C80)-(C87)</f>
        <v>-33792.47</v>
      </c>
      <c r="D88" s="724">
        <f>(D80)-(D87)</f>
        <v>-42553.66</v>
      </c>
      <c r="E88" s="724">
        <f t="shared" si="23"/>
        <v>8761.1900000000023</v>
      </c>
      <c r="F88" s="727">
        <f t="shared" si="24"/>
        <v>0.79411430180153708</v>
      </c>
      <c r="G88" s="724">
        <f>(G80)-(G87)</f>
        <v>-49075.75</v>
      </c>
      <c r="H88" s="724">
        <f>(H80)-(H87)</f>
        <v>-42467.86</v>
      </c>
      <c r="I88" s="724">
        <f t="shared" si="25"/>
        <v>-6607.8899999999994</v>
      </c>
      <c r="J88" s="727">
        <f t="shared" si="26"/>
        <v>1.1555974329763732</v>
      </c>
      <c r="K88" s="724">
        <f>(K80)-(K87)</f>
        <v>-41423.259999999995</v>
      </c>
      <c r="L88" s="724">
        <f>(L80)-(L87)</f>
        <v>-42381.270000000004</v>
      </c>
      <c r="M88" s="724">
        <f t="shared" si="27"/>
        <v>958.01000000000931</v>
      </c>
      <c r="N88" s="727">
        <f t="shared" si="28"/>
        <v>0.97739543907013615</v>
      </c>
      <c r="O88" s="724">
        <f t="shared" si="29"/>
        <v>-124291.48</v>
      </c>
      <c r="P88" s="724">
        <f t="shared" si="29"/>
        <v>-127402.79000000001</v>
      </c>
      <c r="Q88" s="724">
        <f t="shared" si="30"/>
        <v>3111.3100000000122</v>
      </c>
      <c r="R88" s="727">
        <f t="shared" si="31"/>
        <v>0.97557894925221011</v>
      </c>
      <c r="S88" s="715"/>
      <c r="T88" s="544"/>
      <c r="U88" s="544"/>
    </row>
    <row r="89" spans="2:21" ht="15.75" outlineLevel="1" thickBot="1" x14ac:dyDescent="0.3">
      <c r="B89" s="387" t="s">
        <v>132</v>
      </c>
      <c r="C89" s="728">
        <f>(C76)+(C88)</f>
        <v>-58177.410000000033</v>
      </c>
      <c r="D89" s="728">
        <f>(D76)+(D88)</f>
        <v>57964.73000000004</v>
      </c>
      <c r="E89" s="728">
        <f t="shared" si="23"/>
        <v>-116142.14000000007</v>
      </c>
      <c r="F89" s="729">
        <f t="shared" si="24"/>
        <v>-1.0036691277609677</v>
      </c>
      <c r="G89" s="728">
        <f>(G76)+(G88)</f>
        <v>-60887.479999999996</v>
      </c>
      <c r="H89" s="728">
        <f>(H76)+(H88)</f>
        <v>58050.530000000042</v>
      </c>
      <c r="I89" s="728">
        <f t="shared" si="25"/>
        <v>-118938.01000000004</v>
      </c>
      <c r="J89" s="729">
        <f t="shared" si="26"/>
        <v>-1.0488703548443046</v>
      </c>
      <c r="K89" s="728">
        <f>(K76)+(K88)</f>
        <v>-24679.62999999999</v>
      </c>
      <c r="L89" s="728">
        <f>(L76)+(L88)</f>
        <v>58137.120000000039</v>
      </c>
      <c r="M89" s="728">
        <f t="shared" si="27"/>
        <v>-82816.750000000029</v>
      </c>
      <c r="N89" s="729">
        <f t="shared" si="28"/>
        <v>-0.42450726833389707</v>
      </c>
      <c r="O89" s="728">
        <f t="shared" si="29"/>
        <v>-143744.52000000002</v>
      </c>
      <c r="P89" s="728">
        <f t="shared" si="29"/>
        <v>174152.38000000012</v>
      </c>
      <c r="Q89" s="728">
        <f t="shared" si="30"/>
        <v>-317896.90000000014</v>
      </c>
      <c r="R89" s="729">
        <f t="shared" si="31"/>
        <v>-0.82539509365304065</v>
      </c>
      <c r="S89" s="715"/>
      <c r="T89" s="544"/>
      <c r="U89" s="544"/>
    </row>
    <row r="90" spans="2:21" ht="15.75" thickBot="1" x14ac:dyDescent="0.3">
      <c r="B90" s="176"/>
      <c r="C90" s="719"/>
      <c r="F90" s="720"/>
      <c r="G90" s="719"/>
      <c r="J90" s="720"/>
      <c r="K90" s="719"/>
      <c r="L90" s="172"/>
      <c r="M90" s="172"/>
      <c r="N90" s="720"/>
      <c r="O90" s="719"/>
      <c r="R90" s="720"/>
      <c r="S90" s="177"/>
      <c r="T90" s="541"/>
      <c r="U90" s="541"/>
    </row>
    <row r="91" spans="2:21" ht="15.75" thickBot="1" x14ac:dyDescent="0.3">
      <c r="B91" s="396" t="s">
        <v>261</v>
      </c>
      <c r="C91" s="270">
        <f t="shared" ref="C91:Q91" si="32">+C76+C80</f>
        <v>-9334.9400000000314</v>
      </c>
      <c r="D91" s="271">
        <f t="shared" si="32"/>
        <v>100518.39000000004</v>
      </c>
      <c r="E91" s="271">
        <f>+E76+E80</f>
        <v>-109853.33000000007</v>
      </c>
      <c r="F91" s="526">
        <f>C91/D91</f>
        <v>-9.2867981669822089E-2</v>
      </c>
      <c r="G91" s="270">
        <f>+G76+G80</f>
        <v>-11811.729999999996</v>
      </c>
      <c r="H91" s="271">
        <f t="shared" ref="H91" si="33">+H76+H80</f>
        <v>100518.39000000004</v>
      </c>
      <c r="I91" s="271">
        <f>+I76+I80</f>
        <v>-112330.12000000004</v>
      </c>
      <c r="J91" s="526">
        <f>G91/H91</f>
        <v>-0.11750814950378723</v>
      </c>
      <c r="K91" s="270">
        <f>+K76+K80</f>
        <v>30280.910000000003</v>
      </c>
      <c r="L91" s="271">
        <f t="shared" ref="L91" si="34">+L76+L80</f>
        <v>100518.39000000004</v>
      </c>
      <c r="M91" s="271">
        <f>+M76+M80</f>
        <v>-70237.48000000004</v>
      </c>
      <c r="N91" s="526">
        <f>K91/L91</f>
        <v>0.30124746327512797</v>
      </c>
      <c r="O91" s="270">
        <f t="shared" si="32"/>
        <v>9134.2399999999761</v>
      </c>
      <c r="P91" s="271">
        <f t="shared" si="32"/>
        <v>301555.17000000016</v>
      </c>
      <c r="Q91" s="271">
        <f t="shared" si="32"/>
        <v>-292420.93000000017</v>
      </c>
      <c r="R91" s="526">
        <f>O91/P91</f>
        <v>3.0290444033839549E-2</v>
      </c>
      <c r="S91" s="178"/>
      <c r="T91" s="738">
        <f>K91/$K$11</f>
        <v>0.10489879268166538</v>
      </c>
      <c r="U91" s="738">
        <f>L91/$L$11</f>
        <v>0.29065558834366845</v>
      </c>
    </row>
    <row r="92" spans="2:21" x14ac:dyDescent="0.25">
      <c r="B92" s="176"/>
      <c r="C92" s="272"/>
      <c r="D92" s="462"/>
      <c r="E92" s="462"/>
      <c r="F92" s="304"/>
      <c r="G92" s="272"/>
      <c r="H92" s="462"/>
      <c r="I92" s="462"/>
      <c r="J92" s="304"/>
      <c r="K92" s="272"/>
      <c r="L92" s="462"/>
      <c r="M92" s="462"/>
      <c r="N92" s="304"/>
      <c r="O92" s="272"/>
      <c r="P92" s="462"/>
      <c r="Q92" s="462"/>
      <c r="R92" s="304"/>
      <c r="S92" s="171"/>
      <c r="T92" s="541"/>
      <c r="U92" s="541"/>
    </row>
    <row r="93" spans="2:21" ht="15.75" thickBot="1" x14ac:dyDescent="0.3">
      <c r="B93" s="176" t="s">
        <v>262</v>
      </c>
      <c r="C93" s="272">
        <f>C85+C86</f>
        <v>17611.8</v>
      </c>
      <c r="D93" s="462">
        <f>D85+D86</f>
        <v>16610.7</v>
      </c>
      <c r="E93" s="462">
        <f>E85+E86</f>
        <v>1001.0999999999999</v>
      </c>
      <c r="F93" s="304">
        <f>C93/D93</f>
        <v>1.0602683812241507</v>
      </c>
      <c r="G93" s="272">
        <f>G85+G86</f>
        <v>17611.8</v>
      </c>
      <c r="H93" s="462">
        <f>H85+H86</f>
        <v>16610.7</v>
      </c>
      <c r="I93" s="462">
        <f>I85+I86</f>
        <v>1001.0999999999999</v>
      </c>
      <c r="J93" s="304">
        <f>G93/H93</f>
        <v>1.0602683812241507</v>
      </c>
      <c r="K93" s="272">
        <f>K85+K86</f>
        <v>17735.400000000001</v>
      </c>
      <c r="L93" s="462">
        <f>L85+L86</f>
        <v>16610.7</v>
      </c>
      <c r="M93" s="462">
        <f>M85+M86</f>
        <v>1124.7000000000003</v>
      </c>
      <c r="N93" s="304">
        <f>K93/L93</f>
        <v>1.0677093680579386</v>
      </c>
      <c r="O93" s="272">
        <f>O85+O86</f>
        <v>52958.999999999993</v>
      </c>
      <c r="P93" s="462">
        <f>P85+P86</f>
        <v>49832.099999999991</v>
      </c>
      <c r="Q93" s="462">
        <f>Q85+Q86</f>
        <v>3126.8999999999996</v>
      </c>
      <c r="R93" s="304">
        <f>O93/P93</f>
        <v>1.0627487101687467</v>
      </c>
      <c r="S93" s="171"/>
      <c r="T93" s="541"/>
      <c r="U93" s="541"/>
    </row>
    <row r="94" spans="2:21" ht="15.75" thickBot="1" x14ac:dyDescent="0.3">
      <c r="B94" s="396" t="s">
        <v>263</v>
      </c>
      <c r="C94" s="270">
        <f t="shared" ref="C94" si="35">++C91-C93</f>
        <v>-26946.740000000031</v>
      </c>
      <c r="D94" s="271">
        <f t="shared" ref="D94:E94" si="36">++D91-D93</f>
        <v>83907.690000000046</v>
      </c>
      <c r="E94" s="271">
        <f t="shared" si="36"/>
        <v>-110854.43000000008</v>
      </c>
      <c r="F94" s="303">
        <f>C94/D94</f>
        <v>-0.32114744190907907</v>
      </c>
      <c r="G94" s="270">
        <f>++G91-G93</f>
        <v>-29423.529999999995</v>
      </c>
      <c r="H94" s="271">
        <f t="shared" ref="H94:I94" si="37">++H91-H93</f>
        <v>83907.690000000046</v>
      </c>
      <c r="I94" s="271">
        <f t="shared" si="37"/>
        <v>-113331.22000000004</v>
      </c>
      <c r="J94" s="303">
        <f>G94/H94</f>
        <v>-0.35066547535750275</v>
      </c>
      <c r="K94" s="270">
        <f>++K91-K93</f>
        <v>12545.510000000002</v>
      </c>
      <c r="L94" s="271">
        <f t="shared" ref="L94:M94" si="38">++L91-L93</f>
        <v>83907.690000000046</v>
      </c>
      <c r="M94" s="271">
        <f t="shared" si="38"/>
        <v>-71362.180000000037</v>
      </c>
      <c r="N94" s="303">
        <f>K94/L94</f>
        <v>0.1495156165066634</v>
      </c>
      <c r="O94" s="270">
        <f t="shared" ref="O94:P94" si="39">++O91-O93</f>
        <v>-43824.760000000017</v>
      </c>
      <c r="P94" s="271">
        <f t="shared" si="39"/>
        <v>251723.07000000018</v>
      </c>
      <c r="Q94" s="271">
        <f t="shared" ref="Q94" si="40">++Q91-Q93</f>
        <v>-295547.83000000019</v>
      </c>
      <c r="R94" s="303">
        <f>O94/P94</f>
        <v>-0.17409910025330608</v>
      </c>
      <c r="S94" s="178"/>
      <c r="T94" s="738">
        <f>K94/$K$11</f>
        <v>4.3460016643349218E-2</v>
      </c>
      <c r="U94" s="738">
        <f>L94/$L$11</f>
        <v>0.24262464812168347</v>
      </c>
    </row>
    <row r="95" spans="2:21" x14ac:dyDescent="0.25">
      <c r="B95" s="397"/>
      <c r="C95" s="273"/>
      <c r="D95" s="463"/>
      <c r="E95" s="463"/>
      <c r="F95" s="305"/>
      <c r="G95" s="273"/>
      <c r="H95" s="463"/>
      <c r="I95" s="463"/>
      <c r="J95" s="305"/>
      <c r="K95" s="273"/>
      <c r="L95" s="463"/>
      <c r="M95" s="463"/>
      <c r="N95" s="305"/>
      <c r="O95" s="273"/>
      <c r="P95" s="463"/>
      <c r="Q95" s="463"/>
      <c r="R95" s="305"/>
      <c r="S95" s="179"/>
      <c r="T95" s="541"/>
      <c r="U95" s="541"/>
    </row>
    <row r="96" spans="2:21" ht="15.75" thickBot="1" x14ac:dyDescent="0.3">
      <c r="B96" s="176" t="s">
        <v>1078</v>
      </c>
      <c r="C96" s="272">
        <f>++C83+C84+C82</f>
        <v>31230.67</v>
      </c>
      <c r="D96" s="462">
        <f>++D83+D84+D82</f>
        <v>25942.959999999999</v>
      </c>
      <c r="E96" s="462">
        <f>++E83+E84+E82</f>
        <v>5287.7099999999991</v>
      </c>
      <c r="F96" s="304">
        <f>C96/D96</f>
        <v>1.2038206126055007</v>
      </c>
      <c r="G96" s="272">
        <f>++G83+G84+G82</f>
        <v>31463.95</v>
      </c>
      <c r="H96" s="462">
        <f>++H83+H84+H82</f>
        <v>25857.16</v>
      </c>
      <c r="I96" s="462">
        <f>++I83+I84+I82</f>
        <v>5606.79</v>
      </c>
      <c r="J96" s="304">
        <f>G96/H96</f>
        <v>1.2168370385610794</v>
      </c>
      <c r="K96" s="272">
        <f>++K83+K84+K82</f>
        <v>37225.14</v>
      </c>
      <c r="L96" s="462">
        <f>++L83+L84+L82</f>
        <v>25770.57</v>
      </c>
      <c r="M96" s="462">
        <f>++M83+M84+M82</f>
        <v>11454.570000000002</v>
      </c>
      <c r="N96" s="304">
        <f>K96/L96</f>
        <v>1.444482601665388</v>
      </c>
      <c r="O96" s="272">
        <f>++O83+O84+O82</f>
        <v>99919.76</v>
      </c>
      <c r="P96" s="462">
        <f>++P83+P84+P82</f>
        <v>77570.69</v>
      </c>
      <c r="Q96" s="462">
        <f>++Q83+Q84+Q82</f>
        <v>22349.07</v>
      </c>
      <c r="R96" s="304">
        <f>O96/P96</f>
        <v>1.2881123011797366</v>
      </c>
      <c r="S96" s="171"/>
      <c r="T96" s="541"/>
      <c r="U96" s="541"/>
    </row>
    <row r="97" spans="2:21" ht="15.75" thickBot="1" x14ac:dyDescent="0.3">
      <c r="B97" s="396" t="s">
        <v>264</v>
      </c>
      <c r="C97" s="270">
        <f t="shared" ref="C97" si="41">++C94-C96</f>
        <v>-58177.410000000033</v>
      </c>
      <c r="D97" s="271">
        <f t="shared" ref="D97:E97" si="42">++D94-D96</f>
        <v>57964.730000000047</v>
      </c>
      <c r="E97" s="271">
        <f t="shared" si="42"/>
        <v>-116142.14000000007</v>
      </c>
      <c r="F97" s="303">
        <f>C97/D97</f>
        <v>-1.0036691277609675</v>
      </c>
      <c r="G97" s="270">
        <f>++G94-G96</f>
        <v>-60887.479999999996</v>
      </c>
      <c r="H97" s="271">
        <f t="shared" ref="H97:I97" si="43">++H94-H96</f>
        <v>58050.530000000042</v>
      </c>
      <c r="I97" s="271">
        <f t="shared" si="43"/>
        <v>-118938.01000000004</v>
      </c>
      <c r="J97" s="303">
        <f>G97/H97</f>
        <v>-1.0488703548443046</v>
      </c>
      <c r="K97" s="270">
        <f>++K94-K96</f>
        <v>-24679.629999999997</v>
      </c>
      <c r="L97" s="271">
        <f t="shared" ref="L97:M97" si="44">++L94-L96</f>
        <v>58137.120000000046</v>
      </c>
      <c r="M97" s="271">
        <f t="shared" si="44"/>
        <v>-82816.750000000044</v>
      </c>
      <c r="N97" s="303">
        <f>K97/L97</f>
        <v>-0.42450726833389713</v>
      </c>
      <c r="O97" s="270">
        <f t="shared" ref="O97:P97" si="45">++O94-O96</f>
        <v>-143744.52000000002</v>
      </c>
      <c r="P97" s="271">
        <f t="shared" si="45"/>
        <v>174152.38000000018</v>
      </c>
      <c r="Q97" s="271">
        <f t="shared" ref="Q97" si="46">++Q94-Q96</f>
        <v>-317896.9000000002</v>
      </c>
      <c r="R97" s="303">
        <f>O97/P97</f>
        <v>-0.82539509365304031</v>
      </c>
      <c r="S97" s="178"/>
      <c r="T97" s="738">
        <f>K97/$K$11</f>
        <v>-8.5494900609995164E-2</v>
      </c>
      <c r="U97" s="738">
        <f>L97/$L$11</f>
        <v>0.16810733656007085</v>
      </c>
    </row>
    <row r="98" spans="2:21" x14ac:dyDescent="0.25">
      <c r="B98" s="397"/>
      <c r="C98" s="273"/>
      <c r="D98" s="463"/>
      <c r="E98" s="463"/>
      <c r="F98" s="305"/>
      <c r="G98" s="273"/>
      <c r="H98" s="463"/>
      <c r="I98" s="463"/>
      <c r="J98" s="305"/>
      <c r="K98" s="273"/>
      <c r="L98" s="463"/>
      <c r="M98" s="463"/>
      <c r="N98" s="305"/>
      <c r="O98" s="273"/>
      <c r="P98" s="463"/>
      <c r="Q98" s="463"/>
      <c r="R98" s="305"/>
      <c r="S98" s="179"/>
      <c r="T98" s="541"/>
      <c r="U98" s="541"/>
    </row>
    <row r="99" spans="2:21" ht="15.75" thickBot="1" x14ac:dyDescent="0.3">
      <c r="B99" s="176" t="s">
        <v>265</v>
      </c>
      <c r="C99" s="272"/>
      <c r="D99" s="462"/>
      <c r="E99" s="462"/>
      <c r="F99" s="304"/>
      <c r="G99" s="272"/>
      <c r="H99" s="462"/>
      <c r="I99" s="462"/>
      <c r="J99" s="304"/>
      <c r="K99" s="272"/>
      <c r="L99" s="462"/>
      <c r="M99" s="462"/>
      <c r="N99" s="304"/>
      <c r="O99" s="272"/>
      <c r="P99" s="462"/>
      <c r="Q99" s="462"/>
      <c r="R99" s="304"/>
      <c r="S99" s="171"/>
      <c r="T99" s="541"/>
      <c r="U99" s="541"/>
    </row>
    <row r="100" spans="2:21" ht="15.75" thickBot="1" x14ac:dyDescent="0.3">
      <c r="B100" s="396" t="s">
        <v>266</v>
      </c>
      <c r="C100" s="270">
        <f t="shared" ref="C100" si="47">++C97-C99</f>
        <v>-58177.410000000033</v>
      </c>
      <c r="D100" s="271">
        <f>++D97-D99</f>
        <v>57964.730000000047</v>
      </c>
      <c r="E100" s="271">
        <f>++E97-E99</f>
        <v>-116142.14000000007</v>
      </c>
      <c r="F100" s="303">
        <f>C100/D100</f>
        <v>-1.0036691277609675</v>
      </c>
      <c r="G100" s="270">
        <f>++G97-G99</f>
        <v>-60887.479999999996</v>
      </c>
      <c r="H100" s="271">
        <f>++H97-H99</f>
        <v>58050.530000000042</v>
      </c>
      <c r="I100" s="271">
        <f>++I97-I99</f>
        <v>-118938.01000000004</v>
      </c>
      <c r="J100" s="303">
        <f>G100/H100</f>
        <v>-1.0488703548443046</v>
      </c>
      <c r="K100" s="270">
        <f>++K97-K99</f>
        <v>-24679.629999999997</v>
      </c>
      <c r="L100" s="271">
        <f>++L97-L99</f>
        <v>58137.120000000046</v>
      </c>
      <c r="M100" s="271">
        <f>++M97-M99</f>
        <v>-82816.750000000044</v>
      </c>
      <c r="N100" s="303">
        <f>K100/L100</f>
        <v>-0.42450726833389713</v>
      </c>
      <c r="O100" s="270">
        <f t="shared" ref="O100:P100" si="48">++O97-O99</f>
        <v>-143744.52000000002</v>
      </c>
      <c r="P100" s="271">
        <f t="shared" si="48"/>
        <v>174152.38000000018</v>
      </c>
      <c r="Q100" s="271">
        <f t="shared" ref="Q100" si="49">++Q97-Q99</f>
        <v>-317896.9000000002</v>
      </c>
      <c r="R100" s="303">
        <f>O100/P100</f>
        <v>-0.82539509365304031</v>
      </c>
      <c r="S100" s="178"/>
      <c r="T100" s="738">
        <f>K100/$K$11</f>
        <v>-8.5494900609995164E-2</v>
      </c>
      <c r="U100" s="738">
        <f>L100/$L$11</f>
        <v>0.16810733656007085</v>
      </c>
    </row>
    <row r="101" spans="2:21" x14ac:dyDescent="0.25">
      <c r="B101" s="397"/>
      <c r="C101" s="273"/>
      <c r="D101" s="463"/>
      <c r="E101" s="463"/>
      <c r="F101" s="305"/>
      <c r="G101" s="273"/>
      <c r="H101" s="463"/>
      <c r="I101" s="463"/>
      <c r="J101" s="305"/>
      <c r="K101" s="273"/>
      <c r="L101" s="463"/>
      <c r="M101" s="463"/>
      <c r="N101" s="305"/>
      <c r="O101" s="273"/>
      <c r="P101" s="463"/>
      <c r="Q101" s="463"/>
      <c r="R101" s="305"/>
      <c r="S101" s="179"/>
      <c r="T101" s="541"/>
      <c r="U101" s="541"/>
    </row>
    <row r="102" spans="2:21" ht="15.75" thickBot="1" x14ac:dyDescent="0.3">
      <c r="B102" s="397"/>
      <c r="C102" s="273"/>
      <c r="D102" s="463"/>
      <c r="E102" s="463"/>
      <c r="F102" s="305"/>
      <c r="G102" s="273"/>
      <c r="H102" s="463"/>
      <c r="I102" s="463"/>
      <c r="J102" s="305"/>
      <c r="K102" s="273"/>
      <c r="L102" s="463"/>
      <c r="M102" s="463"/>
      <c r="N102" s="305"/>
      <c r="O102" s="273"/>
      <c r="P102" s="463"/>
      <c r="Q102" s="463"/>
      <c r="R102" s="305"/>
      <c r="S102" s="179"/>
      <c r="T102" s="541"/>
      <c r="U102" s="541"/>
    </row>
    <row r="103" spans="2:21" ht="15.75" thickBot="1" x14ac:dyDescent="0.3">
      <c r="B103" s="398" t="s">
        <v>267</v>
      </c>
      <c r="C103" s="274">
        <f t="shared" ref="C103" si="50">++C100-C89</f>
        <v>0</v>
      </c>
      <c r="D103" s="275">
        <f t="shared" ref="D103:E103" si="51">++D100-D89</f>
        <v>0</v>
      </c>
      <c r="E103" s="275">
        <f t="shared" si="51"/>
        <v>0</v>
      </c>
      <c r="F103" s="306">
        <f>++F100-F89</f>
        <v>0</v>
      </c>
      <c r="G103" s="274">
        <f>++G100-G89</f>
        <v>0</v>
      </c>
      <c r="H103" s="275">
        <f t="shared" ref="H103:I103" si="52">++H100-H89</f>
        <v>0</v>
      </c>
      <c r="I103" s="275">
        <f t="shared" si="52"/>
        <v>0</v>
      </c>
      <c r="J103" s="306">
        <f>++J100-J89</f>
        <v>0</v>
      </c>
      <c r="K103" s="274">
        <f>++K100-K89</f>
        <v>0</v>
      </c>
      <c r="L103" s="275">
        <f t="shared" ref="L103:M103" si="53">++L100-L89</f>
        <v>0</v>
      </c>
      <c r="M103" s="275">
        <f t="shared" si="53"/>
        <v>0</v>
      </c>
      <c r="N103" s="306">
        <f>++N100-N89</f>
        <v>0</v>
      </c>
      <c r="O103" s="274">
        <f t="shared" ref="O103:R103" si="54">++O100-O89</f>
        <v>0</v>
      </c>
      <c r="P103" s="275">
        <f t="shared" si="54"/>
        <v>0</v>
      </c>
      <c r="Q103" s="275">
        <f t="shared" ref="Q103" si="55">++Q100-Q89</f>
        <v>0</v>
      </c>
      <c r="R103" s="306">
        <f t="shared" si="54"/>
        <v>0</v>
      </c>
      <c r="S103" s="180"/>
      <c r="T103" s="545"/>
      <c r="U103" s="545"/>
    </row>
  </sheetData>
  <mergeCells count="8">
    <mergeCell ref="U6:U7"/>
    <mergeCell ref="S6:S7"/>
    <mergeCell ref="O6:R6"/>
    <mergeCell ref="B6:B7"/>
    <mergeCell ref="C6:F6"/>
    <mergeCell ref="T6:T7"/>
    <mergeCell ref="G6:J6"/>
    <mergeCell ref="K6:N6"/>
  </mergeCells>
  <hyperlinks>
    <hyperlink ref="V2" location="Index!A1" display="Home" xr:uid="{EE9D72CC-D410-47A9-8C4D-DB45C8AC7505}"/>
    <hyperlink ref="V5" location="'Profit and Loss - Division(YTD)'!A1" display="PL-Division (YTD)" xr:uid="{27459E6C-5B2E-4E26-B74F-A72608C98DC4}"/>
    <hyperlink ref="V3" location="BS!A1" display="Balance Sheet" xr:uid="{A19E0CE4-B51A-4100-BA01-8B198D3A069E}"/>
    <hyperlink ref="V4" location="PL_DM" display="PL-Division (Month)" xr:uid="{B3464829-E480-4BB8-9322-7F2CC60158CC}"/>
  </hyperlinks>
  <pageMargins left="0.7" right="0.7" top="0.75" bottom="0.75" header="0.3" footer="0.3"/>
  <ignoredErrors>
    <ignoredError sqref="F90 C90 F102 C92:C95 F104 C97:C101" formula="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7D65-FB4C-4881-B7EF-5876D366546A}">
  <sheetPr codeName="Sheet8">
    <tabColor rgb="FFFFFF00"/>
  </sheetPr>
  <dimension ref="B1:AB104"/>
  <sheetViews>
    <sheetView showGridLines="0" zoomScaleNormal="100" workbookViewId="0">
      <pane xSplit="2" ySplit="8" topLeftCell="C9" activePane="bottomRight" state="frozen"/>
      <selection activeCell="A8" sqref="A8"/>
      <selection pane="topRight" activeCell="A8" sqref="A8"/>
      <selection pane="bottomLeft" activeCell="A8" sqref="A8"/>
      <selection pane="bottomRight" activeCell="F31" sqref="F31"/>
    </sheetView>
  </sheetViews>
  <sheetFormatPr defaultColWidth="9.140625" defaultRowHeight="15" outlineLevelRow="1" x14ac:dyDescent="0.25"/>
  <cols>
    <col min="1" max="1" width="2.7109375" style="94" customWidth="1"/>
    <col min="2" max="2" width="43.85546875" style="94" bestFit="1" customWidth="1"/>
    <col min="3" max="5" width="13.85546875" style="162" customWidth="1"/>
    <col min="6" max="6" width="13.85546875" style="94" customWidth="1"/>
    <col min="7" max="9" width="13.85546875" style="162" customWidth="1"/>
    <col min="10" max="10" width="13.85546875" style="400" customWidth="1"/>
    <col min="11" max="13" width="13.85546875" style="94" customWidth="1"/>
    <col min="14" max="14" width="13.85546875" style="400" customWidth="1"/>
    <col min="15" max="17" width="13.85546875" style="162" customWidth="1"/>
    <col min="18" max="18" width="13.85546875" style="400" customWidth="1"/>
    <col min="19" max="21" width="13.85546875" style="162" customWidth="1"/>
    <col min="22" max="22" width="13.85546875" style="400" customWidth="1"/>
    <col min="23" max="25" width="13.85546875" style="162" customWidth="1"/>
    <col min="26" max="26" width="13.85546875" style="400" customWidth="1"/>
    <col min="27" max="16384" width="9.140625" style="94"/>
  </cols>
  <sheetData>
    <row r="1" spans="2:28" ht="15.75" thickBot="1" x14ac:dyDescent="0.3"/>
    <row r="2" spans="2:28" ht="15.75" x14ac:dyDescent="0.25">
      <c r="B2" s="152" t="str">
        <f>Cover!A3</f>
        <v>Pacific Nexus</v>
      </c>
      <c r="C2" s="226"/>
      <c r="D2" s="70"/>
      <c r="E2" s="70"/>
      <c r="G2" s="70"/>
      <c r="H2" s="70"/>
      <c r="I2" s="70"/>
      <c r="J2" s="151" t="s">
        <v>45</v>
      </c>
      <c r="O2" s="70"/>
      <c r="P2" s="70"/>
      <c r="Q2" s="70"/>
      <c r="S2" s="70"/>
      <c r="T2" s="70"/>
      <c r="U2" s="70"/>
      <c r="W2" s="70"/>
      <c r="X2" s="70"/>
      <c r="Y2" s="70"/>
    </row>
    <row r="3" spans="2:28" ht="15.75" x14ac:dyDescent="0.25">
      <c r="B3" s="153" t="s">
        <v>268</v>
      </c>
      <c r="C3" s="86"/>
      <c r="D3" s="70"/>
      <c r="E3" s="70"/>
      <c r="G3" s="70"/>
      <c r="H3" s="70"/>
      <c r="I3" s="70"/>
      <c r="J3" s="238" t="s">
        <v>47</v>
      </c>
      <c r="O3" s="70"/>
      <c r="P3" s="70"/>
      <c r="Q3" s="70"/>
      <c r="S3" s="70"/>
      <c r="T3" s="70"/>
      <c r="U3" s="70"/>
      <c r="W3" s="70"/>
      <c r="X3" s="70"/>
      <c r="Y3" s="70"/>
    </row>
    <row r="4" spans="2:28" ht="16.5" thickBot="1" x14ac:dyDescent="0.3">
      <c r="B4" s="227" t="str">
        <f>Index!A2</f>
        <v>Period Ending 03/31/2026</v>
      </c>
      <c r="C4" s="84"/>
      <c r="D4" s="70"/>
      <c r="E4" s="70"/>
      <c r="G4" s="70"/>
      <c r="H4" s="70"/>
      <c r="I4" s="70"/>
      <c r="J4" s="238" t="s">
        <v>46</v>
      </c>
      <c r="O4" s="70"/>
      <c r="P4" s="70"/>
      <c r="Q4" s="70"/>
      <c r="S4" s="70"/>
      <c r="T4" s="70"/>
      <c r="U4" s="70"/>
      <c r="W4" s="70"/>
      <c r="X4" s="70"/>
      <c r="Y4" s="70"/>
    </row>
    <row r="5" spans="2:28" x14ac:dyDescent="0.25">
      <c r="J5" s="238" t="s">
        <v>34</v>
      </c>
    </row>
    <row r="6" spans="2:28" ht="15.75" thickBot="1" x14ac:dyDescent="0.3">
      <c r="J6" s="238"/>
      <c r="AB6" s="238"/>
    </row>
    <row r="7" spans="2:28" x14ac:dyDescent="0.25">
      <c r="B7" s="163"/>
      <c r="C7" s="869" t="s">
        <v>269</v>
      </c>
      <c r="D7" s="870"/>
      <c r="E7" s="870"/>
      <c r="F7" s="871"/>
      <c r="G7" s="869" t="s">
        <v>270</v>
      </c>
      <c r="H7" s="870"/>
      <c r="I7" s="870"/>
      <c r="J7" s="871"/>
      <c r="K7" s="872" t="s">
        <v>271</v>
      </c>
      <c r="L7" s="873"/>
      <c r="M7" s="873"/>
      <c r="N7" s="874"/>
      <c r="O7" s="869" t="s">
        <v>149</v>
      </c>
      <c r="P7" s="870"/>
      <c r="Q7" s="870"/>
      <c r="R7" s="871"/>
      <c r="S7" s="869" t="s">
        <v>151</v>
      </c>
      <c r="T7" s="870"/>
      <c r="U7" s="870"/>
      <c r="V7" s="871"/>
      <c r="W7" s="869" t="s">
        <v>145</v>
      </c>
      <c r="X7" s="870"/>
      <c r="Y7" s="870"/>
      <c r="Z7" s="871"/>
    </row>
    <row r="8" spans="2:28" ht="15.75" thickBot="1" x14ac:dyDescent="0.3">
      <c r="B8" s="164"/>
      <c r="C8" s="408" t="s">
        <v>179</v>
      </c>
      <c r="D8" s="466" t="s">
        <v>180</v>
      </c>
      <c r="E8" s="466" t="s">
        <v>181</v>
      </c>
      <c r="F8" s="165" t="s">
        <v>182</v>
      </c>
      <c r="G8" s="408" t="s">
        <v>179</v>
      </c>
      <c r="H8" s="466" t="s">
        <v>180</v>
      </c>
      <c r="I8" s="466" t="s">
        <v>181</v>
      </c>
      <c r="J8" s="165" t="s">
        <v>182</v>
      </c>
      <c r="K8" s="408" t="s">
        <v>179</v>
      </c>
      <c r="L8" s="466" t="s">
        <v>180</v>
      </c>
      <c r="M8" s="466" t="s">
        <v>181</v>
      </c>
      <c r="N8" s="165" t="s">
        <v>182</v>
      </c>
      <c r="O8" s="408" t="s">
        <v>179</v>
      </c>
      <c r="P8" s="466" t="s">
        <v>180</v>
      </c>
      <c r="Q8" s="466" t="s">
        <v>181</v>
      </c>
      <c r="R8" s="165" t="s">
        <v>182</v>
      </c>
      <c r="S8" s="408" t="s">
        <v>179</v>
      </c>
      <c r="T8" s="466" t="s">
        <v>180</v>
      </c>
      <c r="U8" s="466" t="s">
        <v>181</v>
      </c>
      <c r="V8" s="165" t="s">
        <v>182</v>
      </c>
      <c r="W8" s="408" t="s">
        <v>179</v>
      </c>
      <c r="X8" s="466" t="s">
        <v>180</v>
      </c>
      <c r="Y8" s="466" t="s">
        <v>181</v>
      </c>
      <c r="Z8" s="165" t="s">
        <v>182</v>
      </c>
    </row>
    <row r="9" spans="2:28" x14ac:dyDescent="0.25">
      <c r="B9" s="120" t="s">
        <v>183</v>
      </c>
      <c r="C9" s="166"/>
      <c r="D9" s="170"/>
      <c r="E9" s="170"/>
      <c r="F9" s="472"/>
      <c r="G9" s="166"/>
      <c r="H9" s="170"/>
      <c r="I9" s="170"/>
      <c r="J9" s="472"/>
      <c r="K9" s="166"/>
      <c r="L9" s="170"/>
      <c r="M9" s="170"/>
      <c r="N9" s="478"/>
      <c r="O9" s="166"/>
      <c r="P9" s="170"/>
      <c r="Q9" s="170"/>
      <c r="R9" s="472"/>
      <c r="S9" s="166"/>
      <c r="T9" s="170"/>
      <c r="U9" s="170"/>
      <c r="V9" s="472"/>
      <c r="W9" s="166"/>
      <c r="X9" s="170"/>
      <c r="Y9" s="170"/>
      <c r="Z9" s="472"/>
    </row>
    <row r="10" spans="2:28" x14ac:dyDescent="0.25">
      <c r="B10" s="120" t="s">
        <v>184</v>
      </c>
      <c r="C10" s="166"/>
      <c r="D10" s="170"/>
      <c r="E10" s="170">
        <f>(C10)-(D10)</f>
        <v>0</v>
      </c>
      <c r="F10" s="472" t="str">
        <f>IF(D10=0,"",(C10)/(D10))</f>
        <v/>
      </c>
      <c r="G10" s="166">
        <f>167116.22</f>
        <v>167116.22</v>
      </c>
      <c r="H10" s="170">
        <f>100000</f>
        <v>100000</v>
      </c>
      <c r="I10" s="170">
        <f>(G10)-(H10)</f>
        <v>67116.22</v>
      </c>
      <c r="J10" s="472">
        <f>IF(H10=0,"",(G10)/(H10))</f>
        <v>1.6711621999999999</v>
      </c>
      <c r="K10" s="166">
        <f>1550</f>
        <v>1550</v>
      </c>
      <c r="L10" s="170">
        <f>8333.33</f>
        <v>8333.33</v>
      </c>
      <c r="M10" s="170">
        <f>(K10)-(L10)</f>
        <v>-6783.33</v>
      </c>
      <c r="N10" s="472">
        <f>IF(L10=0,"",(K10)/(L10))</f>
        <v>0.18600007440002977</v>
      </c>
      <c r="O10" s="166">
        <f>45991.14</f>
        <v>45991.14</v>
      </c>
      <c r="P10" s="170">
        <f>104166.67</f>
        <v>104166.67</v>
      </c>
      <c r="Q10" s="170">
        <f>(O10)-(P10)</f>
        <v>-58175.53</v>
      </c>
      <c r="R10" s="472">
        <f>IF(P10=0,"",(O10)/(P10))</f>
        <v>0.44151492987152224</v>
      </c>
      <c r="S10" s="166">
        <f>74906.02</f>
        <v>74906.02</v>
      </c>
      <c r="T10" s="170">
        <f>133333.33</f>
        <v>133333.32999999999</v>
      </c>
      <c r="U10" s="170">
        <f>(S10)-(T10)</f>
        <v>-58427.309999999983</v>
      </c>
      <c r="V10" s="472">
        <f>IF(T10=0,"",(S10)/(T10))</f>
        <v>0.56179516404487917</v>
      </c>
      <c r="W10" s="166">
        <f t="shared" ref="W10:X12" si="0">((((C10)+(G10))+(K10))+(O10))+(S10)</f>
        <v>289563.38</v>
      </c>
      <c r="X10" s="170">
        <f t="shared" si="0"/>
        <v>345833.32999999996</v>
      </c>
      <c r="Y10" s="170">
        <f>(W10)-(X10)</f>
        <v>-56269.949999999953</v>
      </c>
      <c r="Z10" s="472">
        <f>IF(X10=0,"",(W10)/(X10))</f>
        <v>0.83729170927510088</v>
      </c>
    </row>
    <row r="11" spans="2:28" ht="15.75" thickBot="1" x14ac:dyDescent="0.3">
      <c r="B11" s="120" t="s">
        <v>185</v>
      </c>
      <c r="C11" s="166"/>
      <c r="D11" s="170"/>
      <c r="E11" s="170">
        <f>(C11)-(D11)</f>
        <v>0</v>
      </c>
      <c r="F11" s="472" t="str">
        <f>IF(D11=0,"",(C11)/(D11))</f>
        <v/>
      </c>
      <c r="G11" s="166"/>
      <c r="H11" s="170"/>
      <c r="I11" s="170">
        <f>(G11)-(H11)</f>
        <v>0</v>
      </c>
      <c r="J11" s="472" t="str">
        <f>IF(H11=0,"",(G11)/(H11))</f>
        <v/>
      </c>
      <c r="K11" s="166"/>
      <c r="L11" s="170"/>
      <c r="M11" s="170">
        <f>(K11)-(L11)</f>
        <v>0</v>
      </c>
      <c r="N11" s="472" t="str">
        <f>IF(L11=0,"",(K11)/(L11))</f>
        <v/>
      </c>
      <c r="O11" s="166"/>
      <c r="P11" s="170"/>
      <c r="Q11" s="170">
        <f>(O11)-(P11)</f>
        <v>0</v>
      </c>
      <c r="R11" s="472" t="str">
        <f>IF(P11=0,"",(O11)/(P11))</f>
        <v/>
      </c>
      <c r="S11" s="166">
        <f>-895.52</f>
        <v>-895.52</v>
      </c>
      <c r="T11" s="170"/>
      <c r="U11" s="170">
        <f>(S11)-(T11)</f>
        <v>-895.52</v>
      </c>
      <c r="V11" s="472" t="str">
        <f>IF(T11=0,"",(S11)/(T11))</f>
        <v/>
      </c>
      <c r="W11" s="166">
        <f t="shared" si="0"/>
        <v>-895.52</v>
      </c>
      <c r="X11" s="170">
        <f t="shared" si="0"/>
        <v>0</v>
      </c>
      <c r="Y11" s="170">
        <f>(W11)-(X11)</f>
        <v>-895.52</v>
      </c>
      <c r="Z11" s="472" t="str">
        <f>IF(X11=0,"",(W11)/(X11))</f>
        <v/>
      </c>
    </row>
    <row r="12" spans="2:28" ht="15.75" thickBot="1" x14ac:dyDescent="0.3">
      <c r="B12" s="219" t="s">
        <v>186</v>
      </c>
      <c r="C12" s="220">
        <f>(C10)+(C11)</f>
        <v>0</v>
      </c>
      <c r="D12" s="467">
        <f>(D10)+(D11)</f>
        <v>0</v>
      </c>
      <c r="E12" s="467">
        <f>(C12)-(D12)</f>
        <v>0</v>
      </c>
      <c r="F12" s="473" t="str">
        <f>IF(D12=0,"",(C12)/(D12))</f>
        <v/>
      </c>
      <c r="G12" s="220">
        <f>(G10)+(G11)</f>
        <v>167116.22</v>
      </c>
      <c r="H12" s="467">
        <f>(H10)+(H11)</f>
        <v>100000</v>
      </c>
      <c r="I12" s="467">
        <f>(G12)-(H12)</f>
        <v>67116.22</v>
      </c>
      <c r="J12" s="473">
        <f>IF(H12=0,"",(G12)/(H12))</f>
        <v>1.6711621999999999</v>
      </c>
      <c r="K12" s="220">
        <f>(K10)+(K11)</f>
        <v>1550</v>
      </c>
      <c r="L12" s="467">
        <f>(L10)+(L11)</f>
        <v>8333.33</v>
      </c>
      <c r="M12" s="467">
        <f>(K12)-(L12)</f>
        <v>-6783.33</v>
      </c>
      <c r="N12" s="473">
        <f>IF(L12=0,"",(K12)/(L12))</f>
        <v>0.18600007440002977</v>
      </c>
      <c r="O12" s="220">
        <f>(O10)+(O11)</f>
        <v>45991.14</v>
      </c>
      <c r="P12" s="467">
        <f>(P10)+(P11)</f>
        <v>104166.67</v>
      </c>
      <c r="Q12" s="467">
        <f>(O12)-(P12)</f>
        <v>-58175.53</v>
      </c>
      <c r="R12" s="473">
        <f>IF(P12=0,"",(O12)/(P12))</f>
        <v>0.44151492987152224</v>
      </c>
      <c r="S12" s="220">
        <f>(S10)+(S11)</f>
        <v>74010.5</v>
      </c>
      <c r="T12" s="467">
        <f>(T10)+(T11)</f>
        <v>133333.32999999999</v>
      </c>
      <c r="U12" s="467">
        <f>(S12)-(T12)</f>
        <v>-59322.829999999987</v>
      </c>
      <c r="V12" s="473">
        <f>IF(T12=0,"",(S12)/(T12))</f>
        <v>0.55507876387696919</v>
      </c>
      <c r="W12" s="220">
        <f t="shared" si="0"/>
        <v>288667.86</v>
      </c>
      <c r="X12" s="467">
        <f t="shared" si="0"/>
        <v>345833.32999999996</v>
      </c>
      <c r="Y12" s="467">
        <f>(W12)-(X12)</f>
        <v>-57165.469999999972</v>
      </c>
      <c r="Z12" s="473">
        <f>IF(X12=0,"",(W12)/(X12))</f>
        <v>0.83470225382845553</v>
      </c>
    </row>
    <row r="13" spans="2:28" x14ac:dyDescent="0.25">
      <c r="B13" s="120" t="s">
        <v>187</v>
      </c>
      <c r="C13" s="166"/>
      <c r="D13" s="170"/>
      <c r="E13" s="170"/>
      <c r="F13" s="472"/>
      <c r="G13" s="166"/>
      <c r="H13" s="170"/>
      <c r="I13" s="170"/>
      <c r="J13" s="472"/>
      <c r="K13" s="166"/>
      <c r="L13" s="170"/>
      <c r="M13" s="170"/>
      <c r="N13" s="472"/>
      <c r="O13" s="166"/>
      <c r="P13" s="170"/>
      <c r="Q13" s="170"/>
      <c r="R13" s="472"/>
      <c r="S13" s="166"/>
      <c r="T13" s="170"/>
      <c r="U13" s="170"/>
      <c r="V13" s="472"/>
      <c r="W13" s="166"/>
      <c r="X13" s="170"/>
      <c r="Y13" s="170"/>
      <c r="Z13" s="472"/>
    </row>
    <row r="14" spans="2:28" x14ac:dyDescent="0.25">
      <c r="B14" s="120" t="s">
        <v>188</v>
      </c>
      <c r="C14" s="166"/>
      <c r="D14" s="170"/>
      <c r="E14" s="170">
        <f t="shared" ref="E14:E20" si="1">(C14)-(D14)</f>
        <v>0</v>
      </c>
      <c r="F14" s="472" t="str">
        <f t="shared" ref="F14:F20" si="2">IF(D14=0,"",(C14)/(D14))</f>
        <v/>
      </c>
      <c r="G14" s="166">
        <f>11579.67</f>
        <v>11579.67</v>
      </c>
      <c r="H14" s="170">
        <f>13000</f>
        <v>13000</v>
      </c>
      <c r="I14" s="170">
        <f t="shared" ref="I14:I20" si="3">(G14)-(H14)</f>
        <v>-1420.33</v>
      </c>
      <c r="J14" s="472">
        <f t="shared" ref="J14:J20" si="4">IF(H14=0,"",(G14)/(H14))</f>
        <v>0.89074384615384616</v>
      </c>
      <c r="K14" s="166"/>
      <c r="L14" s="170">
        <f>1083.33</f>
        <v>1083.33</v>
      </c>
      <c r="M14" s="170">
        <f t="shared" ref="M14:M20" si="5">(K14)-(L14)</f>
        <v>-1083.33</v>
      </c>
      <c r="N14" s="472">
        <f t="shared" ref="N14:N20" si="6">IF(L14=0,"",(K14)/(L14))</f>
        <v>0</v>
      </c>
      <c r="O14" s="166">
        <f>4914.15</f>
        <v>4914.1499999999996</v>
      </c>
      <c r="P14" s="170">
        <f>13541.67</f>
        <v>13541.67</v>
      </c>
      <c r="Q14" s="170">
        <f t="shared" ref="Q14:Q20" si="7">(O14)-(P14)</f>
        <v>-8627.52</v>
      </c>
      <c r="R14" s="472">
        <f t="shared" ref="R14:R20" si="8">IF(P14=0,"",(O14)/(P14))</f>
        <v>0.36289098759606458</v>
      </c>
      <c r="S14" s="166">
        <f>18354.09</f>
        <v>18354.09</v>
      </c>
      <c r="T14" s="170">
        <f>17333.33</f>
        <v>17333.330000000002</v>
      </c>
      <c r="U14" s="170">
        <f t="shared" ref="U14:U20" si="9">(S14)-(T14)</f>
        <v>1020.7599999999984</v>
      </c>
      <c r="V14" s="472">
        <f t="shared" ref="V14:V20" si="10">IF(T14=0,"",(S14)/(T14))</f>
        <v>1.0588900113250022</v>
      </c>
      <c r="W14" s="166">
        <f t="shared" ref="W14:X20" si="11">((((C14)+(G14))+(K14))+(O14))+(S14)</f>
        <v>34847.910000000003</v>
      </c>
      <c r="X14" s="170">
        <f t="shared" si="11"/>
        <v>44958.33</v>
      </c>
      <c r="Y14" s="170">
        <f t="shared" ref="Y14:Y20" si="12">(W14)-(X14)</f>
        <v>-10110.419999999998</v>
      </c>
      <c r="Z14" s="472">
        <f t="shared" ref="Z14:Z20" si="13">IF(X14=0,"",(W14)/(X14))</f>
        <v>0.7751157571911591</v>
      </c>
    </row>
    <row r="15" spans="2:28" x14ac:dyDescent="0.25">
      <c r="B15" s="120" t="s">
        <v>1278</v>
      </c>
      <c r="C15" s="166"/>
      <c r="D15" s="170"/>
      <c r="E15" s="170">
        <f t="shared" si="1"/>
        <v>0</v>
      </c>
      <c r="F15" s="472" t="str">
        <f t="shared" si="2"/>
        <v/>
      </c>
      <c r="G15" s="166"/>
      <c r="H15" s="170"/>
      <c r="I15" s="170">
        <f t="shared" si="3"/>
        <v>0</v>
      </c>
      <c r="J15" s="472" t="str">
        <f t="shared" si="4"/>
        <v/>
      </c>
      <c r="K15" s="166"/>
      <c r="L15" s="170"/>
      <c r="M15" s="170">
        <f t="shared" si="5"/>
        <v>0</v>
      </c>
      <c r="N15" s="472" t="str">
        <f t="shared" si="6"/>
        <v/>
      </c>
      <c r="O15" s="166">
        <v>0</v>
      </c>
      <c r="P15" s="170"/>
      <c r="Q15" s="170">
        <f t="shared" si="7"/>
        <v>0</v>
      </c>
      <c r="R15" s="472" t="str">
        <f t="shared" si="8"/>
        <v/>
      </c>
      <c r="S15" s="166"/>
      <c r="T15" s="170"/>
      <c r="U15" s="170">
        <f t="shared" si="9"/>
        <v>0</v>
      </c>
      <c r="V15" s="472" t="str">
        <f t="shared" si="10"/>
        <v/>
      </c>
      <c r="W15" s="166">
        <f t="shared" si="11"/>
        <v>0</v>
      </c>
      <c r="X15" s="170">
        <f t="shared" si="11"/>
        <v>0</v>
      </c>
      <c r="Y15" s="170">
        <f t="shared" si="12"/>
        <v>0</v>
      </c>
      <c r="Z15" s="472" t="str">
        <f t="shared" si="13"/>
        <v/>
      </c>
    </row>
    <row r="16" spans="2:28" x14ac:dyDescent="0.25">
      <c r="B16" s="120" t="s">
        <v>189</v>
      </c>
      <c r="C16" s="166"/>
      <c r="D16" s="170"/>
      <c r="E16" s="170">
        <f t="shared" si="1"/>
        <v>0</v>
      </c>
      <c r="F16" s="472" t="str">
        <f t="shared" si="2"/>
        <v/>
      </c>
      <c r="G16" s="166">
        <f>18477.09</f>
        <v>18477.09</v>
      </c>
      <c r="H16" s="170">
        <f>1139.87</f>
        <v>1139.8699999999999</v>
      </c>
      <c r="I16" s="170">
        <f t="shared" si="3"/>
        <v>17337.22</v>
      </c>
      <c r="J16" s="472">
        <f t="shared" si="4"/>
        <v>16.209822172703905</v>
      </c>
      <c r="K16" s="166">
        <f>0</f>
        <v>0</v>
      </c>
      <c r="L16" s="170"/>
      <c r="M16" s="170">
        <f t="shared" si="5"/>
        <v>0</v>
      </c>
      <c r="N16" s="472" t="str">
        <f t="shared" si="6"/>
        <v/>
      </c>
      <c r="O16" s="166">
        <f>21595.76</f>
        <v>21595.759999999998</v>
      </c>
      <c r="P16" s="170">
        <f>28468.69</f>
        <v>28468.69</v>
      </c>
      <c r="Q16" s="170">
        <f t="shared" si="7"/>
        <v>-6872.93</v>
      </c>
      <c r="R16" s="472">
        <f t="shared" si="8"/>
        <v>0.7585793375107881</v>
      </c>
      <c r="S16" s="166">
        <f>57640.98</f>
        <v>57640.98</v>
      </c>
      <c r="T16" s="170">
        <f>46857.02</f>
        <v>46857.02</v>
      </c>
      <c r="U16" s="170">
        <f t="shared" si="9"/>
        <v>10783.960000000006</v>
      </c>
      <c r="V16" s="472">
        <f t="shared" si="10"/>
        <v>1.2301460912367028</v>
      </c>
      <c r="W16" s="166">
        <f t="shared" si="11"/>
        <v>97713.83</v>
      </c>
      <c r="X16" s="170">
        <f t="shared" si="11"/>
        <v>76465.579999999987</v>
      </c>
      <c r="Y16" s="170">
        <f t="shared" si="12"/>
        <v>21248.250000000015</v>
      </c>
      <c r="Z16" s="472">
        <f t="shared" si="13"/>
        <v>1.2778799297670929</v>
      </c>
    </row>
    <row r="17" spans="2:26" x14ac:dyDescent="0.25">
      <c r="B17" s="120" t="s">
        <v>190</v>
      </c>
      <c r="C17" s="166"/>
      <c r="D17" s="170"/>
      <c r="E17" s="170">
        <f t="shared" si="1"/>
        <v>0</v>
      </c>
      <c r="F17" s="472" t="str">
        <f t="shared" si="2"/>
        <v/>
      </c>
      <c r="G17" s="166">
        <f>1752.46</f>
        <v>1752.46</v>
      </c>
      <c r="H17" s="170">
        <f>91.19</f>
        <v>91.19</v>
      </c>
      <c r="I17" s="170">
        <f t="shared" si="3"/>
        <v>1661.27</v>
      </c>
      <c r="J17" s="472">
        <f t="shared" si="4"/>
        <v>19.217677376905364</v>
      </c>
      <c r="K17" s="166">
        <f>0</f>
        <v>0</v>
      </c>
      <c r="L17" s="170"/>
      <c r="M17" s="170">
        <f t="shared" si="5"/>
        <v>0</v>
      </c>
      <c r="N17" s="472" t="str">
        <f t="shared" si="6"/>
        <v/>
      </c>
      <c r="O17" s="166">
        <f>1563.43</f>
        <v>1563.43</v>
      </c>
      <c r="P17" s="170">
        <f>2277.5</f>
        <v>2277.5</v>
      </c>
      <c r="Q17" s="170">
        <f t="shared" si="7"/>
        <v>-714.06999999999994</v>
      </c>
      <c r="R17" s="472">
        <f t="shared" si="8"/>
        <v>0.68646761800219547</v>
      </c>
      <c r="S17" s="166">
        <f>4754.34</f>
        <v>4754.34</v>
      </c>
      <c r="T17" s="170">
        <f>3748.56</f>
        <v>3748.56</v>
      </c>
      <c r="U17" s="170">
        <f t="shared" si="9"/>
        <v>1005.7800000000002</v>
      </c>
      <c r="V17" s="472">
        <f t="shared" si="10"/>
        <v>1.2683110314360715</v>
      </c>
      <c r="W17" s="166">
        <f t="shared" si="11"/>
        <v>8070.2300000000005</v>
      </c>
      <c r="X17" s="170">
        <f t="shared" si="11"/>
        <v>6117.25</v>
      </c>
      <c r="Y17" s="170">
        <f t="shared" si="12"/>
        <v>1952.9800000000005</v>
      </c>
      <c r="Z17" s="472">
        <f t="shared" si="13"/>
        <v>1.3192578364461156</v>
      </c>
    </row>
    <row r="18" spans="2:26" x14ac:dyDescent="0.25">
      <c r="B18" s="120" t="s">
        <v>191</v>
      </c>
      <c r="C18" s="166"/>
      <c r="D18" s="170"/>
      <c r="E18" s="170">
        <f t="shared" si="1"/>
        <v>0</v>
      </c>
      <c r="F18" s="472" t="str">
        <f t="shared" si="2"/>
        <v/>
      </c>
      <c r="G18" s="166">
        <f>1052.75</f>
        <v>1052.75</v>
      </c>
      <c r="H18" s="170"/>
      <c r="I18" s="170">
        <f t="shared" si="3"/>
        <v>1052.75</v>
      </c>
      <c r="J18" s="472" t="str">
        <f t="shared" si="4"/>
        <v/>
      </c>
      <c r="K18" s="166">
        <f>0</f>
        <v>0</v>
      </c>
      <c r="L18" s="170"/>
      <c r="M18" s="170">
        <f t="shared" si="5"/>
        <v>0</v>
      </c>
      <c r="N18" s="472" t="str">
        <f t="shared" si="6"/>
        <v/>
      </c>
      <c r="O18" s="166">
        <f>522.48</f>
        <v>522.48</v>
      </c>
      <c r="P18" s="170">
        <f>1155.98</f>
        <v>1155.98</v>
      </c>
      <c r="Q18" s="170">
        <f t="shared" si="7"/>
        <v>-633.5</v>
      </c>
      <c r="R18" s="472">
        <f t="shared" si="8"/>
        <v>0.45198013806467241</v>
      </c>
      <c r="S18" s="166">
        <f>3253.9</f>
        <v>3253.9</v>
      </c>
      <c r="T18" s="170">
        <f>1902.64</f>
        <v>1902.64</v>
      </c>
      <c r="U18" s="170">
        <f t="shared" si="9"/>
        <v>1351.26</v>
      </c>
      <c r="V18" s="472">
        <f t="shared" si="10"/>
        <v>1.7102026657696674</v>
      </c>
      <c r="W18" s="166">
        <f t="shared" si="11"/>
        <v>4829.13</v>
      </c>
      <c r="X18" s="170">
        <f t="shared" si="11"/>
        <v>3058.62</v>
      </c>
      <c r="Y18" s="170">
        <f t="shared" si="12"/>
        <v>1770.5100000000002</v>
      </c>
      <c r="Z18" s="472">
        <f t="shared" si="13"/>
        <v>1.5788590933165938</v>
      </c>
    </row>
    <row r="19" spans="2:26" ht="15.75" thickBot="1" x14ac:dyDescent="0.3">
      <c r="B19" s="167" t="s">
        <v>192</v>
      </c>
      <c r="C19" s="210">
        <f>((((C14)+(C15))+(C16))+(C17))+(C18)</f>
        <v>0</v>
      </c>
      <c r="D19" s="468">
        <f>((((D14)+(D15))+(D16))+(D17))+(D18)</f>
        <v>0</v>
      </c>
      <c r="E19" s="468">
        <f t="shared" si="1"/>
        <v>0</v>
      </c>
      <c r="F19" s="474" t="str">
        <f t="shared" si="2"/>
        <v/>
      </c>
      <c r="G19" s="210">
        <f>((((G14)+(G15))+(G16))+(G17))+(G18)</f>
        <v>32861.97</v>
      </c>
      <c r="H19" s="468">
        <f>((((H14)+(H15))+(H16))+(H17))+(H18)</f>
        <v>14231.06</v>
      </c>
      <c r="I19" s="468">
        <f t="shared" si="3"/>
        <v>18630.910000000003</v>
      </c>
      <c r="J19" s="474">
        <f t="shared" si="4"/>
        <v>2.3091723315058754</v>
      </c>
      <c r="K19" s="210">
        <f>((((K14)+(K15))+(K16))+(K17))+(K18)</f>
        <v>0</v>
      </c>
      <c r="L19" s="468">
        <f>((((L14)+(L15))+(L16))+(L17))+(L18)</f>
        <v>1083.33</v>
      </c>
      <c r="M19" s="468">
        <f t="shared" si="5"/>
        <v>-1083.33</v>
      </c>
      <c r="N19" s="474">
        <f t="shared" si="6"/>
        <v>0</v>
      </c>
      <c r="O19" s="210">
        <f>((((O14)+(O15))+(O16))+(O17))+(O18)</f>
        <v>28595.819999999996</v>
      </c>
      <c r="P19" s="468">
        <f>((((P14)+(P15))+(P16))+(P17))+(P18)</f>
        <v>45443.840000000004</v>
      </c>
      <c r="Q19" s="468">
        <f t="shared" si="7"/>
        <v>-16848.020000000008</v>
      </c>
      <c r="R19" s="474">
        <f t="shared" si="8"/>
        <v>0.62925624243021705</v>
      </c>
      <c r="S19" s="210">
        <f>((((S14)+(S15))+(S16))+(S17))+(S18)</f>
        <v>84003.31</v>
      </c>
      <c r="T19" s="468">
        <f>((((T14)+(T15))+(T16))+(T17))+(T18)</f>
        <v>69841.55</v>
      </c>
      <c r="U19" s="468">
        <f t="shared" si="9"/>
        <v>14161.759999999995</v>
      </c>
      <c r="V19" s="474">
        <f t="shared" si="10"/>
        <v>1.202769841161887</v>
      </c>
      <c r="W19" s="210">
        <f t="shared" si="11"/>
        <v>145461.09999999998</v>
      </c>
      <c r="X19" s="468">
        <f t="shared" si="11"/>
        <v>130599.78</v>
      </c>
      <c r="Y19" s="468">
        <f t="shared" si="12"/>
        <v>14861.319999999978</v>
      </c>
      <c r="Z19" s="474">
        <f t="shared" si="13"/>
        <v>1.1137928409986599</v>
      </c>
    </row>
    <row r="20" spans="2:26" ht="15.75" thickBot="1" x14ac:dyDescent="0.3">
      <c r="B20" s="219" t="s">
        <v>152</v>
      </c>
      <c r="C20" s="220">
        <f>(C12)-(C19)</f>
        <v>0</v>
      </c>
      <c r="D20" s="467">
        <f>(D12)-(D19)</f>
        <v>0</v>
      </c>
      <c r="E20" s="467">
        <f t="shared" si="1"/>
        <v>0</v>
      </c>
      <c r="F20" s="473" t="str">
        <f t="shared" si="2"/>
        <v/>
      </c>
      <c r="G20" s="220">
        <f>(G12)-(G19)</f>
        <v>134254.25</v>
      </c>
      <c r="H20" s="467">
        <f>(H12)-(H19)</f>
        <v>85768.94</v>
      </c>
      <c r="I20" s="467">
        <f t="shared" si="3"/>
        <v>48485.31</v>
      </c>
      <c r="J20" s="473">
        <f t="shared" si="4"/>
        <v>1.5653014949234536</v>
      </c>
      <c r="K20" s="220">
        <f>(K12)-(K19)</f>
        <v>1550</v>
      </c>
      <c r="L20" s="467">
        <f>(L12)-(L19)</f>
        <v>7250</v>
      </c>
      <c r="M20" s="467">
        <f t="shared" si="5"/>
        <v>-5700</v>
      </c>
      <c r="N20" s="473">
        <f t="shared" si="6"/>
        <v>0.21379310344827587</v>
      </c>
      <c r="O20" s="220">
        <f>(O12)-(O19)</f>
        <v>17395.320000000003</v>
      </c>
      <c r="P20" s="467">
        <f>(P12)-(P19)</f>
        <v>58722.829999999994</v>
      </c>
      <c r="Q20" s="467">
        <f t="shared" si="7"/>
        <v>-41327.509999999995</v>
      </c>
      <c r="R20" s="473">
        <f t="shared" si="8"/>
        <v>0.29622754897882142</v>
      </c>
      <c r="S20" s="220">
        <f>(S12)-(S19)</f>
        <v>-9992.8099999999977</v>
      </c>
      <c r="T20" s="467">
        <f>(T12)-(T19)</f>
        <v>63491.779999999984</v>
      </c>
      <c r="U20" s="467">
        <f t="shared" si="9"/>
        <v>-73484.589999999982</v>
      </c>
      <c r="V20" s="473">
        <f t="shared" si="10"/>
        <v>-0.15738746023500996</v>
      </c>
      <c r="W20" s="220">
        <f t="shared" si="11"/>
        <v>143206.76</v>
      </c>
      <c r="X20" s="467">
        <f t="shared" si="11"/>
        <v>215233.55</v>
      </c>
      <c r="Y20" s="467">
        <f t="shared" si="12"/>
        <v>-72026.789999999979</v>
      </c>
      <c r="Z20" s="473">
        <f t="shared" si="13"/>
        <v>0.66535519206926619</v>
      </c>
    </row>
    <row r="21" spans="2:26" x14ac:dyDescent="0.25">
      <c r="B21" s="120" t="s">
        <v>193</v>
      </c>
      <c r="C21" s="166"/>
      <c r="D21" s="170"/>
      <c r="E21" s="170"/>
      <c r="F21" s="472"/>
      <c r="G21" s="166"/>
      <c r="H21" s="170"/>
      <c r="I21" s="170"/>
      <c r="J21" s="472"/>
      <c r="K21" s="166"/>
      <c r="L21" s="170"/>
      <c r="M21" s="170"/>
      <c r="N21" s="472"/>
      <c r="O21" s="166"/>
      <c r="P21" s="170"/>
      <c r="Q21" s="170"/>
      <c r="R21" s="472"/>
      <c r="S21" s="166"/>
      <c r="T21" s="170"/>
      <c r="U21" s="170"/>
      <c r="V21" s="472"/>
      <c r="W21" s="166"/>
      <c r="X21" s="170"/>
      <c r="Y21" s="170"/>
      <c r="Z21" s="472"/>
    </row>
    <row r="22" spans="2:26" x14ac:dyDescent="0.25">
      <c r="B22" s="120" t="s">
        <v>194</v>
      </c>
      <c r="C22" s="166"/>
      <c r="D22" s="170"/>
      <c r="E22" s="170">
        <f t="shared" ref="E22:E77" si="14">(C22)-(D22)</f>
        <v>0</v>
      </c>
      <c r="F22" s="472" t="str">
        <f t="shared" ref="F22:F77" si="15">IF(D22=0,"",(C22)/(D22))</f>
        <v/>
      </c>
      <c r="G22" s="166"/>
      <c r="H22" s="170"/>
      <c r="I22" s="170">
        <f t="shared" ref="I22:I77" si="16">(G22)-(H22)</f>
        <v>0</v>
      </c>
      <c r="J22" s="472" t="str">
        <f t="shared" ref="J22:J77" si="17">IF(H22=0,"",(G22)/(H22))</f>
        <v/>
      </c>
      <c r="K22" s="166"/>
      <c r="L22" s="170"/>
      <c r="M22" s="170">
        <f t="shared" ref="M22:M77" si="18">(K22)-(L22)</f>
        <v>0</v>
      </c>
      <c r="N22" s="472" t="str">
        <f t="shared" ref="N22:N77" si="19">IF(L22=0,"",(K22)/(L22))</f>
        <v/>
      </c>
      <c r="O22" s="166"/>
      <c r="P22" s="170"/>
      <c r="Q22" s="170">
        <f t="shared" ref="Q22:Q77" si="20">(O22)-(P22)</f>
        <v>0</v>
      </c>
      <c r="R22" s="472" t="str">
        <f t="shared" ref="R22:R77" si="21">IF(P22=0,"",(O22)/(P22))</f>
        <v/>
      </c>
      <c r="S22" s="166"/>
      <c r="T22" s="170"/>
      <c r="U22" s="170">
        <f t="shared" ref="U22:U77" si="22">(S22)-(T22)</f>
        <v>0</v>
      </c>
      <c r="V22" s="472" t="str">
        <f t="shared" ref="V22:V77" si="23">IF(T22=0,"",(S22)/(T22))</f>
        <v/>
      </c>
      <c r="W22" s="166">
        <f t="shared" ref="W22:X53" si="24">((((C22)+(G22))+(K22))+(O22))+(S22)</f>
        <v>0</v>
      </c>
      <c r="X22" s="170">
        <f t="shared" si="24"/>
        <v>0</v>
      </c>
      <c r="Y22" s="170">
        <f t="shared" ref="Y22:Y77" si="25">(W22)-(X22)</f>
        <v>0</v>
      </c>
      <c r="Z22" s="472" t="str">
        <f t="shared" ref="Z22:Z77" si="26">IF(X22=0,"",(W22)/(X22))</f>
        <v/>
      </c>
    </row>
    <row r="23" spans="2:26" x14ac:dyDescent="0.25">
      <c r="B23" s="120" t="s">
        <v>195</v>
      </c>
      <c r="C23" s="166">
        <f>0</f>
        <v>0</v>
      </c>
      <c r="D23" s="170">
        <f>0</f>
        <v>0</v>
      </c>
      <c r="E23" s="170">
        <f t="shared" si="14"/>
        <v>0</v>
      </c>
      <c r="F23" s="472" t="str">
        <f t="shared" si="15"/>
        <v/>
      </c>
      <c r="G23" s="166">
        <f>14307.67</f>
        <v>14307.67</v>
      </c>
      <c r="H23" s="170">
        <f>13846.18</f>
        <v>13846.18</v>
      </c>
      <c r="I23" s="170">
        <f t="shared" si="16"/>
        <v>461.48999999999978</v>
      </c>
      <c r="J23" s="472">
        <f t="shared" si="17"/>
        <v>1.0333297703771003</v>
      </c>
      <c r="K23" s="166">
        <f>1021.99</f>
        <v>1021.99</v>
      </c>
      <c r="L23" s="170">
        <f>989.01</f>
        <v>989.01</v>
      </c>
      <c r="M23" s="170">
        <f t="shared" si="18"/>
        <v>32.980000000000018</v>
      </c>
      <c r="N23" s="472">
        <f t="shared" si="19"/>
        <v>1.0333464777909223</v>
      </c>
      <c r="O23" s="166">
        <f>6131.87</f>
        <v>6131.87</v>
      </c>
      <c r="P23" s="170">
        <f>5934.08</f>
        <v>5934.08</v>
      </c>
      <c r="Q23" s="170">
        <f t="shared" si="20"/>
        <v>197.78999999999996</v>
      </c>
      <c r="R23" s="472">
        <f t="shared" si="21"/>
        <v>1.0333311987704918</v>
      </c>
      <c r="S23" s="166">
        <f>0</f>
        <v>0</v>
      </c>
      <c r="T23" s="170">
        <f>857.17</f>
        <v>857.17</v>
      </c>
      <c r="U23" s="170">
        <f t="shared" si="22"/>
        <v>-857.17</v>
      </c>
      <c r="V23" s="472">
        <f t="shared" si="23"/>
        <v>0</v>
      </c>
      <c r="W23" s="166">
        <f t="shared" si="24"/>
        <v>21461.53</v>
      </c>
      <c r="X23" s="170">
        <f t="shared" si="24"/>
        <v>21626.44</v>
      </c>
      <c r="Y23" s="170">
        <f t="shared" si="25"/>
        <v>-164.90999999999985</v>
      </c>
      <c r="Z23" s="472">
        <f t="shared" si="26"/>
        <v>0.99237461181775644</v>
      </c>
    </row>
    <row r="24" spans="2:26" x14ac:dyDescent="0.25">
      <c r="B24" s="120" t="s">
        <v>196</v>
      </c>
      <c r="C24" s="166">
        <f>104.92</f>
        <v>104.92</v>
      </c>
      <c r="D24" s="170">
        <f>0</f>
        <v>0</v>
      </c>
      <c r="E24" s="170">
        <f t="shared" si="14"/>
        <v>104.92</v>
      </c>
      <c r="F24" s="472" t="str">
        <f t="shared" si="15"/>
        <v/>
      </c>
      <c r="G24" s="166">
        <f>1306.25</f>
        <v>1306.25</v>
      </c>
      <c r="H24" s="170">
        <f>1107.7</f>
        <v>1107.7</v>
      </c>
      <c r="I24" s="170">
        <f t="shared" si="16"/>
        <v>198.54999999999995</v>
      </c>
      <c r="J24" s="472">
        <f t="shared" si="17"/>
        <v>1.1792452830188678</v>
      </c>
      <c r="K24" s="166">
        <f>285.76</f>
        <v>285.76</v>
      </c>
      <c r="L24" s="170">
        <f>79.12</f>
        <v>79.12</v>
      </c>
      <c r="M24" s="170">
        <f t="shared" si="18"/>
        <v>206.64</v>
      </c>
      <c r="N24" s="472">
        <f t="shared" si="19"/>
        <v>3.6117290192113241</v>
      </c>
      <c r="O24" s="166">
        <f>992.23</f>
        <v>992.23</v>
      </c>
      <c r="P24" s="170">
        <f>474.73</f>
        <v>474.73</v>
      </c>
      <c r="Q24" s="170">
        <f t="shared" si="20"/>
        <v>517.5</v>
      </c>
      <c r="R24" s="472">
        <f t="shared" si="21"/>
        <v>2.0900933162007878</v>
      </c>
      <c r="S24" s="166">
        <f>1309.53</f>
        <v>1309.53</v>
      </c>
      <c r="T24" s="170">
        <f>68.57</f>
        <v>68.569999999999993</v>
      </c>
      <c r="U24" s="170">
        <f t="shared" si="22"/>
        <v>1240.96</v>
      </c>
      <c r="V24" s="472">
        <f t="shared" si="23"/>
        <v>19.097710368966023</v>
      </c>
      <c r="W24" s="166">
        <f t="shared" si="24"/>
        <v>3998.6899999999996</v>
      </c>
      <c r="X24" s="170">
        <f t="shared" si="24"/>
        <v>1730.1200000000001</v>
      </c>
      <c r="Y24" s="170">
        <f t="shared" si="25"/>
        <v>2268.5699999999997</v>
      </c>
      <c r="Z24" s="472">
        <f t="shared" si="26"/>
        <v>2.3112211869696897</v>
      </c>
    </row>
    <row r="25" spans="2:26" x14ac:dyDescent="0.25">
      <c r="B25" s="120" t="s">
        <v>197</v>
      </c>
      <c r="C25" s="166">
        <f>0</f>
        <v>0</v>
      </c>
      <c r="D25" s="170">
        <f>0</f>
        <v>0</v>
      </c>
      <c r="E25" s="170">
        <f t="shared" si="14"/>
        <v>0</v>
      </c>
      <c r="F25" s="472" t="str">
        <f t="shared" si="15"/>
        <v/>
      </c>
      <c r="G25" s="166">
        <f>855.9</f>
        <v>855.9</v>
      </c>
      <c r="H25" s="170">
        <f>553.85</f>
        <v>553.85</v>
      </c>
      <c r="I25" s="170">
        <f t="shared" si="16"/>
        <v>302.04999999999995</v>
      </c>
      <c r="J25" s="472">
        <f t="shared" si="17"/>
        <v>1.5453642683036923</v>
      </c>
      <c r="K25" s="166">
        <f>43.44</f>
        <v>43.44</v>
      </c>
      <c r="L25" s="170">
        <f>39.56</f>
        <v>39.56</v>
      </c>
      <c r="M25" s="170">
        <f t="shared" si="18"/>
        <v>3.8799999999999955</v>
      </c>
      <c r="N25" s="472">
        <f t="shared" si="19"/>
        <v>1.0980788675429727</v>
      </c>
      <c r="O25" s="166">
        <f>260.57</f>
        <v>260.57</v>
      </c>
      <c r="P25" s="170">
        <f>237.36</f>
        <v>237.36</v>
      </c>
      <c r="Q25" s="170">
        <f t="shared" si="20"/>
        <v>23.20999999999998</v>
      </c>
      <c r="R25" s="472">
        <f t="shared" si="21"/>
        <v>1.0977839568587797</v>
      </c>
      <c r="S25" s="166">
        <f>0</f>
        <v>0</v>
      </c>
      <c r="T25" s="170">
        <f>34.29</f>
        <v>34.29</v>
      </c>
      <c r="U25" s="170">
        <f t="shared" si="22"/>
        <v>-34.29</v>
      </c>
      <c r="V25" s="472">
        <f t="shared" si="23"/>
        <v>0</v>
      </c>
      <c r="W25" s="166">
        <f t="shared" si="24"/>
        <v>1159.9099999999999</v>
      </c>
      <c r="X25" s="170">
        <f t="shared" si="24"/>
        <v>865.06000000000006</v>
      </c>
      <c r="Y25" s="170">
        <f t="shared" si="25"/>
        <v>294.8499999999998</v>
      </c>
      <c r="Z25" s="472">
        <f t="shared" si="26"/>
        <v>1.3408434097056849</v>
      </c>
    </row>
    <row r="26" spans="2:26" x14ac:dyDescent="0.25">
      <c r="B26" s="120" t="s">
        <v>198</v>
      </c>
      <c r="C26" s="166"/>
      <c r="D26" s="170">
        <f>0</f>
        <v>0</v>
      </c>
      <c r="E26" s="170">
        <f t="shared" si="14"/>
        <v>0</v>
      </c>
      <c r="F26" s="472" t="str">
        <f t="shared" si="15"/>
        <v/>
      </c>
      <c r="G26" s="166"/>
      <c r="H26" s="170">
        <f>526.16</f>
        <v>526.16</v>
      </c>
      <c r="I26" s="170">
        <f t="shared" si="16"/>
        <v>-526.16</v>
      </c>
      <c r="J26" s="472">
        <f t="shared" si="17"/>
        <v>0</v>
      </c>
      <c r="K26" s="166"/>
      <c r="L26" s="170">
        <f>37.58</f>
        <v>37.58</v>
      </c>
      <c r="M26" s="170">
        <f t="shared" si="18"/>
        <v>-37.58</v>
      </c>
      <c r="N26" s="472">
        <f t="shared" si="19"/>
        <v>0</v>
      </c>
      <c r="O26" s="166"/>
      <c r="P26" s="170">
        <f>225.5</f>
        <v>225.5</v>
      </c>
      <c r="Q26" s="170">
        <f t="shared" si="20"/>
        <v>-225.5</v>
      </c>
      <c r="R26" s="472">
        <f t="shared" si="21"/>
        <v>0</v>
      </c>
      <c r="S26" s="166"/>
      <c r="T26" s="170">
        <f>32.57</f>
        <v>32.57</v>
      </c>
      <c r="U26" s="170">
        <f t="shared" si="22"/>
        <v>-32.57</v>
      </c>
      <c r="V26" s="472">
        <f t="shared" si="23"/>
        <v>0</v>
      </c>
      <c r="W26" s="166">
        <f t="shared" si="24"/>
        <v>0</v>
      </c>
      <c r="X26" s="170">
        <f t="shared" si="24"/>
        <v>821.81000000000006</v>
      </c>
      <c r="Y26" s="170">
        <f t="shared" si="25"/>
        <v>-821.81000000000006</v>
      </c>
      <c r="Z26" s="472">
        <f t="shared" si="26"/>
        <v>0</v>
      </c>
    </row>
    <row r="27" spans="2:26" x14ac:dyDescent="0.25">
      <c r="B27" s="120" t="s">
        <v>199</v>
      </c>
      <c r="C27" s="211">
        <f>((((C22)+(C23))+(C24))+(C25))+(C26)</f>
        <v>104.92</v>
      </c>
      <c r="D27" s="469">
        <f>((((D22)+(D23))+(D24))+(D25))+(D26)</f>
        <v>0</v>
      </c>
      <c r="E27" s="469">
        <f t="shared" si="14"/>
        <v>104.92</v>
      </c>
      <c r="F27" s="475" t="str">
        <f t="shared" si="15"/>
        <v/>
      </c>
      <c r="G27" s="211">
        <f>((((G22)+(G23))+(G24))+(G25))+(G26)</f>
        <v>16469.82</v>
      </c>
      <c r="H27" s="469">
        <f>((((H22)+(H23))+(H24))+(H25))+(H26)</f>
        <v>16033.890000000001</v>
      </c>
      <c r="I27" s="469">
        <f t="shared" si="16"/>
        <v>435.92999999999847</v>
      </c>
      <c r="J27" s="475">
        <f t="shared" si="17"/>
        <v>1.0271880373384126</v>
      </c>
      <c r="K27" s="211">
        <f>((((K22)+(K23))+(K24))+(K25))+(K26)</f>
        <v>1351.19</v>
      </c>
      <c r="L27" s="469">
        <f>((((L22)+(L23))+(L24))+(L25))+(L26)</f>
        <v>1145.27</v>
      </c>
      <c r="M27" s="469">
        <f t="shared" si="18"/>
        <v>205.92000000000007</v>
      </c>
      <c r="N27" s="475">
        <f t="shared" si="19"/>
        <v>1.179800396413073</v>
      </c>
      <c r="O27" s="211">
        <f>((((O22)+(O23))+(O24))+(O25))+(O26)</f>
        <v>7384.67</v>
      </c>
      <c r="P27" s="469">
        <f>((((P22)+(P23))+(P24))+(P25))+(P26)</f>
        <v>6871.6699999999992</v>
      </c>
      <c r="Q27" s="469">
        <f t="shared" si="20"/>
        <v>513.00000000000091</v>
      </c>
      <c r="R27" s="475">
        <f t="shared" si="21"/>
        <v>1.0746543416665819</v>
      </c>
      <c r="S27" s="211">
        <f>((((S22)+(S23))+(S24))+(S25))+(S26)</f>
        <v>1309.53</v>
      </c>
      <c r="T27" s="469">
        <f>((((T22)+(T23))+(T24))+(T25))+(T26)</f>
        <v>992.6</v>
      </c>
      <c r="U27" s="469">
        <f t="shared" si="22"/>
        <v>316.92999999999995</v>
      </c>
      <c r="V27" s="475">
        <f t="shared" si="23"/>
        <v>1.3192927664718919</v>
      </c>
      <c r="W27" s="211">
        <f t="shared" si="24"/>
        <v>26620.129999999997</v>
      </c>
      <c r="X27" s="469">
        <f t="shared" si="24"/>
        <v>25043.429999999997</v>
      </c>
      <c r="Y27" s="469">
        <f t="shared" si="25"/>
        <v>1576.7000000000007</v>
      </c>
      <c r="Z27" s="475">
        <f t="shared" si="26"/>
        <v>1.0629586282709678</v>
      </c>
    </row>
    <row r="28" spans="2:26" x14ac:dyDescent="0.25">
      <c r="B28" s="120" t="s">
        <v>200</v>
      </c>
      <c r="C28" s="166">
        <f>2632.67</f>
        <v>2632.67</v>
      </c>
      <c r="D28" s="170">
        <f>100</f>
        <v>100</v>
      </c>
      <c r="E28" s="170">
        <f t="shared" si="14"/>
        <v>2532.67</v>
      </c>
      <c r="F28" s="472">
        <f t="shared" si="15"/>
        <v>26.326700000000002</v>
      </c>
      <c r="G28" s="166"/>
      <c r="H28" s="170"/>
      <c r="I28" s="170">
        <f t="shared" si="16"/>
        <v>0</v>
      </c>
      <c r="J28" s="472" t="str">
        <f t="shared" si="17"/>
        <v/>
      </c>
      <c r="K28" s="166"/>
      <c r="L28" s="170"/>
      <c r="M28" s="170">
        <f t="shared" si="18"/>
        <v>0</v>
      </c>
      <c r="N28" s="472" t="str">
        <f t="shared" si="19"/>
        <v/>
      </c>
      <c r="O28" s="166"/>
      <c r="P28" s="170"/>
      <c r="Q28" s="170">
        <f t="shared" si="20"/>
        <v>0</v>
      </c>
      <c r="R28" s="472" t="str">
        <f t="shared" si="21"/>
        <v/>
      </c>
      <c r="S28" s="166"/>
      <c r="T28" s="170"/>
      <c r="U28" s="170">
        <f t="shared" si="22"/>
        <v>0</v>
      </c>
      <c r="V28" s="472" t="str">
        <f t="shared" si="23"/>
        <v/>
      </c>
      <c r="W28" s="166">
        <f t="shared" si="24"/>
        <v>2632.67</v>
      </c>
      <c r="X28" s="170">
        <f t="shared" si="24"/>
        <v>100</v>
      </c>
      <c r="Y28" s="170">
        <f t="shared" si="25"/>
        <v>2532.67</v>
      </c>
      <c r="Z28" s="472">
        <f t="shared" si="26"/>
        <v>26.326700000000002</v>
      </c>
    </row>
    <row r="29" spans="2:26" x14ac:dyDescent="0.25">
      <c r="B29" s="120" t="s">
        <v>201</v>
      </c>
      <c r="C29" s="166">
        <f>956</f>
        <v>956</v>
      </c>
      <c r="D29" s="170">
        <f>830.14</f>
        <v>830.14</v>
      </c>
      <c r="E29" s="170">
        <f t="shared" si="14"/>
        <v>125.86000000000001</v>
      </c>
      <c r="F29" s="472">
        <f t="shared" si="15"/>
        <v>1.1516129809429736</v>
      </c>
      <c r="G29" s="166"/>
      <c r="H29" s="170"/>
      <c r="I29" s="170">
        <f t="shared" si="16"/>
        <v>0</v>
      </c>
      <c r="J29" s="472" t="str">
        <f t="shared" si="17"/>
        <v/>
      </c>
      <c r="K29" s="166"/>
      <c r="L29" s="170"/>
      <c r="M29" s="170">
        <f t="shared" si="18"/>
        <v>0</v>
      </c>
      <c r="N29" s="472" t="str">
        <f t="shared" si="19"/>
        <v/>
      </c>
      <c r="O29" s="166"/>
      <c r="P29" s="170"/>
      <c r="Q29" s="170">
        <f t="shared" si="20"/>
        <v>0</v>
      </c>
      <c r="R29" s="472" t="str">
        <f t="shared" si="21"/>
        <v/>
      </c>
      <c r="S29" s="166"/>
      <c r="T29" s="170"/>
      <c r="U29" s="170">
        <f t="shared" si="22"/>
        <v>0</v>
      </c>
      <c r="V29" s="472" t="str">
        <f t="shared" si="23"/>
        <v/>
      </c>
      <c r="W29" s="166">
        <f t="shared" si="24"/>
        <v>956</v>
      </c>
      <c r="X29" s="170">
        <f t="shared" si="24"/>
        <v>830.14</v>
      </c>
      <c r="Y29" s="170">
        <f t="shared" si="25"/>
        <v>125.86000000000001</v>
      </c>
      <c r="Z29" s="472">
        <f t="shared" si="26"/>
        <v>1.1516129809429736</v>
      </c>
    </row>
    <row r="30" spans="2:26" x14ac:dyDescent="0.25">
      <c r="B30" s="120" t="s">
        <v>202</v>
      </c>
      <c r="C30" s="166">
        <f>0</f>
        <v>0</v>
      </c>
      <c r="D30" s="170">
        <f>1647.22</f>
        <v>1647.22</v>
      </c>
      <c r="E30" s="170">
        <f t="shared" si="14"/>
        <v>-1647.22</v>
      </c>
      <c r="F30" s="472">
        <f t="shared" si="15"/>
        <v>0</v>
      </c>
      <c r="G30" s="166">
        <f>0</f>
        <v>0</v>
      </c>
      <c r="H30" s="170"/>
      <c r="I30" s="170">
        <f t="shared" si="16"/>
        <v>0</v>
      </c>
      <c r="J30" s="472" t="str">
        <f t="shared" si="17"/>
        <v/>
      </c>
      <c r="K30" s="166">
        <f>0</f>
        <v>0</v>
      </c>
      <c r="L30" s="170"/>
      <c r="M30" s="170">
        <f t="shared" si="18"/>
        <v>0</v>
      </c>
      <c r="N30" s="472" t="str">
        <f t="shared" si="19"/>
        <v/>
      </c>
      <c r="O30" s="166">
        <f>0</f>
        <v>0</v>
      </c>
      <c r="P30" s="170"/>
      <c r="Q30" s="170">
        <f t="shared" si="20"/>
        <v>0</v>
      </c>
      <c r="R30" s="472" t="str">
        <f t="shared" si="21"/>
        <v/>
      </c>
      <c r="S30" s="166">
        <f>0</f>
        <v>0</v>
      </c>
      <c r="T30" s="170"/>
      <c r="U30" s="170">
        <f t="shared" si="22"/>
        <v>0</v>
      </c>
      <c r="V30" s="472" t="str">
        <f t="shared" si="23"/>
        <v/>
      </c>
      <c r="W30" s="166">
        <f t="shared" si="24"/>
        <v>0</v>
      </c>
      <c r="X30" s="170">
        <f t="shared" si="24"/>
        <v>1647.22</v>
      </c>
      <c r="Y30" s="170">
        <f t="shared" si="25"/>
        <v>-1647.22</v>
      </c>
      <c r="Z30" s="472">
        <f t="shared" si="26"/>
        <v>0</v>
      </c>
    </row>
    <row r="31" spans="2:26" x14ac:dyDescent="0.25">
      <c r="B31" s="120" t="s">
        <v>203</v>
      </c>
      <c r="C31" s="166"/>
      <c r="D31" s="170">
        <f>250</f>
        <v>250</v>
      </c>
      <c r="E31" s="170">
        <f t="shared" si="14"/>
        <v>-250</v>
      </c>
      <c r="F31" s="472">
        <f t="shared" si="15"/>
        <v>0</v>
      </c>
      <c r="G31" s="166"/>
      <c r="H31" s="170"/>
      <c r="I31" s="170">
        <f t="shared" si="16"/>
        <v>0</v>
      </c>
      <c r="J31" s="472" t="str">
        <f t="shared" si="17"/>
        <v/>
      </c>
      <c r="K31" s="166"/>
      <c r="L31" s="170"/>
      <c r="M31" s="170">
        <f t="shared" si="18"/>
        <v>0</v>
      </c>
      <c r="N31" s="472" t="str">
        <f t="shared" si="19"/>
        <v/>
      </c>
      <c r="O31" s="166"/>
      <c r="P31" s="170"/>
      <c r="Q31" s="170">
        <f t="shared" si="20"/>
        <v>0</v>
      </c>
      <c r="R31" s="472" t="str">
        <f t="shared" si="21"/>
        <v/>
      </c>
      <c r="S31" s="166"/>
      <c r="T31" s="170"/>
      <c r="U31" s="170">
        <f t="shared" si="22"/>
        <v>0</v>
      </c>
      <c r="V31" s="472" t="str">
        <f t="shared" si="23"/>
        <v/>
      </c>
      <c r="W31" s="166">
        <f t="shared" si="24"/>
        <v>0</v>
      </c>
      <c r="X31" s="170">
        <f t="shared" si="24"/>
        <v>250</v>
      </c>
      <c r="Y31" s="170">
        <f t="shared" si="25"/>
        <v>-250</v>
      </c>
      <c r="Z31" s="472">
        <f t="shared" si="26"/>
        <v>0</v>
      </c>
    </row>
    <row r="32" spans="2:26" x14ac:dyDescent="0.25">
      <c r="B32" s="120" t="s">
        <v>204</v>
      </c>
      <c r="C32" s="166"/>
      <c r="D32" s="170"/>
      <c r="E32" s="170">
        <f t="shared" si="14"/>
        <v>0</v>
      </c>
      <c r="F32" s="472" t="str">
        <f t="shared" si="15"/>
        <v/>
      </c>
      <c r="G32" s="166"/>
      <c r="H32" s="170"/>
      <c r="I32" s="170">
        <f t="shared" si="16"/>
        <v>0</v>
      </c>
      <c r="J32" s="472" t="str">
        <f t="shared" si="17"/>
        <v/>
      </c>
      <c r="K32" s="166"/>
      <c r="L32" s="170"/>
      <c r="M32" s="170">
        <f t="shared" si="18"/>
        <v>0</v>
      </c>
      <c r="N32" s="472" t="str">
        <f t="shared" si="19"/>
        <v/>
      </c>
      <c r="O32" s="166"/>
      <c r="P32" s="170"/>
      <c r="Q32" s="170">
        <f t="shared" si="20"/>
        <v>0</v>
      </c>
      <c r="R32" s="472" t="str">
        <f t="shared" si="21"/>
        <v/>
      </c>
      <c r="S32" s="166"/>
      <c r="T32" s="170"/>
      <c r="U32" s="170">
        <f t="shared" si="22"/>
        <v>0</v>
      </c>
      <c r="V32" s="472" t="str">
        <f t="shared" si="23"/>
        <v/>
      </c>
      <c r="W32" s="166">
        <f t="shared" si="24"/>
        <v>0</v>
      </c>
      <c r="X32" s="170">
        <f t="shared" si="24"/>
        <v>0</v>
      </c>
      <c r="Y32" s="170">
        <f t="shared" si="25"/>
        <v>0</v>
      </c>
      <c r="Z32" s="472" t="str">
        <f t="shared" si="26"/>
        <v/>
      </c>
    </row>
    <row r="33" spans="2:26" x14ac:dyDescent="0.25">
      <c r="B33" s="120" t="s">
        <v>205</v>
      </c>
      <c r="C33" s="166">
        <f>6296.82</f>
        <v>6296.82</v>
      </c>
      <c r="D33" s="170"/>
      <c r="E33" s="170">
        <f t="shared" si="14"/>
        <v>6296.82</v>
      </c>
      <c r="F33" s="472" t="str">
        <f t="shared" si="15"/>
        <v/>
      </c>
      <c r="G33" s="166"/>
      <c r="H33" s="170"/>
      <c r="I33" s="170">
        <f t="shared" si="16"/>
        <v>0</v>
      </c>
      <c r="J33" s="472" t="str">
        <f t="shared" si="17"/>
        <v/>
      </c>
      <c r="K33" s="166"/>
      <c r="L33" s="170"/>
      <c r="M33" s="170">
        <f t="shared" si="18"/>
        <v>0</v>
      </c>
      <c r="N33" s="472" t="str">
        <f t="shared" si="19"/>
        <v/>
      </c>
      <c r="O33" s="166"/>
      <c r="P33" s="170"/>
      <c r="Q33" s="170">
        <f t="shared" si="20"/>
        <v>0</v>
      </c>
      <c r="R33" s="472" t="str">
        <f t="shared" si="21"/>
        <v/>
      </c>
      <c r="S33" s="166"/>
      <c r="T33" s="170"/>
      <c r="U33" s="170">
        <f t="shared" si="22"/>
        <v>0</v>
      </c>
      <c r="V33" s="472" t="str">
        <f t="shared" si="23"/>
        <v/>
      </c>
      <c r="W33" s="166">
        <f t="shared" si="24"/>
        <v>6296.82</v>
      </c>
      <c r="X33" s="170">
        <f t="shared" si="24"/>
        <v>0</v>
      </c>
      <c r="Y33" s="170">
        <f t="shared" si="25"/>
        <v>6296.82</v>
      </c>
      <c r="Z33" s="472" t="str">
        <f t="shared" si="26"/>
        <v/>
      </c>
    </row>
    <row r="34" spans="2:26" x14ac:dyDescent="0.25">
      <c r="B34" s="120" t="s">
        <v>206</v>
      </c>
      <c r="C34" s="166">
        <f>2400</f>
        <v>2400</v>
      </c>
      <c r="D34" s="170">
        <f>2400</f>
        <v>2400</v>
      </c>
      <c r="E34" s="170">
        <f t="shared" si="14"/>
        <v>0</v>
      </c>
      <c r="F34" s="472">
        <f t="shared" si="15"/>
        <v>1</v>
      </c>
      <c r="G34" s="166"/>
      <c r="H34" s="170"/>
      <c r="I34" s="170">
        <f t="shared" si="16"/>
        <v>0</v>
      </c>
      <c r="J34" s="472" t="str">
        <f t="shared" si="17"/>
        <v/>
      </c>
      <c r="K34" s="166"/>
      <c r="L34" s="170"/>
      <c r="M34" s="170">
        <f t="shared" si="18"/>
        <v>0</v>
      </c>
      <c r="N34" s="472" t="str">
        <f t="shared" si="19"/>
        <v/>
      </c>
      <c r="O34" s="166"/>
      <c r="P34" s="170"/>
      <c r="Q34" s="170">
        <f t="shared" si="20"/>
        <v>0</v>
      </c>
      <c r="R34" s="472" t="str">
        <f t="shared" si="21"/>
        <v/>
      </c>
      <c r="S34" s="166"/>
      <c r="T34" s="170"/>
      <c r="U34" s="170">
        <f t="shared" si="22"/>
        <v>0</v>
      </c>
      <c r="V34" s="472" t="str">
        <f t="shared" si="23"/>
        <v/>
      </c>
      <c r="W34" s="166">
        <f t="shared" si="24"/>
        <v>2400</v>
      </c>
      <c r="X34" s="170">
        <f t="shared" si="24"/>
        <v>2400</v>
      </c>
      <c r="Y34" s="170">
        <f t="shared" si="25"/>
        <v>0</v>
      </c>
      <c r="Z34" s="472">
        <f t="shared" si="26"/>
        <v>1</v>
      </c>
    </row>
    <row r="35" spans="2:26" x14ac:dyDescent="0.25">
      <c r="B35" s="120" t="s">
        <v>207</v>
      </c>
      <c r="C35" s="166">
        <f>1093</f>
        <v>1093</v>
      </c>
      <c r="D35" s="170">
        <f>1000</f>
        <v>1000</v>
      </c>
      <c r="E35" s="170">
        <f t="shared" si="14"/>
        <v>93</v>
      </c>
      <c r="F35" s="472">
        <f t="shared" si="15"/>
        <v>1.093</v>
      </c>
      <c r="G35" s="166"/>
      <c r="H35" s="170"/>
      <c r="I35" s="170">
        <f t="shared" si="16"/>
        <v>0</v>
      </c>
      <c r="J35" s="472" t="str">
        <f t="shared" si="17"/>
        <v/>
      </c>
      <c r="K35" s="166"/>
      <c r="L35" s="170"/>
      <c r="M35" s="170">
        <f t="shared" si="18"/>
        <v>0</v>
      </c>
      <c r="N35" s="472" t="str">
        <f t="shared" si="19"/>
        <v/>
      </c>
      <c r="O35" s="166"/>
      <c r="P35" s="170"/>
      <c r="Q35" s="170">
        <f t="shared" si="20"/>
        <v>0</v>
      </c>
      <c r="R35" s="472" t="str">
        <f t="shared" si="21"/>
        <v/>
      </c>
      <c r="S35" s="166"/>
      <c r="T35" s="170"/>
      <c r="U35" s="170">
        <f t="shared" si="22"/>
        <v>0</v>
      </c>
      <c r="V35" s="472" t="str">
        <f t="shared" si="23"/>
        <v/>
      </c>
      <c r="W35" s="166">
        <f t="shared" si="24"/>
        <v>1093</v>
      </c>
      <c r="X35" s="170">
        <f t="shared" si="24"/>
        <v>1000</v>
      </c>
      <c r="Y35" s="170">
        <f t="shared" si="25"/>
        <v>93</v>
      </c>
      <c r="Z35" s="472">
        <f t="shared" si="26"/>
        <v>1.093</v>
      </c>
    </row>
    <row r="36" spans="2:26" x14ac:dyDescent="0.25">
      <c r="B36" s="120" t="s">
        <v>208</v>
      </c>
      <c r="C36" s="166">
        <f>2139.99</f>
        <v>2139.9899999999998</v>
      </c>
      <c r="D36" s="170">
        <f>2500</f>
        <v>2500</v>
      </c>
      <c r="E36" s="170">
        <f t="shared" si="14"/>
        <v>-360.01000000000022</v>
      </c>
      <c r="F36" s="472">
        <f t="shared" si="15"/>
        <v>0.85599599999999987</v>
      </c>
      <c r="G36" s="166"/>
      <c r="H36" s="170"/>
      <c r="I36" s="170">
        <f t="shared" si="16"/>
        <v>0</v>
      </c>
      <c r="J36" s="472" t="str">
        <f t="shared" si="17"/>
        <v/>
      </c>
      <c r="K36" s="166"/>
      <c r="L36" s="170"/>
      <c r="M36" s="170">
        <f t="shared" si="18"/>
        <v>0</v>
      </c>
      <c r="N36" s="472" t="str">
        <f t="shared" si="19"/>
        <v/>
      </c>
      <c r="O36" s="166">
        <f>1500</f>
        <v>1500</v>
      </c>
      <c r="P36" s="170"/>
      <c r="Q36" s="170">
        <f t="shared" si="20"/>
        <v>1500</v>
      </c>
      <c r="R36" s="472" t="str">
        <f t="shared" si="21"/>
        <v/>
      </c>
      <c r="S36" s="166"/>
      <c r="T36" s="170"/>
      <c r="U36" s="170">
        <f t="shared" si="22"/>
        <v>0</v>
      </c>
      <c r="V36" s="472" t="str">
        <f t="shared" si="23"/>
        <v/>
      </c>
      <c r="W36" s="166">
        <f t="shared" si="24"/>
        <v>3639.99</v>
      </c>
      <c r="X36" s="170">
        <f t="shared" si="24"/>
        <v>2500</v>
      </c>
      <c r="Y36" s="170">
        <f t="shared" si="25"/>
        <v>1139.9899999999998</v>
      </c>
      <c r="Z36" s="472">
        <f t="shared" si="26"/>
        <v>1.4559959999999998</v>
      </c>
    </row>
    <row r="37" spans="2:26" x14ac:dyDescent="0.25">
      <c r="B37" s="120" t="s">
        <v>209</v>
      </c>
      <c r="C37" s="211">
        <f>((((C32)+(C33))+(C34))+(C35))+(C36)</f>
        <v>11929.81</v>
      </c>
      <c r="D37" s="469">
        <f>((((D32)+(D33))+(D34))+(D35))+(D36)</f>
        <v>5900</v>
      </c>
      <c r="E37" s="469">
        <f t="shared" si="14"/>
        <v>6029.8099999999995</v>
      </c>
      <c r="F37" s="475">
        <f t="shared" si="15"/>
        <v>2.0220016949152542</v>
      </c>
      <c r="G37" s="211">
        <f>((((G32)+(G33))+(G34))+(G35))+(G36)</f>
        <v>0</v>
      </c>
      <c r="H37" s="469">
        <f>((((H32)+(H33))+(H34))+(H35))+(H36)</f>
        <v>0</v>
      </c>
      <c r="I37" s="469">
        <f t="shared" si="16"/>
        <v>0</v>
      </c>
      <c r="J37" s="475" t="str">
        <f t="shared" si="17"/>
        <v/>
      </c>
      <c r="K37" s="211">
        <f>((((K32)+(K33))+(K34))+(K35))+(K36)</f>
        <v>0</v>
      </c>
      <c r="L37" s="469">
        <f>((((L32)+(L33))+(L34))+(L35))+(L36)</f>
        <v>0</v>
      </c>
      <c r="M37" s="469">
        <f t="shared" si="18"/>
        <v>0</v>
      </c>
      <c r="N37" s="475" t="str">
        <f t="shared" si="19"/>
        <v/>
      </c>
      <c r="O37" s="211">
        <f>((((O32)+(O33))+(O34))+(O35))+(O36)</f>
        <v>1500</v>
      </c>
      <c r="P37" s="469">
        <f>((((P32)+(P33))+(P34))+(P35))+(P36)</f>
        <v>0</v>
      </c>
      <c r="Q37" s="469">
        <f t="shared" si="20"/>
        <v>1500</v>
      </c>
      <c r="R37" s="475" t="str">
        <f t="shared" si="21"/>
        <v/>
      </c>
      <c r="S37" s="211">
        <f>((((S32)+(S33))+(S34))+(S35))+(S36)</f>
        <v>0</v>
      </c>
      <c r="T37" s="469">
        <f>((((T32)+(T33))+(T34))+(T35))+(T36)</f>
        <v>0</v>
      </c>
      <c r="U37" s="469">
        <f t="shared" si="22"/>
        <v>0</v>
      </c>
      <c r="V37" s="475" t="str">
        <f t="shared" si="23"/>
        <v/>
      </c>
      <c r="W37" s="211">
        <f t="shared" si="24"/>
        <v>13429.81</v>
      </c>
      <c r="X37" s="469">
        <f t="shared" si="24"/>
        <v>5900</v>
      </c>
      <c r="Y37" s="469">
        <f t="shared" si="25"/>
        <v>7529.8099999999995</v>
      </c>
      <c r="Z37" s="475">
        <f t="shared" si="26"/>
        <v>2.2762389830508472</v>
      </c>
    </row>
    <row r="38" spans="2:26" x14ac:dyDescent="0.25">
      <c r="B38" s="120" t="s">
        <v>210</v>
      </c>
      <c r="C38" s="166"/>
      <c r="D38" s="170"/>
      <c r="E38" s="170">
        <f t="shared" si="14"/>
        <v>0</v>
      </c>
      <c r="F38" s="472" t="str">
        <f t="shared" si="15"/>
        <v/>
      </c>
      <c r="G38" s="166"/>
      <c r="H38" s="170"/>
      <c r="I38" s="170">
        <f t="shared" si="16"/>
        <v>0</v>
      </c>
      <c r="J38" s="472" t="str">
        <f t="shared" si="17"/>
        <v/>
      </c>
      <c r="K38" s="166"/>
      <c r="L38" s="170"/>
      <c r="M38" s="170">
        <f t="shared" si="18"/>
        <v>0</v>
      </c>
      <c r="N38" s="472" t="str">
        <f t="shared" si="19"/>
        <v/>
      </c>
      <c r="O38" s="166"/>
      <c r="P38" s="170"/>
      <c r="Q38" s="170">
        <f t="shared" si="20"/>
        <v>0</v>
      </c>
      <c r="R38" s="472" t="str">
        <f t="shared" si="21"/>
        <v/>
      </c>
      <c r="S38" s="166"/>
      <c r="T38" s="170"/>
      <c r="U38" s="170">
        <f t="shared" si="22"/>
        <v>0</v>
      </c>
      <c r="V38" s="472" t="str">
        <f t="shared" si="23"/>
        <v/>
      </c>
      <c r="W38" s="166">
        <f t="shared" si="24"/>
        <v>0</v>
      </c>
      <c r="X38" s="170">
        <f t="shared" si="24"/>
        <v>0</v>
      </c>
      <c r="Y38" s="170">
        <f t="shared" si="25"/>
        <v>0</v>
      </c>
      <c r="Z38" s="472" t="str">
        <f t="shared" si="26"/>
        <v/>
      </c>
    </row>
    <row r="39" spans="2:26" x14ac:dyDescent="0.25">
      <c r="B39" s="120" t="s">
        <v>211</v>
      </c>
      <c r="C39" s="166">
        <f>11071.43</f>
        <v>11071.43</v>
      </c>
      <c r="D39" s="170">
        <f>10000</f>
        <v>10000</v>
      </c>
      <c r="E39" s="170">
        <f t="shared" si="14"/>
        <v>1071.4300000000003</v>
      </c>
      <c r="F39" s="472">
        <f t="shared" si="15"/>
        <v>1.107143</v>
      </c>
      <c r="G39" s="166"/>
      <c r="H39" s="170"/>
      <c r="I39" s="170">
        <f t="shared" si="16"/>
        <v>0</v>
      </c>
      <c r="J39" s="472" t="str">
        <f t="shared" si="17"/>
        <v/>
      </c>
      <c r="K39" s="166"/>
      <c r="L39" s="170"/>
      <c r="M39" s="170">
        <f t="shared" si="18"/>
        <v>0</v>
      </c>
      <c r="N39" s="472" t="str">
        <f t="shared" si="19"/>
        <v/>
      </c>
      <c r="O39" s="166"/>
      <c r="P39" s="170"/>
      <c r="Q39" s="170">
        <f t="shared" si="20"/>
        <v>0</v>
      </c>
      <c r="R39" s="472" t="str">
        <f t="shared" si="21"/>
        <v/>
      </c>
      <c r="S39" s="166"/>
      <c r="T39" s="170"/>
      <c r="U39" s="170">
        <f t="shared" si="22"/>
        <v>0</v>
      </c>
      <c r="V39" s="472" t="str">
        <f t="shared" si="23"/>
        <v/>
      </c>
      <c r="W39" s="166">
        <f t="shared" si="24"/>
        <v>11071.43</v>
      </c>
      <c r="X39" s="170">
        <f t="shared" si="24"/>
        <v>10000</v>
      </c>
      <c r="Y39" s="170">
        <f t="shared" si="25"/>
        <v>1071.4300000000003</v>
      </c>
      <c r="Z39" s="472">
        <f t="shared" si="26"/>
        <v>1.107143</v>
      </c>
    </row>
    <row r="40" spans="2:26" x14ac:dyDescent="0.25">
      <c r="B40" s="120" t="s">
        <v>212</v>
      </c>
      <c r="C40" s="166">
        <f>252.75</f>
        <v>252.75</v>
      </c>
      <c r="D40" s="170">
        <f>252</f>
        <v>252</v>
      </c>
      <c r="E40" s="170">
        <f t="shared" si="14"/>
        <v>0.75</v>
      </c>
      <c r="F40" s="472">
        <f t="shared" si="15"/>
        <v>1.0029761904761905</v>
      </c>
      <c r="G40" s="166"/>
      <c r="H40" s="170"/>
      <c r="I40" s="170">
        <f t="shared" si="16"/>
        <v>0</v>
      </c>
      <c r="J40" s="472" t="str">
        <f t="shared" si="17"/>
        <v/>
      </c>
      <c r="K40" s="166"/>
      <c r="L40" s="170"/>
      <c r="M40" s="170">
        <f t="shared" si="18"/>
        <v>0</v>
      </c>
      <c r="N40" s="472" t="str">
        <f t="shared" si="19"/>
        <v/>
      </c>
      <c r="O40" s="166"/>
      <c r="P40" s="170"/>
      <c r="Q40" s="170">
        <f t="shared" si="20"/>
        <v>0</v>
      </c>
      <c r="R40" s="472" t="str">
        <f t="shared" si="21"/>
        <v/>
      </c>
      <c r="S40" s="166"/>
      <c r="T40" s="170"/>
      <c r="U40" s="170">
        <f t="shared" si="22"/>
        <v>0</v>
      </c>
      <c r="V40" s="472" t="str">
        <f t="shared" si="23"/>
        <v/>
      </c>
      <c r="W40" s="166">
        <f t="shared" si="24"/>
        <v>252.75</v>
      </c>
      <c r="X40" s="170">
        <f t="shared" si="24"/>
        <v>252</v>
      </c>
      <c r="Y40" s="170">
        <f t="shared" si="25"/>
        <v>0.75</v>
      </c>
      <c r="Z40" s="472">
        <f t="shared" si="26"/>
        <v>1.0029761904761905</v>
      </c>
    </row>
    <row r="41" spans="2:26" x14ac:dyDescent="0.25">
      <c r="B41" s="120" t="s">
        <v>213</v>
      </c>
      <c r="C41" s="166">
        <f>846.96</f>
        <v>846.96</v>
      </c>
      <c r="D41" s="170">
        <f>800</f>
        <v>800</v>
      </c>
      <c r="E41" s="170">
        <f t="shared" si="14"/>
        <v>46.960000000000036</v>
      </c>
      <c r="F41" s="472">
        <f t="shared" si="15"/>
        <v>1.0587</v>
      </c>
      <c r="G41" s="166"/>
      <c r="H41" s="170"/>
      <c r="I41" s="170">
        <f t="shared" si="16"/>
        <v>0</v>
      </c>
      <c r="J41" s="472" t="str">
        <f t="shared" si="17"/>
        <v/>
      </c>
      <c r="K41" s="166"/>
      <c r="L41" s="170"/>
      <c r="M41" s="170">
        <f t="shared" si="18"/>
        <v>0</v>
      </c>
      <c r="N41" s="472" t="str">
        <f t="shared" si="19"/>
        <v/>
      </c>
      <c r="O41" s="166"/>
      <c r="P41" s="170"/>
      <c r="Q41" s="170">
        <f t="shared" si="20"/>
        <v>0</v>
      </c>
      <c r="R41" s="472" t="str">
        <f t="shared" si="21"/>
        <v/>
      </c>
      <c r="S41" s="166"/>
      <c r="T41" s="170"/>
      <c r="U41" s="170">
        <f t="shared" si="22"/>
        <v>0</v>
      </c>
      <c r="V41" s="472" t="str">
        <f t="shared" si="23"/>
        <v/>
      </c>
      <c r="W41" s="166">
        <f t="shared" si="24"/>
        <v>846.96</v>
      </c>
      <c r="X41" s="170">
        <f t="shared" si="24"/>
        <v>800</v>
      </c>
      <c r="Y41" s="170">
        <f t="shared" si="25"/>
        <v>46.960000000000036</v>
      </c>
      <c r="Z41" s="472">
        <f t="shared" si="26"/>
        <v>1.0587</v>
      </c>
    </row>
    <row r="42" spans="2:26" ht="30" x14ac:dyDescent="0.25">
      <c r="B42" s="120" t="s">
        <v>214</v>
      </c>
      <c r="C42" s="166">
        <f>387.5</f>
        <v>387.5</v>
      </c>
      <c r="D42" s="170">
        <f>379.17</f>
        <v>379.17</v>
      </c>
      <c r="E42" s="170">
        <f t="shared" si="14"/>
        <v>8.3299999999999841</v>
      </c>
      <c r="F42" s="472">
        <f t="shared" si="15"/>
        <v>1.021969037634834</v>
      </c>
      <c r="G42" s="166"/>
      <c r="H42" s="170"/>
      <c r="I42" s="170">
        <f t="shared" si="16"/>
        <v>0</v>
      </c>
      <c r="J42" s="472" t="str">
        <f t="shared" si="17"/>
        <v/>
      </c>
      <c r="K42" s="166"/>
      <c r="L42" s="170"/>
      <c r="M42" s="170">
        <f t="shared" si="18"/>
        <v>0</v>
      </c>
      <c r="N42" s="472" t="str">
        <f t="shared" si="19"/>
        <v/>
      </c>
      <c r="O42" s="166"/>
      <c r="P42" s="170"/>
      <c r="Q42" s="170">
        <f t="shared" si="20"/>
        <v>0</v>
      </c>
      <c r="R42" s="472" t="str">
        <f t="shared" si="21"/>
        <v/>
      </c>
      <c r="S42" s="166"/>
      <c r="T42" s="170"/>
      <c r="U42" s="170">
        <f t="shared" si="22"/>
        <v>0</v>
      </c>
      <c r="V42" s="472" t="str">
        <f t="shared" si="23"/>
        <v/>
      </c>
      <c r="W42" s="166">
        <f t="shared" si="24"/>
        <v>387.5</v>
      </c>
      <c r="X42" s="170">
        <f t="shared" si="24"/>
        <v>379.17</v>
      </c>
      <c r="Y42" s="170">
        <f t="shared" si="25"/>
        <v>8.3299999999999841</v>
      </c>
      <c r="Z42" s="472">
        <f t="shared" si="26"/>
        <v>1.021969037634834</v>
      </c>
    </row>
    <row r="43" spans="2:26" x14ac:dyDescent="0.25">
      <c r="B43" s="120" t="s">
        <v>215</v>
      </c>
      <c r="C43" s="211">
        <f>((((C38)+(C39))+(C40))+(C41))+(C42)</f>
        <v>12558.64</v>
      </c>
      <c r="D43" s="469">
        <f>((((D38)+(D39))+(D40))+(D41))+(D42)</f>
        <v>11431.17</v>
      </c>
      <c r="E43" s="469">
        <f t="shared" si="14"/>
        <v>1127.4699999999993</v>
      </c>
      <c r="F43" s="475">
        <f t="shared" si="15"/>
        <v>1.0986311987311885</v>
      </c>
      <c r="G43" s="211">
        <f>((((G38)+(G39))+(G40))+(G41))+(G42)</f>
        <v>0</v>
      </c>
      <c r="H43" s="469">
        <f>((((H38)+(H39))+(H40))+(H41))+(H42)</f>
        <v>0</v>
      </c>
      <c r="I43" s="469">
        <f t="shared" si="16"/>
        <v>0</v>
      </c>
      <c r="J43" s="475" t="str">
        <f t="shared" si="17"/>
        <v/>
      </c>
      <c r="K43" s="211">
        <f>((((K38)+(K39))+(K40))+(K41))+(K42)</f>
        <v>0</v>
      </c>
      <c r="L43" s="469">
        <f>((((L38)+(L39))+(L40))+(L41))+(L42)</f>
        <v>0</v>
      </c>
      <c r="M43" s="469">
        <f t="shared" si="18"/>
        <v>0</v>
      </c>
      <c r="N43" s="475" t="str">
        <f t="shared" si="19"/>
        <v/>
      </c>
      <c r="O43" s="211">
        <f>((((O38)+(O39))+(O40))+(O41))+(O42)</f>
        <v>0</v>
      </c>
      <c r="P43" s="469">
        <f>((((P38)+(P39))+(P40))+(P41))+(P42)</f>
        <v>0</v>
      </c>
      <c r="Q43" s="469">
        <f t="shared" si="20"/>
        <v>0</v>
      </c>
      <c r="R43" s="475" t="str">
        <f t="shared" si="21"/>
        <v/>
      </c>
      <c r="S43" s="211">
        <f>((((S38)+(S39))+(S40))+(S41))+(S42)</f>
        <v>0</v>
      </c>
      <c r="T43" s="469">
        <f>((((T38)+(T39))+(T40))+(T41))+(T42)</f>
        <v>0</v>
      </c>
      <c r="U43" s="469">
        <f t="shared" si="22"/>
        <v>0</v>
      </c>
      <c r="V43" s="475" t="str">
        <f t="shared" si="23"/>
        <v/>
      </c>
      <c r="W43" s="211">
        <f t="shared" si="24"/>
        <v>12558.64</v>
      </c>
      <c r="X43" s="469">
        <f t="shared" si="24"/>
        <v>11431.17</v>
      </c>
      <c r="Y43" s="469">
        <f t="shared" si="25"/>
        <v>1127.4699999999993</v>
      </c>
      <c r="Z43" s="475">
        <f t="shared" si="26"/>
        <v>1.0986311987311885</v>
      </c>
    </row>
    <row r="44" spans="2:26" x14ac:dyDescent="0.25">
      <c r="B44" s="120" t="s">
        <v>216</v>
      </c>
      <c r="C44" s="166"/>
      <c r="D44" s="170"/>
      <c r="E44" s="170">
        <f t="shared" si="14"/>
        <v>0</v>
      </c>
      <c r="F44" s="472" t="str">
        <f t="shared" si="15"/>
        <v/>
      </c>
      <c r="G44" s="166"/>
      <c r="H44" s="170"/>
      <c r="I44" s="170">
        <f t="shared" si="16"/>
        <v>0</v>
      </c>
      <c r="J44" s="472" t="str">
        <f t="shared" si="17"/>
        <v/>
      </c>
      <c r="K44" s="166"/>
      <c r="L44" s="170"/>
      <c r="M44" s="170">
        <f t="shared" si="18"/>
        <v>0</v>
      </c>
      <c r="N44" s="472" t="str">
        <f t="shared" si="19"/>
        <v/>
      </c>
      <c r="O44" s="166"/>
      <c r="P44" s="170"/>
      <c r="Q44" s="170">
        <f t="shared" si="20"/>
        <v>0</v>
      </c>
      <c r="R44" s="472" t="str">
        <f t="shared" si="21"/>
        <v/>
      </c>
      <c r="S44" s="166"/>
      <c r="T44" s="170"/>
      <c r="U44" s="170">
        <f t="shared" si="22"/>
        <v>0</v>
      </c>
      <c r="V44" s="472" t="str">
        <f t="shared" si="23"/>
        <v/>
      </c>
      <c r="W44" s="166">
        <f t="shared" si="24"/>
        <v>0</v>
      </c>
      <c r="X44" s="170">
        <f t="shared" si="24"/>
        <v>0</v>
      </c>
      <c r="Y44" s="170">
        <f t="shared" si="25"/>
        <v>0</v>
      </c>
      <c r="Z44" s="472" t="str">
        <f t="shared" si="26"/>
        <v/>
      </c>
    </row>
    <row r="45" spans="2:26" x14ac:dyDescent="0.25">
      <c r="B45" s="120" t="s">
        <v>217</v>
      </c>
      <c r="C45" s="166">
        <f>5427.23</f>
        <v>5427.23</v>
      </c>
      <c r="D45" s="170">
        <f>3458.33</f>
        <v>3458.33</v>
      </c>
      <c r="E45" s="170">
        <f t="shared" si="14"/>
        <v>1968.8999999999996</v>
      </c>
      <c r="F45" s="472">
        <f t="shared" si="15"/>
        <v>1.5693210306708729</v>
      </c>
      <c r="G45" s="166"/>
      <c r="H45" s="170"/>
      <c r="I45" s="170">
        <f t="shared" si="16"/>
        <v>0</v>
      </c>
      <c r="J45" s="472" t="str">
        <f t="shared" si="17"/>
        <v/>
      </c>
      <c r="K45" s="166"/>
      <c r="L45" s="170"/>
      <c r="M45" s="170">
        <f t="shared" si="18"/>
        <v>0</v>
      </c>
      <c r="N45" s="472" t="str">
        <f t="shared" si="19"/>
        <v/>
      </c>
      <c r="O45" s="166"/>
      <c r="P45" s="170"/>
      <c r="Q45" s="170">
        <f t="shared" si="20"/>
        <v>0</v>
      </c>
      <c r="R45" s="472" t="str">
        <f t="shared" si="21"/>
        <v/>
      </c>
      <c r="S45" s="166"/>
      <c r="T45" s="170"/>
      <c r="U45" s="170">
        <f t="shared" si="22"/>
        <v>0</v>
      </c>
      <c r="V45" s="472" t="str">
        <f t="shared" si="23"/>
        <v/>
      </c>
      <c r="W45" s="166">
        <f t="shared" si="24"/>
        <v>5427.23</v>
      </c>
      <c r="X45" s="170">
        <f t="shared" si="24"/>
        <v>3458.33</v>
      </c>
      <c r="Y45" s="170">
        <f t="shared" si="25"/>
        <v>1968.8999999999996</v>
      </c>
      <c r="Z45" s="472">
        <f t="shared" si="26"/>
        <v>1.5693210306708729</v>
      </c>
    </row>
    <row r="46" spans="2:26" x14ac:dyDescent="0.25">
      <c r="B46" s="120" t="s">
        <v>218</v>
      </c>
      <c r="C46" s="166">
        <f>1624.84</f>
        <v>1624.84</v>
      </c>
      <c r="D46" s="170">
        <f>2583.33</f>
        <v>2583.33</v>
      </c>
      <c r="E46" s="170">
        <f t="shared" si="14"/>
        <v>-958.49</v>
      </c>
      <c r="F46" s="472">
        <f t="shared" si="15"/>
        <v>0.62897113415630213</v>
      </c>
      <c r="G46" s="166"/>
      <c r="H46" s="170">
        <f>3000</f>
        <v>3000</v>
      </c>
      <c r="I46" s="170">
        <f t="shared" si="16"/>
        <v>-3000</v>
      </c>
      <c r="J46" s="472">
        <f t="shared" si="17"/>
        <v>0</v>
      </c>
      <c r="K46" s="166"/>
      <c r="L46" s="170"/>
      <c r="M46" s="170">
        <f t="shared" si="18"/>
        <v>0</v>
      </c>
      <c r="N46" s="472" t="str">
        <f t="shared" si="19"/>
        <v/>
      </c>
      <c r="O46" s="166">
        <f>457.14</f>
        <v>457.14</v>
      </c>
      <c r="P46" s="170"/>
      <c r="Q46" s="170">
        <f t="shared" si="20"/>
        <v>457.14</v>
      </c>
      <c r="R46" s="472" t="str">
        <f t="shared" si="21"/>
        <v/>
      </c>
      <c r="S46" s="166">
        <f>14.93</f>
        <v>14.93</v>
      </c>
      <c r="T46" s="170">
        <f>1333.33</f>
        <v>1333.33</v>
      </c>
      <c r="U46" s="170">
        <f t="shared" si="22"/>
        <v>-1318.3999999999999</v>
      </c>
      <c r="V46" s="472">
        <f t="shared" si="23"/>
        <v>1.1197527993819985E-2</v>
      </c>
      <c r="W46" s="166">
        <f t="shared" si="24"/>
        <v>2096.91</v>
      </c>
      <c r="X46" s="170">
        <f t="shared" si="24"/>
        <v>6916.66</v>
      </c>
      <c r="Y46" s="170">
        <f t="shared" si="25"/>
        <v>-4819.75</v>
      </c>
      <c r="Z46" s="472">
        <f t="shared" si="26"/>
        <v>0.30316800305349689</v>
      </c>
    </row>
    <row r="47" spans="2:26" x14ac:dyDescent="0.25">
      <c r="B47" s="120" t="s">
        <v>219</v>
      </c>
      <c r="C47" s="166">
        <f>306.91</f>
        <v>306.91000000000003</v>
      </c>
      <c r="D47" s="170">
        <f>340</f>
        <v>340</v>
      </c>
      <c r="E47" s="170">
        <f t="shared" si="14"/>
        <v>-33.089999999999975</v>
      </c>
      <c r="F47" s="472">
        <f t="shared" si="15"/>
        <v>0.90267647058823541</v>
      </c>
      <c r="G47" s="166"/>
      <c r="H47" s="170"/>
      <c r="I47" s="170">
        <f t="shared" si="16"/>
        <v>0</v>
      </c>
      <c r="J47" s="472" t="str">
        <f t="shared" si="17"/>
        <v/>
      </c>
      <c r="K47" s="166"/>
      <c r="L47" s="170"/>
      <c r="M47" s="170">
        <f t="shared" si="18"/>
        <v>0</v>
      </c>
      <c r="N47" s="472" t="str">
        <f t="shared" si="19"/>
        <v/>
      </c>
      <c r="O47" s="166"/>
      <c r="P47" s="170"/>
      <c r="Q47" s="170">
        <f t="shared" si="20"/>
        <v>0</v>
      </c>
      <c r="R47" s="472" t="str">
        <f t="shared" si="21"/>
        <v/>
      </c>
      <c r="S47" s="166"/>
      <c r="T47" s="170"/>
      <c r="U47" s="170">
        <f t="shared" si="22"/>
        <v>0</v>
      </c>
      <c r="V47" s="472" t="str">
        <f t="shared" si="23"/>
        <v/>
      </c>
      <c r="W47" s="166">
        <f t="shared" si="24"/>
        <v>306.91000000000003</v>
      </c>
      <c r="X47" s="170">
        <f t="shared" si="24"/>
        <v>340</v>
      </c>
      <c r="Y47" s="170">
        <f t="shared" si="25"/>
        <v>-33.089999999999975</v>
      </c>
      <c r="Z47" s="472">
        <f t="shared" si="26"/>
        <v>0.90267647058823541</v>
      </c>
    </row>
    <row r="48" spans="2:26" x14ac:dyDescent="0.25">
      <c r="B48" s="120" t="s">
        <v>220</v>
      </c>
      <c r="C48" s="166">
        <f>575.03</f>
        <v>575.03</v>
      </c>
      <c r="D48" s="170">
        <f>1062.5</f>
        <v>1062.5</v>
      </c>
      <c r="E48" s="170">
        <f t="shared" si="14"/>
        <v>-487.47</v>
      </c>
      <c r="F48" s="472">
        <f t="shared" si="15"/>
        <v>0.54120470588235292</v>
      </c>
      <c r="G48" s="166">
        <f>128.72</f>
        <v>128.72</v>
      </c>
      <c r="H48" s="170"/>
      <c r="I48" s="170">
        <f t="shared" si="16"/>
        <v>128.72</v>
      </c>
      <c r="J48" s="472" t="str">
        <f t="shared" si="17"/>
        <v/>
      </c>
      <c r="K48" s="166"/>
      <c r="L48" s="170"/>
      <c r="M48" s="170">
        <f t="shared" si="18"/>
        <v>0</v>
      </c>
      <c r="N48" s="472" t="str">
        <f t="shared" si="19"/>
        <v/>
      </c>
      <c r="O48" s="166"/>
      <c r="P48" s="170"/>
      <c r="Q48" s="170">
        <f t="shared" si="20"/>
        <v>0</v>
      </c>
      <c r="R48" s="472" t="str">
        <f t="shared" si="21"/>
        <v/>
      </c>
      <c r="S48" s="166">
        <f>770</f>
        <v>770</v>
      </c>
      <c r="T48" s="170">
        <f>666.67</f>
        <v>666.67</v>
      </c>
      <c r="U48" s="170">
        <f t="shared" si="22"/>
        <v>103.33000000000004</v>
      </c>
      <c r="V48" s="472">
        <f t="shared" si="23"/>
        <v>1.1549942250288749</v>
      </c>
      <c r="W48" s="166">
        <f t="shared" si="24"/>
        <v>1473.75</v>
      </c>
      <c r="X48" s="170">
        <f t="shared" si="24"/>
        <v>1729.17</v>
      </c>
      <c r="Y48" s="170">
        <f t="shared" si="25"/>
        <v>-255.42000000000007</v>
      </c>
      <c r="Z48" s="472">
        <f t="shared" si="26"/>
        <v>0.85228751366262423</v>
      </c>
    </row>
    <row r="49" spans="2:26" x14ac:dyDescent="0.25">
      <c r="B49" s="120" t="s">
        <v>221</v>
      </c>
      <c r="C49" s="211">
        <f>((((C44)+(C45))+(C46))+(C47))+(C48)</f>
        <v>7934.0099999999993</v>
      </c>
      <c r="D49" s="469">
        <f>((((D44)+(D45))+(D46))+(D47))+(D48)</f>
        <v>7444.16</v>
      </c>
      <c r="E49" s="469">
        <f t="shared" si="14"/>
        <v>489.84999999999945</v>
      </c>
      <c r="F49" s="475">
        <f t="shared" si="15"/>
        <v>1.0658032605424923</v>
      </c>
      <c r="G49" s="211">
        <f>((((G44)+(G45))+(G46))+(G47))+(G48)</f>
        <v>128.72</v>
      </c>
      <c r="H49" s="469">
        <f>((((H44)+(H45))+(H46))+(H47))+(H48)</f>
        <v>3000</v>
      </c>
      <c r="I49" s="469">
        <f t="shared" si="16"/>
        <v>-2871.28</v>
      </c>
      <c r="J49" s="475">
        <f t="shared" si="17"/>
        <v>4.2906666666666669E-2</v>
      </c>
      <c r="K49" s="211">
        <f>((((K44)+(K45))+(K46))+(K47))+(K48)</f>
        <v>0</v>
      </c>
      <c r="L49" s="469">
        <f>((((L44)+(L45))+(L46))+(L47))+(L48)</f>
        <v>0</v>
      </c>
      <c r="M49" s="469">
        <f t="shared" si="18"/>
        <v>0</v>
      </c>
      <c r="N49" s="475" t="str">
        <f t="shared" si="19"/>
        <v/>
      </c>
      <c r="O49" s="211">
        <f>((((O44)+(O45))+(O46))+(O47))+(O48)</f>
        <v>457.14</v>
      </c>
      <c r="P49" s="469">
        <f>((((P44)+(P45))+(P46))+(P47))+(P48)</f>
        <v>0</v>
      </c>
      <c r="Q49" s="469">
        <f t="shared" si="20"/>
        <v>457.14</v>
      </c>
      <c r="R49" s="475" t="str">
        <f t="shared" si="21"/>
        <v/>
      </c>
      <c r="S49" s="211">
        <f>((((S44)+(S45))+(S46))+(S47))+(S48)</f>
        <v>784.93</v>
      </c>
      <c r="T49" s="469">
        <f>((((T44)+(T45))+(T46))+(T47))+(T48)</f>
        <v>2000</v>
      </c>
      <c r="U49" s="469">
        <f t="shared" si="22"/>
        <v>-1215.0700000000002</v>
      </c>
      <c r="V49" s="475">
        <f t="shared" si="23"/>
        <v>0.39246499999999995</v>
      </c>
      <c r="W49" s="211">
        <f t="shared" si="24"/>
        <v>9304.7999999999993</v>
      </c>
      <c r="X49" s="469">
        <f t="shared" si="24"/>
        <v>12444.16</v>
      </c>
      <c r="Y49" s="469">
        <f t="shared" si="25"/>
        <v>-3139.3600000000006</v>
      </c>
      <c r="Z49" s="475">
        <f t="shared" si="26"/>
        <v>0.74772423369677021</v>
      </c>
    </row>
    <row r="50" spans="2:26" x14ac:dyDescent="0.25">
      <c r="B50" s="120" t="s">
        <v>222</v>
      </c>
      <c r="C50" s="166"/>
      <c r="D50" s="170"/>
      <c r="E50" s="170">
        <f t="shared" si="14"/>
        <v>0</v>
      </c>
      <c r="F50" s="472" t="str">
        <f t="shared" si="15"/>
        <v/>
      </c>
      <c r="G50" s="166"/>
      <c r="H50" s="170"/>
      <c r="I50" s="170">
        <f t="shared" si="16"/>
        <v>0</v>
      </c>
      <c r="J50" s="472" t="str">
        <f t="shared" si="17"/>
        <v/>
      </c>
      <c r="K50" s="166"/>
      <c r="L50" s="170"/>
      <c r="M50" s="170">
        <f t="shared" si="18"/>
        <v>0</v>
      </c>
      <c r="N50" s="472" t="str">
        <f t="shared" si="19"/>
        <v/>
      </c>
      <c r="O50" s="166"/>
      <c r="P50" s="170"/>
      <c r="Q50" s="170">
        <f t="shared" si="20"/>
        <v>0</v>
      </c>
      <c r="R50" s="472" t="str">
        <f t="shared" si="21"/>
        <v/>
      </c>
      <c r="S50" s="166"/>
      <c r="T50" s="170"/>
      <c r="U50" s="170">
        <f t="shared" si="22"/>
        <v>0</v>
      </c>
      <c r="V50" s="472" t="str">
        <f t="shared" si="23"/>
        <v/>
      </c>
      <c r="W50" s="166">
        <f t="shared" si="24"/>
        <v>0</v>
      </c>
      <c r="X50" s="170">
        <f t="shared" si="24"/>
        <v>0</v>
      </c>
      <c r="Y50" s="170">
        <f t="shared" si="25"/>
        <v>0</v>
      </c>
      <c r="Z50" s="472" t="str">
        <f t="shared" si="26"/>
        <v/>
      </c>
    </row>
    <row r="51" spans="2:26" x14ac:dyDescent="0.25">
      <c r="B51" s="120" t="s">
        <v>223</v>
      </c>
      <c r="C51" s="166">
        <f>16795.81</f>
        <v>16795.810000000001</v>
      </c>
      <c r="D51" s="170">
        <f>16760.06</f>
        <v>16760.060000000001</v>
      </c>
      <c r="E51" s="170">
        <f t="shared" si="14"/>
        <v>35.75</v>
      </c>
      <c r="F51" s="472">
        <f t="shared" si="15"/>
        <v>1.0021330472563941</v>
      </c>
      <c r="G51" s="166"/>
      <c r="H51" s="170"/>
      <c r="I51" s="170">
        <f t="shared" si="16"/>
        <v>0</v>
      </c>
      <c r="J51" s="472" t="str">
        <f t="shared" si="17"/>
        <v/>
      </c>
      <c r="K51" s="166"/>
      <c r="L51" s="170"/>
      <c r="M51" s="170">
        <f t="shared" si="18"/>
        <v>0</v>
      </c>
      <c r="N51" s="472" t="str">
        <f t="shared" si="19"/>
        <v/>
      </c>
      <c r="O51" s="166"/>
      <c r="P51" s="170"/>
      <c r="Q51" s="170">
        <f t="shared" si="20"/>
        <v>0</v>
      </c>
      <c r="R51" s="472" t="str">
        <f t="shared" si="21"/>
        <v/>
      </c>
      <c r="S51" s="166"/>
      <c r="T51" s="170"/>
      <c r="U51" s="170">
        <f t="shared" si="22"/>
        <v>0</v>
      </c>
      <c r="V51" s="472" t="str">
        <f t="shared" si="23"/>
        <v/>
      </c>
      <c r="W51" s="166">
        <f t="shared" si="24"/>
        <v>16795.810000000001</v>
      </c>
      <c r="X51" s="170">
        <f t="shared" si="24"/>
        <v>16760.060000000001</v>
      </c>
      <c r="Y51" s="170">
        <f t="shared" si="25"/>
        <v>35.75</v>
      </c>
      <c r="Z51" s="472">
        <f t="shared" si="26"/>
        <v>1.0021330472563941</v>
      </c>
    </row>
    <row r="52" spans="2:26" x14ac:dyDescent="0.25">
      <c r="B52" s="120" t="s">
        <v>224</v>
      </c>
      <c r="C52" s="166">
        <f>4521.44</f>
        <v>4521.4399999999996</v>
      </c>
      <c r="D52" s="170">
        <f>4341.48</f>
        <v>4341.4799999999996</v>
      </c>
      <c r="E52" s="170">
        <f t="shared" si="14"/>
        <v>179.96000000000004</v>
      </c>
      <c r="F52" s="472">
        <f t="shared" si="15"/>
        <v>1.0414513023208676</v>
      </c>
      <c r="G52" s="166"/>
      <c r="H52" s="170"/>
      <c r="I52" s="170">
        <f t="shared" si="16"/>
        <v>0</v>
      </c>
      <c r="J52" s="472" t="str">
        <f t="shared" si="17"/>
        <v/>
      </c>
      <c r="K52" s="166"/>
      <c r="L52" s="170"/>
      <c r="M52" s="170">
        <f t="shared" si="18"/>
        <v>0</v>
      </c>
      <c r="N52" s="472" t="str">
        <f t="shared" si="19"/>
        <v/>
      </c>
      <c r="O52" s="166"/>
      <c r="P52" s="170"/>
      <c r="Q52" s="170">
        <f t="shared" si="20"/>
        <v>0</v>
      </c>
      <c r="R52" s="472" t="str">
        <f t="shared" si="21"/>
        <v/>
      </c>
      <c r="S52" s="166"/>
      <c r="T52" s="170"/>
      <c r="U52" s="170">
        <f t="shared" si="22"/>
        <v>0</v>
      </c>
      <c r="V52" s="472" t="str">
        <f t="shared" si="23"/>
        <v/>
      </c>
      <c r="W52" s="166">
        <f t="shared" si="24"/>
        <v>4521.4399999999996</v>
      </c>
      <c r="X52" s="170">
        <f t="shared" si="24"/>
        <v>4341.4799999999996</v>
      </c>
      <c r="Y52" s="170">
        <f t="shared" si="25"/>
        <v>179.96000000000004</v>
      </c>
      <c r="Z52" s="472">
        <f t="shared" si="26"/>
        <v>1.0414513023208676</v>
      </c>
    </row>
    <row r="53" spans="2:26" x14ac:dyDescent="0.25">
      <c r="B53" s="120" t="s">
        <v>225</v>
      </c>
      <c r="C53" s="166">
        <f>7303.23</f>
        <v>7303.23</v>
      </c>
      <c r="D53" s="170">
        <f>6916.67</f>
        <v>6916.67</v>
      </c>
      <c r="E53" s="170">
        <f t="shared" si="14"/>
        <v>386.55999999999949</v>
      </c>
      <c r="F53" s="472">
        <f t="shared" si="15"/>
        <v>1.0558881658370285</v>
      </c>
      <c r="G53" s="166"/>
      <c r="H53" s="170"/>
      <c r="I53" s="170">
        <f t="shared" si="16"/>
        <v>0</v>
      </c>
      <c r="J53" s="472" t="str">
        <f t="shared" si="17"/>
        <v/>
      </c>
      <c r="K53" s="166"/>
      <c r="L53" s="170"/>
      <c r="M53" s="170">
        <f t="shared" si="18"/>
        <v>0</v>
      </c>
      <c r="N53" s="472" t="str">
        <f t="shared" si="19"/>
        <v/>
      </c>
      <c r="O53" s="166"/>
      <c r="P53" s="170"/>
      <c r="Q53" s="170">
        <f t="shared" si="20"/>
        <v>0</v>
      </c>
      <c r="R53" s="472" t="str">
        <f t="shared" si="21"/>
        <v/>
      </c>
      <c r="S53" s="166"/>
      <c r="T53" s="170"/>
      <c r="U53" s="170">
        <f t="shared" si="22"/>
        <v>0</v>
      </c>
      <c r="V53" s="472" t="str">
        <f t="shared" si="23"/>
        <v/>
      </c>
      <c r="W53" s="166">
        <f t="shared" si="24"/>
        <v>7303.23</v>
      </c>
      <c r="X53" s="170">
        <f t="shared" si="24"/>
        <v>6916.67</v>
      </c>
      <c r="Y53" s="170">
        <f t="shared" si="25"/>
        <v>386.55999999999949</v>
      </c>
      <c r="Z53" s="472">
        <f t="shared" si="26"/>
        <v>1.0558881658370285</v>
      </c>
    </row>
    <row r="54" spans="2:26" x14ac:dyDescent="0.25">
      <c r="B54" s="120" t="s">
        <v>226</v>
      </c>
      <c r="C54" s="166">
        <f>1255.56</f>
        <v>1255.56</v>
      </c>
      <c r="D54" s="170">
        <f>1232.11</f>
        <v>1232.1099999999999</v>
      </c>
      <c r="E54" s="170">
        <f t="shared" si="14"/>
        <v>23.450000000000045</v>
      </c>
      <c r="F54" s="472">
        <f t="shared" si="15"/>
        <v>1.0190323915884134</v>
      </c>
      <c r="G54" s="166"/>
      <c r="H54" s="170"/>
      <c r="I54" s="170">
        <f t="shared" si="16"/>
        <v>0</v>
      </c>
      <c r="J54" s="472" t="str">
        <f t="shared" si="17"/>
        <v/>
      </c>
      <c r="K54" s="166"/>
      <c r="L54" s="170"/>
      <c r="M54" s="170">
        <f t="shared" si="18"/>
        <v>0</v>
      </c>
      <c r="N54" s="472" t="str">
        <f t="shared" si="19"/>
        <v/>
      </c>
      <c r="O54" s="166"/>
      <c r="P54" s="170"/>
      <c r="Q54" s="170">
        <f t="shared" si="20"/>
        <v>0</v>
      </c>
      <c r="R54" s="472" t="str">
        <f t="shared" si="21"/>
        <v/>
      </c>
      <c r="S54" s="166"/>
      <c r="T54" s="170"/>
      <c r="U54" s="170">
        <f t="shared" si="22"/>
        <v>0</v>
      </c>
      <c r="V54" s="472" t="str">
        <f t="shared" si="23"/>
        <v/>
      </c>
      <c r="W54" s="166">
        <f t="shared" ref="W54:X77" si="27">((((C54)+(G54))+(K54))+(O54))+(S54)</f>
        <v>1255.56</v>
      </c>
      <c r="X54" s="170">
        <f t="shared" si="27"/>
        <v>1232.1099999999999</v>
      </c>
      <c r="Y54" s="170">
        <f t="shared" si="25"/>
        <v>23.450000000000045</v>
      </c>
      <c r="Z54" s="472">
        <f t="shared" si="26"/>
        <v>1.0190323915884134</v>
      </c>
    </row>
    <row r="55" spans="2:26" x14ac:dyDescent="0.25">
      <c r="B55" s="120" t="s">
        <v>227</v>
      </c>
      <c r="C55" s="166"/>
      <c r="D55" s="170"/>
      <c r="E55" s="170">
        <f t="shared" si="14"/>
        <v>0</v>
      </c>
      <c r="F55" s="472" t="str">
        <f t="shared" si="15"/>
        <v/>
      </c>
      <c r="G55" s="166">
        <f>8503.67</f>
        <v>8503.67</v>
      </c>
      <c r="H55" s="170">
        <f>7500</f>
        <v>7500</v>
      </c>
      <c r="I55" s="170">
        <f t="shared" si="16"/>
        <v>1003.6700000000001</v>
      </c>
      <c r="J55" s="472">
        <f t="shared" si="17"/>
        <v>1.1338226666666666</v>
      </c>
      <c r="K55" s="166"/>
      <c r="L55" s="170"/>
      <c r="M55" s="170">
        <f t="shared" si="18"/>
        <v>0</v>
      </c>
      <c r="N55" s="472" t="str">
        <f t="shared" si="19"/>
        <v/>
      </c>
      <c r="O55" s="166"/>
      <c r="P55" s="170"/>
      <c r="Q55" s="170">
        <f t="shared" si="20"/>
        <v>0</v>
      </c>
      <c r="R55" s="472" t="str">
        <f t="shared" si="21"/>
        <v/>
      </c>
      <c r="S55" s="166"/>
      <c r="T55" s="170">
        <f>0</f>
        <v>0</v>
      </c>
      <c r="U55" s="170">
        <f t="shared" si="22"/>
        <v>0</v>
      </c>
      <c r="V55" s="472" t="str">
        <f t="shared" si="23"/>
        <v/>
      </c>
      <c r="W55" s="166">
        <f t="shared" si="27"/>
        <v>8503.67</v>
      </c>
      <c r="X55" s="170">
        <f t="shared" si="27"/>
        <v>7500</v>
      </c>
      <c r="Y55" s="170">
        <f t="shared" si="25"/>
        <v>1003.6700000000001</v>
      </c>
      <c r="Z55" s="472">
        <f t="shared" si="26"/>
        <v>1.1338226666666666</v>
      </c>
    </row>
    <row r="56" spans="2:26" x14ac:dyDescent="0.25">
      <c r="B56" s="120" t="s">
        <v>228</v>
      </c>
      <c r="C56" s="211">
        <f>(((((C50)+(C51))+(C52))+(C53))+(C54))+(C55)</f>
        <v>29876.04</v>
      </c>
      <c r="D56" s="469">
        <f>(((((D50)+(D51))+(D52))+(D53))+(D54))+(D55)</f>
        <v>29250.32</v>
      </c>
      <c r="E56" s="469">
        <f t="shared" si="14"/>
        <v>625.72000000000116</v>
      </c>
      <c r="F56" s="475">
        <f t="shared" si="15"/>
        <v>1.0213919027210643</v>
      </c>
      <c r="G56" s="211">
        <f>(((((G50)+(G51))+(G52))+(G53))+(G54))+(G55)</f>
        <v>8503.67</v>
      </c>
      <c r="H56" s="469">
        <f>(((((H50)+(H51))+(H52))+(H53))+(H54))+(H55)</f>
        <v>7500</v>
      </c>
      <c r="I56" s="469">
        <f t="shared" si="16"/>
        <v>1003.6700000000001</v>
      </c>
      <c r="J56" s="475">
        <f t="shared" si="17"/>
        <v>1.1338226666666666</v>
      </c>
      <c r="K56" s="211">
        <f>(((((K50)+(K51))+(K52))+(K53))+(K54))+(K55)</f>
        <v>0</v>
      </c>
      <c r="L56" s="469">
        <f>(((((L50)+(L51))+(L52))+(L53))+(L54))+(L55)</f>
        <v>0</v>
      </c>
      <c r="M56" s="469">
        <f t="shared" si="18"/>
        <v>0</v>
      </c>
      <c r="N56" s="475" t="str">
        <f t="shared" si="19"/>
        <v/>
      </c>
      <c r="O56" s="211">
        <f>(((((O50)+(O51))+(O52))+(O53))+(O54))+(O55)</f>
        <v>0</v>
      </c>
      <c r="P56" s="469">
        <f>(((((P50)+(P51))+(P52))+(P53))+(P54))+(P55)</f>
        <v>0</v>
      </c>
      <c r="Q56" s="469">
        <f t="shared" si="20"/>
        <v>0</v>
      </c>
      <c r="R56" s="475" t="str">
        <f t="shared" si="21"/>
        <v/>
      </c>
      <c r="S56" s="211">
        <f>(((((S50)+(S51))+(S52))+(S53))+(S54))+(S55)</f>
        <v>0</v>
      </c>
      <c r="T56" s="469">
        <f>(((((T50)+(T51))+(T52))+(T53))+(T54))+(T55)</f>
        <v>0</v>
      </c>
      <c r="U56" s="469">
        <f t="shared" si="22"/>
        <v>0</v>
      </c>
      <c r="V56" s="475" t="str">
        <f t="shared" si="23"/>
        <v/>
      </c>
      <c r="W56" s="211">
        <f t="shared" si="27"/>
        <v>38379.71</v>
      </c>
      <c r="X56" s="469">
        <f t="shared" si="27"/>
        <v>36750.32</v>
      </c>
      <c r="Y56" s="469">
        <f t="shared" si="25"/>
        <v>1629.3899999999994</v>
      </c>
      <c r="Z56" s="475">
        <f t="shared" si="26"/>
        <v>1.044336756795587</v>
      </c>
    </row>
    <row r="57" spans="2:26" x14ac:dyDescent="0.25">
      <c r="B57" s="120" t="s">
        <v>229</v>
      </c>
      <c r="C57" s="166"/>
      <c r="D57" s="170"/>
      <c r="E57" s="170">
        <f t="shared" si="14"/>
        <v>0</v>
      </c>
      <c r="F57" s="472" t="str">
        <f t="shared" si="15"/>
        <v/>
      </c>
      <c r="G57" s="166"/>
      <c r="H57" s="170"/>
      <c r="I57" s="170">
        <f t="shared" si="16"/>
        <v>0</v>
      </c>
      <c r="J57" s="472" t="str">
        <f t="shared" si="17"/>
        <v/>
      </c>
      <c r="K57" s="166"/>
      <c r="L57" s="170"/>
      <c r="M57" s="170">
        <f t="shared" si="18"/>
        <v>0</v>
      </c>
      <c r="N57" s="472" t="str">
        <f t="shared" si="19"/>
        <v/>
      </c>
      <c r="O57" s="166"/>
      <c r="P57" s="170"/>
      <c r="Q57" s="170">
        <f t="shared" si="20"/>
        <v>0</v>
      </c>
      <c r="R57" s="472" t="str">
        <f t="shared" si="21"/>
        <v/>
      </c>
      <c r="S57" s="166"/>
      <c r="T57" s="170"/>
      <c r="U57" s="170">
        <f t="shared" si="22"/>
        <v>0</v>
      </c>
      <c r="V57" s="472" t="str">
        <f t="shared" si="23"/>
        <v/>
      </c>
      <c r="W57" s="166">
        <f t="shared" si="27"/>
        <v>0</v>
      </c>
      <c r="X57" s="170">
        <f t="shared" si="27"/>
        <v>0</v>
      </c>
      <c r="Y57" s="170">
        <f t="shared" si="25"/>
        <v>0</v>
      </c>
      <c r="Z57" s="472" t="str">
        <f t="shared" si="26"/>
        <v/>
      </c>
    </row>
    <row r="58" spans="2:26" x14ac:dyDescent="0.25">
      <c r="B58" s="120" t="s">
        <v>230</v>
      </c>
      <c r="C58" s="166">
        <f>4138.74</f>
        <v>4138.74</v>
      </c>
      <c r="D58" s="170">
        <f>5187.5</f>
        <v>5187.5</v>
      </c>
      <c r="E58" s="170">
        <f t="shared" si="14"/>
        <v>-1048.7600000000002</v>
      </c>
      <c r="F58" s="472">
        <f t="shared" si="15"/>
        <v>0.79782939759036142</v>
      </c>
      <c r="G58" s="166">
        <f>500</f>
        <v>500</v>
      </c>
      <c r="H58" s="170"/>
      <c r="I58" s="170">
        <f t="shared" si="16"/>
        <v>500</v>
      </c>
      <c r="J58" s="472" t="str">
        <f t="shared" si="17"/>
        <v/>
      </c>
      <c r="K58" s="166"/>
      <c r="L58" s="170"/>
      <c r="M58" s="170">
        <f t="shared" si="18"/>
        <v>0</v>
      </c>
      <c r="N58" s="472" t="str">
        <f t="shared" si="19"/>
        <v/>
      </c>
      <c r="O58" s="166"/>
      <c r="P58" s="170"/>
      <c r="Q58" s="170">
        <f t="shared" si="20"/>
        <v>0</v>
      </c>
      <c r="R58" s="472" t="str">
        <f t="shared" si="21"/>
        <v/>
      </c>
      <c r="S58" s="166">
        <f>500</f>
        <v>500</v>
      </c>
      <c r="T58" s="170"/>
      <c r="U58" s="170">
        <f t="shared" si="22"/>
        <v>500</v>
      </c>
      <c r="V58" s="472" t="str">
        <f t="shared" si="23"/>
        <v/>
      </c>
      <c r="W58" s="166">
        <f t="shared" si="27"/>
        <v>5138.74</v>
      </c>
      <c r="X58" s="170">
        <f t="shared" si="27"/>
        <v>5187.5</v>
      </c>
      <c r="Y58" s="170">
        <f t="shared" si="25"/>
        <v>-48.760000000000218</v>
      </c>
      <c r="Z58" s="472">
        <f t="shared" si="26"/>
        <v>0.99060048192771077</v>
      </c>
    </row>
    <row r="59" spans="2:26" x14ac:dyDescent="0.25">
      <c r="B59" s="120" t="s">
        <v>231</v>
      </c>
      <c r="C59" s="166">
        <f>2771.16</f>
        <v>2771.16</v>
      </c>
      <c r="D59" s="170">
        <f>2335.26</f>
        <v>2335.2600000000002</v>
      </c>
      <c r="E59" s="170">
        <f t="shared" si="14"/>
        <v>435.89999999999964</v>
      </c>
      <c r="F59" s="472">
        <f t="shared" si="15"/>
        <v>1.1866601577554532</v>
      </c>
      <c r="G59" s="166"/>
      <c r="H59" s="170"/>
      <c r="I59" s="170">
        <f t="shared" si="16"/>
        <v>0</v>
      </c>
      <c r="J59" s="472" t="str">
        <f t="shared" si="17"/>
        <v/>
      </c>
      <c r="K59" s="166"/>
      <c r="L59" s="170"/>
      <c r="M59" s="170">
        <f t="shared" si="18"/>
        <v>0</v>
      </c>
      <c r="N59" s="472" t="str">
        <f t="shared" si="19"/>
        <v/>
      </c>
      <c r="O59" s="166">
        <f>85</f>
        <v>85</v>
      </c>
      <c r="P59" s="170">
        <f>1041.67</f>
        <v>1041.67</v>
      </c>
      <c r="Q59" s="170">
        <f t="shared" si="20"/>
        <v>-956.67000000000007</v>
      </c>
      <c r="R59" s="472">
        <f t="shared" si="21"/>
        <v>8.1599738880835576E-2</v>
      </c>
      <c r="S59" s="166">
        <f>334.92</f>
        <v>334.92</v>
      </c>
      <c r="T59" s="170"/>
      <c r="U59" s="170">
        <f t="shared" si="22"/>
        <v>334.92</v>
      </c>
      <c r="V59" s="472" t="str">
        <f t="shared" si="23"/>
        <v/>
      </c>
      <c r="W59" s="166">
        <f t="shared" si="27"/>
        <v>3191.08</v>
      </c>
      <c r="X59" s="170">
        <f t="shared" si="27"/>
        <v>3376.9300000000003</v>
      </c>
      <c r="Y59" s="170">
        <f t="shared" si="25"/>
        <v>-185.85000000000036</v>
      </c>
      <c r="Z59" s="472">
        <f t="shared" si="26"/>
        <v>0.94496480531133298</v>
      </c>
    </row>
    <row r="60" spans="2:26" x14ac:dyDescent="0.25">
      <c r="B60" s="120" t="s">
        <v>232</v>
      </c>
      <c r="C60" s="166">
        <f>576.25</f>
        <v>576.25</v>
      </c>
      <c r="D60" s="170">
        <f>1729.17</f>
        <v>1729.17</v>
      </c>
      <c r="E60" s="170">
        <f t="shared" si="14"/>
        <v>-1152.92</v>
      </c>
      <c r="F60" s="472">
        <f t="shared" si="15"/>
        <v>0.33325236963398625</v>
      </c>
      <c r="G60" s="166"/>
      <c r="H60" s="170"/>
      <c r="I60" s="170">
        <f t="shared" si="16"/>
        <v>0</v>
      </c>
      <c r="J60" s="472" t="str">
        <f t="shared" si="17"/>
        <v/>
      </c>
      <c r="K60" s="166"/>
      <c r="L60" s="170"/>
      <c r="M60" s="170">
        <f t="shared" si="18"/>
        <v>0</v>
      </c>
      <c r="N60" s="472" t="str">
        <f t="shared" si="19"/>
        <v/>
      </c>
      <c r="O60" s="166">
        <v>75</v>
      </c>
      <c r="P60" s="170"/>
      <c r="Q60" s="170">
        <f t="shared" si="20"/>
        <v>75</v>
      </c>
      <c r="R60" s="472" t="str">
        <f t="shared" si="21"/>
        <v/>
      </c>
      <c r="S60" s="166"/>
      <c r="T60" s="170"/>
      <c r="U60" s="170">
        <f t="shared" si="22"/>
        <v>0</v>
      </c>
      <c r="V60" s="472" t="str">
        <f t="shared" si="23"/>
        <v/>
      </c>
      <c r="W60" s="166">
        <f t="shared" si="27"/>
        <v>651.25</v>
      </c>
      <c r="X60" s="170">
        <f t="shared" si="27"/>
        <v>1729.17</v>
      </c>
      <c r="Y60" s="170">
        <f t="shared" si="25"/>
        <v>-1077.92</v>
      </c>
      <c r="Z60" s="472">
        <f t="shared" si="26"/>
        <v>0.37662577999849639</v>
      </c>
    </row>
    <row r="61" spans="2:26" x14ac:dyDescent="0.25">
      <c r="B61" s="120" t="s">
        <v>233</v>
      </c>
      <c r="C61" s="166">
        <f>2320.64</f>
        <v>2320.64</v>
      </c>
      <c r="D61" s="170">
        <f>2320.64</f>
        <v>2320.64</v>
      </c>
      <c r="E61" s="170">
        <f t="shared" si="14"/>
        <v>0</v>
      </c>
      <c r="F61" s="472">
        <f t="shared" si="15"/>
        <v>1</v>
      </c>
      <c r="G61" s="166"/>
      <c r="H61" s="170"/>
      <c r="I61" s="170">
        <f t="shared" si="16"/>
        <v>0</v>
      </c>
      <c r="J61" s="472" t="str">
        <f t="shared" si="17"/>
        <v/>
      </c>
      <c r="K61" s="166"/>
      <c r="L61" s="170"/>
      <c r="M61" s="170">
        <f t="shared" si="18"/>
        <v>0</v>
      </c>
      <c r="N61" s="472" t="str">
        <f t="shared" si="19"/>
        <v/>
      </c>
      <c r="O61" s="166"/>
      <c r="P61" s="170"/>
      <c r="Q61" s="170">
        <f t="shared" si="20"/>
        <v>0</v>
      </c>
      <c r="R61" s="472" t="str">
        <f t="shared" si="21"/>
        <v/>
      </c>
      <c r="S61" s="166"/>
      <c r="T61" s="170"/>
      <c r="U61" s="170">
        <f t="shared" si="22"/>
        <v>0</v>
      </c>
      <c r="V61" s="472" t="str">
        <f t="shared" si="23"/>
        <v/>
      </c>
      <c r="W61" s="166">
        <f t="shared" si="27"/>
        <v>2320.64</v>
      </c>
      <c r="X61" s="170">
        <f t="shared" si="27"/>
        <v>2320.64</v>
      </c>
      <c r="Y61" s="170">
        <f t="shared" si="25"/>
        <v>0</v>
      </c>
      <c r="Z61" s="472">
        <f t="shared" si="26"/>
        <v>1</v>
      </c>
    </row>
    <row r="62" spans="2:26" x14ac:dyDescent="0.25">
      <c r="B62" s="120" t="s">
        <v>234</v>
      </c>
      <c r="C62" s="166"/>
      <c r="D62" s="170">
        <f>425</f>
        <v>425</v>
      </c>
      <c r="E62" s="170">
        <f t="shared" si="14"/>
        <v>-425</v>
      </c>
      <c r="F62" s="472">
        <f t="shared" si="15"/>
        <v>0</v>
      </c>
      <c r="G62" s="166"/>
      <c r="H62" s="170"/>
      <c r="I62" s="170">
        <f t="shared" si="16"/>
        <v>0</v>
      </c>
      <c r="J62" s="472" t="str">
        <f t="shared" si="17"/>
        <v/>
      </c>
      <c r="K62" s="166"/>
      <c r="L62" s="170"/>
      <c r="M62" s="170">
        <f t="shared" si="18"/>
        <v>0</v>
      </c>
      <c r="N62" s="472" t="str">
        <f t="shared" si="19"/>
        <v/>
      </c>
      <c r="O62" s="166"/>
      <c r="P62" s="170"/>
      <c r="Q62" s="170">
        <f t="shared" si="20"/>
        <v>0</v>
      </c>
      <c r="R62" s="472" t="str">
        <f t="shared" si="21"/>
        <v/>
      </c>
      <c r="S62" s="166"/>
      <c r="T62" s="170"/>
      <c r="U62" s="170">
        <f t="shared" si="22"/>
        <v>0</v>
      </c>
      <c r="V62" s="472" t="str">
        <f t="shared" si="23"/>
        <v/>
      </c>
      <c r="W62" s="166">
        <f t="shared" si="27"/>
        <v>0</v>
      </c>
      <c r="X62" s="170">
        <f t="shared" si="27"/>
        <v>425</v>
      </c>
      <c r="Y62" s="170">
        <f t="shared" si="25"/>
        <v>-425</v>
      </c>
      <c r="Z62" s="472">
        <f t="shared" si="26"/>
        <v>0</v>
      </c>
    </row>
    <row r="63" spans="2:26" x14ac:dyDescent="0.25">
      <c r="B63" s="120" t="s">
        <v>235</v>
      </c>
      <c r="C63" s="166">
        <f>1186.01</f>
        <v>1186.01</v>
      </c>
      <c r="D63" s="170">
        <f>691.67</f>
        <v>691.67</v>
      </c>
      <c r="E63" s="170">
        <f t="shared" si="14"/>
        <v>494.34000000000003</v>
      </c>
      <c r="F63" s="472">
        <f t="shared" si="15"/>
        <v>1.7147049893735453</v>
      </c>
      <c r="G63" s="166"/>
      <c r="H63" s="170"/>
      <c r="I63" s="170">
        <f t="shared" si="16"/>
        <v>0</v>
      </c>
      <c r="J63" s="472" t="str">
        <f t="shared" si="17"/>
        <v/>
      </c>
      <c r="K63" s="166"/>
      <c r="L63" s="170"/>
      <c r="M63" s="170">
        <f t="shared" si="18"/>
        <v>0</v>
      </c>
      <c r="N63" s="472" t="str">
        <f t="shared" si="19"/>
        <v/>
      </c>
      <c r="O63" s="166"/>
      <c r="P63" s="170"/>
      <c r="Q63" s="170">
        <f t="shared" si="20"/>
        <v>0</v>
      </c>
      <c r="R63" s="472" t="str">
        <f t="shared" si="21"/>
        <v/>
      </c>
      <c r="S63" s="166"/>
      <c r="T63" s="170"/>
      <c r="U63" s="170">
        <f t="shared" si="22"/>
        <v>0</v>
      </c>
      <c r="V63" s="472" t="str">
        <f t="shared" si="23"/>
        <v/>
      </c>
      <c r="W63" s="166">
        <f t="shared" si="27"/>
        <v>1186.01</v>
      </c>
      <c r="X63" s="170">
        <f t="shared" si="27"/>
        <v>691.67</v>
      </c>
      <c r="Y63" s="170">
        <f t="shared" si="25"/>
        <v>494.34000000000003</v>
      </c>
      <c r="Z63" s="472">
        <f t="shared" si="26"/>
        <v>1.7147049893735453</v>
      </c>
    </row>
    <row r="64" spans="2:26" x14ac:dyDescent="0.25">
      <c r="B64" s="120" t="s">
        <v>236</v>
      </c>
      <c r="C64" s="166">
        <f>5187.04</f>
        <v>5187.04</v>
      </c>
      <c r="D64" s="170">
        <f>516.67</f>
        <v>516.66999999999996</v>
      </c>
      <c r="E64" s="170">
        <f t="shared" si="14"/>
        <v>4670.37</v>
      </c>
      <c r="F64" s="472">
        <f t="shared" si="15"/>
        <v>10.039367487951692</v>
      </c>
      <c r="G64" s="166"/>
      <c r="H64" s="170"/>
      <c r="I64" s="170">
        <f t="shared" si="16"/>
        <v>0</v>
      </c>
      <c r="J64" s="472" t="str">
        <f t="shared" si="17"/>
        <v/>
      </c>
      <c r="K64" s="166"/>
      <c r="L64" s="170"/>
      <c r="M64" s="170">
        <f t="shared" si="18"/>
        <v>0</v>
      </c>
      <c r="N64" s="472" t="str">
        <f t="shared" si="19"/>
        <v/>
      </c>
      <c r="O64" s="166"/>
      <c r="P64" s="170">
        <f>520.83</f>
        <v>520.83000000000004</v>
      </c>
      <c r="Q64" s="170">
        <f t="shared" si="20"/>
        <v>-520.83000000000004</v>
      </c>
      <c r="R64" s="472">
        <f t="shared" si="21"/>
        <v>0</v>
      </c>
      <c r="S64" s="166"/>
      <c r="T64" s="170"/>
      <c r="U64" s="170">
        <f t="shared" si="22"/>
        <v>0</v>
      </c>
      <c r="V64" s="472" t="str">
        <f t="shared" si="23"/>
        <v/>
      </c>
      <c r="W64" s="166">
        <f t="shared" si="27"/>
        <v>5187.04</v>
      </c>
      <c r="X64" s="170">
        <f t="shared" si="27"/>
        <v>1037.5</v>
      </c>
      <c r="Y64" s="170">
        <f t="shared" si="25"/>
        <v>4149.54</v>
      </c>
      <c r="Z64" s="472">
        <f t="shared" si="26"/>
        <v>4.9995566265060241</v>
      </c>
    </row>
    <row r="65" spans="2:26" x14ac:dyDescent="0.25">
      <c r="B65" s="120" t="s">
        <v>237</v>
      </c>
      <c r="C65" s="166">
        <f>272.7</f>
        <v>272.7</v>
      </c>
      <c r="D65" s="170">
        <f>345.83</f>
        <v>345.83</v>
      </c>
      <c r="E65" s="170">
        <f t="shared" si="14"/>
        <v>-73.13</v>
      </c>
      <c r="F65" s="472">
        <f t="shared" si="15"/>
        <v>0.78853772084550211</v>
      </c>
      <c r="G65" s="166">
        <f>1425.52</f>
        <v>1425.52</v>
      </c>
      <c r="H65" s="170"/>
      <c r="I65" s="170">
        <f t="shared" si="16"/>
        <v>1425.52</v>
      </c>
      <c r="J65" s="472" t="str">
        <f t="shared" si="17"/>
        <v/>
      </c>
      <c r="K65" s="166"/>
      <c r="L65" s="170"/>
      <c r="M65" s="170">
        <f t="shared" si="18"/>
        <v>0</v>
      </c>
      <c r="N65" s="472" t="str">
        <f t="shared" si="19"/>
        <v/>
      </c>
      <c r="O65" s="166"/>
      <c r="P65" s="170"/>
      <c r="Q65" s="170">
        <f t="shared" si="20"/>
        <v>0</v>
      </c>
      <c r="R65" s="472" t="str">
        <f t="shared" si="21"/>
        <v/>
      </c>
      <c r="S65" s="166">
        <f>23.1</f>
        <v>23.1</v>
      </c>
      <c r="T65" s="170"/>
      <c r="U65" s="170">
        <f t="shared" si="22"/>
        <v>23.1</v>
      </c>
      <c r="V65" s="472" t="str">
        <f t="shared" si="23"/>
        <v/>
      </c>
      <c r="W65" s="166">
        <f t="shared" si="27"/>
        <v>1721.32</v>
      </c>
      <c r="X65" s="170">
        <f t="shared" si="27"/>
        <v>345.83</v>
      </c>
      <c r="Y65" s="170">
        <f t="shared" si="25"/>
        <v>1375.49</v>
      </c>
      <c r="Z65" s="472">
        <f t="shared" si="26"/>
        <v>4.9773588179163175</v>
      </c>
    </row>
    <row r="66" spans="2:26" x14ac:dyDescent="0.25">
      <c r="B66" s="120" t="s">
        <v>238</v>
      </c>
      <c r="C66" s="166">
        <f>171.54</f>
        <v>171.54</v>
      </c>
      <c r="D66" s="170">
        <f>171.54</f>
        <v>171.54</v>
      </c>
      <c r="E66" s="170">
        <f t="shared" si="14"/>
        <v>0</v>
      </c>
      <c r="F66" s="472">
        <f t="shared" si="15"/>
        <v>1</v>
      </c>
      <c r="G66" s="166"/>
      <c r="H66" s="170"/>
      <c r="I66" s="170">
        <f t="shared" si="16"/>
        <v>0</v>
      </c>
      <c r="J66" s="472" t="str">
        <f t="shared" si="17"/>
        <v/>
      </c>
      <c r="K66" s="166"/>
      <c r="L66" s="170"/>
      <c r="M66" s="170">
        <f t="shared" si="18"/>
        <v>0</v>
      </c>
      <c r="N66" s="472" t="str">
        <f t="shared" si="19"/>
        <v/>
      </c>
      <c r="O66" s="166"/>
      <c r="P66" s="170"/>
      <c r="Q66" s="170">
        <f t="shared" si="20"/>
        <v>0</v>
      </c>
      <c r="R66" s="472" t="str">
        <f t="shared" si="21"/>
        <v/>
      </c>
      <c r="S66" s="166"/>
      <c r="T66" s="170"/>
      <c r="U66" s="170">
        <f t="shared" si="22"/>
        <v>0</v>
      </c>
      <c r="V66" s="472" t="str">
        <f t="shared" si="23"/>
        <v/>
      </c>
      <c r="W66" s="166">
        <f t="shared" si="27"/>
        <v>171.54</v>
      </c>
      <c r="X66" s="170">
        <f t="shared" si="27"/>
        <v>171.54</v>
      </c>
      <c r="Y66" s="170">
        <f t="shared" si="25"/>
        <v>0</v>
      </c>
      <c r="Z66" s="472">
        <f t="shared" si="26"/>
        <v>1</v>
      </c>
    </row>
    <row r="67" spans="2:26" x14ac:dyDescent="0.25">
      <c r="B67" s="120" t="s">
        <v>239</v>
      </c>
      <c r="C67" s="166"/>
      <c r="D67" s="170">
        <f>345.83</f>
        <v>345.83</v>
      </c>
      <c r="E67" s="170">
        <f t="shared" si="14"/>
        <v>-345.83</v>
      </c>
      <c r="F67" s="472">
        <f t="shared" si="15"/>
        <v>0</v>
      </c>
      <c r="G67" s="166"/>
      <c r="H67" s="170"/>
      <c r="I67" s="170">
        <f t="shared" si="16"/>
        <v>0</v>
      </c>
      <c r="J67" s="472" t="str">
        <f t="shared" si="17"/>
        <v/>
      </c>
      <c r="K67" s="166"/>
      <c r="L67" s="170"/>
      <c r="M67" s="170">
        <f t="shared" si="18"/>
        <v>0</v>
      </c>
      <c r="N67" s="472" t="str">
        <f t="shared" si="19"/>
        <v/>
      </c>
      <c r="O67" s="166"/>
      <c r="P67" s="170"/>
      <c r="Q67" s="170">
        <f t="shared" si="20"/>
        <v>0</v>
      </c>
      <c r="R67" s="472" t="str">
        <f t="shared" si="21"/>
        <v/>
      </c>
      <c r="S67" s="166"/>
      <c r="T67" s="170"/>
      <c r="U67" s="170">
        <f t="shared" si="22"/>
        <v>0</v>
      </c>
      <c r="V67" s="472" t="str">
        <f t="shared" si="23"/>
        <v/>
      </c>
      <c r="W67" s="166">
        <f t="shared" si="27"/>
        <v>0</v>
      </c>
      <c r="X67" s="170">
        <f t="shared" si="27"/>
        <v>345.83</v>
      </c>
      <c r="Y67" s="170">
        <f t="shared" si="25"/>
        <v>-345.83</v>
      </c>
      <c r="Z67" s="472">
        <f t="shared" si="26"/>
        <v>0</v>
      </c>
    </row>
    <row r="68" spans="2:26" x14ac:dyDescent="0.25">
      <c r="B68" s="120" t="s">
        <v>240</v>
      </c>
      <c r="C68" s="166">
        <f>723.7</f>
        <v>723.7</v>
      </c>
      <c r="D68" s="170">
        <f>1729.17</f>
        <v>1729.17</v>
      </c>
      <c r="E68" s="170">
        <f t="shared" si="14"/>
        <v>-1005.47</v>
      </c>
      <c r="F68" s="472">
        <f t="shared" si="15"/>
        <v>0.41852449441061318</v>
      </c>
      <c r="G68" s="166"/>
      <c r="H68" s="170"/>
      <c r="I68" s="170">
        <f t="shared" si="16"/>
        <v>0</v>
      </c>
      <c r="J68" s="472" t="str">
        <f t="shared" si="17"/>
        <v/>
      </c>
      <c r="K68" s="166"/>
      <c r="L68" s="170"/>
      <c r="M68" s="170">
        <f t="shared" si="18"/>
        <v>0</v>
      </c>
      <c r="N68" s="472" t="str">
        <f t="shared" si="19"/>
        <v/>
      </c>
      <c r="O68" s="166">
        <f>581.49</f>
        <v>581.49</v>
      </c>
      <c r="P68" s="170"/>
      <c r="Q68" s="170">
        <f t="shared" si="20"/>
        <v>581.49</v>
      </c>
      <c r="R68" s="472" t="str">
        <f t="shared" si="21"/>
        <v/>
      </c>
      <c r="S68" s="166"/>
      <c r="T68" s="170"/>
      <c r="U68" s="170">
        <f t="shared" si="22"/>
        <v>0</v>
      </c>
      <c r="V68" s="472" t="str">
        <f t="shared" si="23"/>
        <v/>
      </c>
      <c r="W68" s="166">
        <f t="shared" si="27"/>
        <v>1305.19</v>
      </c>
      <c r="X68" s="170">
        <f t="shared" si="27"/>
        <v>1729.17</v>
      </c>
      <c r="Y68" s="170">
        <f t="shared" si="25"/>
        <v>-423.98</v>
      </c>
      <c r="Z68" s="472">
        <f t="shared" si="26"/>
        <v>0.75480721964873321</v>
      </c>
    </row>
    <row r="69" spans="2:26" x14ac:dyDescent="0.25">
      <c r="B69" s="120" t="s">
        <v>241</v>
      </c>
      <c r="C69" s="166">
        <f>1058.99</f>
        <v>1058.99</v>
      </c>
      <c r="D69" s="170">
        <f>312.32</f>
        <v>312.32</v>
      </c>
      <c r="E69" s="170">
        <f t="shared" si="14"/>
        <v>746.67000000000007</v>
      </c>
      <c r="F69" s="472">
        <f t="shared" si="15"/>
        <v>3.390721055327869</v>
      </c>
      <c r="G69" s="166">
        <f>166.75</f>
        <v>166.75</v>
      </c>
      <c r="H69" s="170"/>
      <c r="I69" s="170">
        <f t="shared" si="16"/>
        <v>166.75</v>
      </c>
      <c r="J69" s="472" t="str">
        <f t="shared" si="17"/>
        <v/>
      </c>
      <c r="K69" s="166"/>
      <c r="L69" s="170"/>
      <c r="M69" s="170">
        <f t="shared" si="18"/>
        <v>0</v>
      </c>
      <c r="N69" s="472" t="str">
        <f t="shared" si="19"/>
        <v/>
      </c>
      <c r="O69" s="166"/>
      <c r="P69" s="170"/>
      <c r="Q69" s="170">
        <f t="shared" si="20"/>
        <v>0</v>
      </c>
      <c r="R69" s="472" t="str">
        <f t="shared" si="21"/>
        <v/>
      </c>
      <c r="S69" s="166"/>
      <c r="T69" s="170"/>
      <c r="U69" s="170">
        <f t="shared" si="22"/>
        <v>0</v>
      </c>
      <c r="V69" s="472" t="str">
        <f t="shared" si="23"/>
        <v/>
      </c>
      <c r="W69" s="166">
        <f t="shared" si="27"/>
        <v>1225.74</v>
      </c>
      <c r="X69" s="170">
        <f t="shared" si="27"/>
        <v>312.32</v>
      </c>
      <c r="Y69" s="170">
        <f t="shared" si="25"/>
        <v>913.42000000000007</v>
      </c>
      <c r="Z69" s="472">
        <f t="shared" si="26"/>
        <v>3.9246285860655741</v>
      </c>
    </row>
    <row r="70" spans="2:26" x14ac:dyDescent="0.25">
      <c r="B70" s="120" t="s">
        <v>242</v>
      </c>
      <c r="C70" s="166"/>
      <c r="D70" s="170">
        <f>172.92</f>
        <v>172.92</v>
      </c>
      <c r="E70" s="170">
        <f t="shared" si="14"/>
        <v>-172.92</v>
      </c>
      <c r="F70" s="472">
        <f t="shared" si="15"/>
        <v>0</v>
      </c>
      <c r="G70" s="166"/>
      <c r="H70" s="170"/>
      <c r="I70" s="170">
        <f t="shared" si="16"/>
        <v>0</v>
      </c>
      <c r="J70" s="472" t="str">
        <f t="shared" si="17"/>
        <v/>
      </c>
      <c r="K70" s="166"/>
      <c r="L70" s="170"/>
      <c r="M70" s="170">
        <f t="shared" si="18"/>
        <v>0</v>
      </c>
      <c r="N70" s="472" t="str">
        <f t="shared" si="19"/>
        <v/>
      </c>
      <c r="O70" s="166"/>
      <c r="P70" s="170"/>
      <c r="Q70" s="170">
        <f t="shared" si="20"/>
        <v>0</v>
      </c>
      <c r="R70" s="472" t="str">
        <f t="shared" si="21"/>
        <v/>
      </c>
      <c r="S70" s="166"/>
      <c r="T70" s="170"/>
      <c r="U70" s="170">
        <f t="shared" si="22"/>
        <v>0</v>
      </c>
      <c r="V70" s="472" t="str">
        <f t="shared" si="23"/>
        <v/>
      </c>
      <c r="W70" s="166">
        <f t="shared" si="27"/>
        <v>0</v>
      </c>
      <c r="X70" s="170">
        <f t="shared" si="27"/>
        <v>172.92</v>
      </c>
      <c r="Y70" s="170">
        <f t="shared" si="25"/>
        <v>-172.92</v>
      </c>
      <c r="Z70" s="472">
        <f t="shared" si="26"/>
        <v>0</v>
      </c>
    </row>
    <row r="71" spans="2:26" x14ac:dyDescent="0.25">
      <c r="B71" s="120" t="s">
        <v>243</v>
      </c>
      <c r="C71" s="166">
        <f>482.82</f>
        <v>482.82</v>
      </c>
      <c r="D71" s="170">
        <f>536</f>
        <v>536</v>
      </c>
      <c r="E71" s="170">
        <f t="shared" si="14"/>
        <v>-53.180000000000007</v>
      </c>
      <c r="F71" s="472">
        <f t="shared" si="15"/>
        <v>0.90078358208955223</v>
      </c>
      <c r="G71" s="166"/>
      <c r="H71" s="170"/>
      <c r="I71" s="170">
        <f t="shared" si="16"/>
        <v>0</v>
      </c>
      <c r="J71" s="472" t="str">
        <f t="shared" si="17"/>
        <v/>
      </c>
      <c r="K71" s="166"/>
      <c r="L71" s="170"/>
      <c r="M71" s="170">
        <f t="shared" si="18"/>
        <v>0</v>
      </c>
      <c r="N71" s="472" t="str">
        <f t="shared" si="19"/>
        <v/>
      </c>
      <c r="O71" s="166"/>
      <c r="P71" s="170"/>
      <c r="Q71" s="170">
        <f t="shared" si="20"/>
        <v>0</v>
      </c>
      <c r="R71" s="472" t="str">
        <f t="shared" si="21"/>
        <v/>
      </c>
      <c r="S71" s="166"/>
      <c r="T71" s="170"/>
      <c r="U71" s="170">
        <f t="shared" si="22"/>
        <v>0</v>
      </c>
      <c r="V71" s="472" t="str">
        <f t="shared" si="23"/>
        <v/>
      </c>
      <c r="W71" s="166">
        <f t="shared" si="27"/>
        <v>482.82</v>
      </c>
      <c r="X71" s="170">
        <f t="shared" si="27"/>
        <v>536</v>
      </c>
      <c r="Y71" s="170">
        <f t="shared" si="25"/>
        <v>-53.180000000000007</v>
      </c>
      <c r="Z71" s="472">
        <f t="shared" si="26"/>
        <v>0.90078358208955223</v>
      </c>
    </row>
    <row r="72" spans="2:26" x14ac:dyDescent="0.25">
      <c r="B72" s="120" t="s">
        <v>244</v>
      </c>
      <c r="C72" s="166"/>
      <c r="D72" s="170">
        <f>172.92</f>
        <v>172.92</v>
      </c>
      <c r="E72" s="170">
        <f t="shared" si="14"/>
        <v>-172.92</v>
      </c>
      <c r="F72" s="472">
        <f t="shared" si="15"/>
        <v>0</v>
      </c>
      <c r="G72" s="166"/>
      <c r="H72" s="170"/>
      <c r="I72" s="170">
        <f t="shared" si="16"/>
        <v>0</v>
      </c>
      <c r="J72" s="472" t="str">
        <f t="shared" si="17"/>
        <v/>
      </c>
      <c r="K72" s="166"/>
      <c r="L72" s="170"/>
      <c r="M72" s="170">
        <f t="shared" si="18"/>
        <v>0</v>
      </c>
      <c r="N72" s="472" t="str">
        <f t="shared" si="19"/>
        <v/>
      </c>
      <c r="O72" s="166"/>
      <c r="P72" s="170"/>
      <c r="Q72" s="170">
        <f t="shared" si="20"/>
        <v>0</v>
      </c>
      <c r="R72" s="472" t="str">
        <f t="shared" si="21"/>
        <v/>
      </c>
      <c r="S72" s="166"/>
      <c r="T72" s="170"/>
      <c r="U72" s="170">
        <f t="shared" si="22"/>
        <v>0</v>
      </c>
      <c r="V72" s="472" t="str">
        <f t="shared" si="23"/>
        <v/>
      </c>
      <c r="W72" s="166">
        <f t="shared" si="27"/>
        <v>0</v>
      </c>
      <c r="X72" s="170">
        <f t="shared" si="27"/>
        <v>172.92</v>
      </c>
      <c r="Y72" s="170">
        <f t="shared" si="25"/>
        <v>-172.92</v>
      </c>
      <c r="Z72" s="472">
        <f t="shared" si="26"/>
        <v>0</v>
      </c>
    </row>
    <row r="73" spans="2:26" x14ac:dyDescent="0.25">
      <c r="B73" s="120" t="s">
        <v>245</v>
      </c>
      <c r="C73" s="166"/>
      <c r="D73" s="170">
        <f>1729.17</f>
        <v>1729.17</v>
      </c>
      <c r="E73" s="170">
        <f t="shared" si="14"/>
        <v>-1729.17</v>
      </c>
      <c r="F73" s="472">
        <f t="shared" si="15"/>
        <v>0</v>
      </c>
      <c r="G73" s="166"/>
      <c r="H73" s="170"/>
      <c r="I73" s="170">
        <f t="shared" si="16"/>
        <v>0</v>
      </c>
      <c r="J73" s="472" t="str">
        <f t="shared" si="17"/>
        <v/>
      </c>
      <c r="K73" s="166"/>
      <c r="L73" s="170"/>
      <c r="M73" s="170">
        <f t="shared" si="18"/>
        <v>0</v>
      </c>
      <c r="N73" s="472" t="str">
        <f t="shared" si="19"/>
        <v/>
      </c>
      <c r="O73" s="166"/>
      <c r="P73" s="170"/>
      <c r="Q73" s="170">
        <f t="shared" si="20"/>
        <v>0</v>
      </c>
      <c r="R73" s="472" t="str">
        <f t="shared" si="21"/>
        <v/>
      </c>
      <c r="S73" s="166"/>
      <c r="T73" s="170"/>
      <c r="U73" s="170">
        <f t="shared" si="22"/>
        <v>0</v>
      </c>
      <c r="V73" s="472" t="str">
        <f t="shared" si="23"/>
        <v/>
      </c>
      <c r="W73" s="166">
        <f t="shared" si="27"/>
        <v>0</v>
      </c>
      <c r="X73" s="170">
        <f t="shared" si="27"/>
        <v>1729.17</v>
      </c>
      <c r="Y73" s="170">
        <f t="shared" si="25"/>
        <v>-1729.17</v>
      </c>
      <c r="Z73" s="472">
        <f t="shared" si="26"/>
        <v>0</v>
      </c>
    </row>
    <row r="74" spans="2:26" x14ac:dyDescent="0.25">
      <c r="B74" s="120" t="s">
        <v>246</v>
      </c>
      <c r="C74" s="166"/>
      <c r="D74" s="170">
        <f>34.58</f>
        <v>34.58</v>
      </c>
      <c r="E74" s="170">
        <f t="shared" si="14"/>
        <v>-34.58</v>
      </c>
      <c r="F74" s="472">
        <f t="shared" si="15"/>
        <v>0</v>
      </c>
      <c r="G74" s="166"/>
      <c r="H74" s="170"/>
      <c r="I74" s="170">
        <f t="shared" si="16"/>
        <v>0</v>
      </c>
      <c r="J74" s="472" t="str">
        <f t="shared" si="17"/>
        <v/>
      </c>
      <c r="K74" s="166"/>
      <c r="L74" s="170"/>
      <c r="M74" s="170">
        <f t="shared" si="18"/>
        <v>0</v>
      </c>
      <c r="N74" s="472" t="str">
        <f t="shared" si="19"/>
        <v/>
      </c>
      <c r="O74" s="166"/>
      <c r="P74" s="170"/>
      <c r="Q74" s="170">
        <f t="shared" si="20"/>
        <v>0</v>
      </c>
      <c r="R74" s="472" t="str">
        <f t="shared" si="21"/>
        <v/>
      </c>
      <c r="S74" s="166"/>
      <c r="T74" s="170"/>
      <c r="U74" s="170">
        <f t="shared" si="22"/>
        <v>0</v>
      </c>
      <c r="V74" s="472" t="str">
        <f t="shared" si="23"/>
        <v/>
      </c>
      <c r="W74" s="166">
        <f t="shared" si="27"/>
        <v>0</v>
      </c>
      <c r="X74" s="170">
        <f t="shared" si="27"/>
        <v>34.58</v>
      </c>
      <c r="Y74" s="170">
        <f t="shared" si="25"/>
        <v>-34.58</v>
      </c>
      <c r="Z74" s="472">
        <f t="shared" si="26"/>
        <v>0</v>
      </c>
    </row>
    <row r="75" spans="2:26" x14ac:dyDescent="0.25">
      <c r="B75" s="167" t="s">
        <v>247</v>
      </c>
      <c r="C75" s="210">
        <f>(((((((((((((((((C57)+(C58))+(C59))+(C60))+(C61))+(C62))+(C63))+(C64))+(C65))+(C66))+(C67))+(C68))+(C69))+(C70))+(C71))+(C72))+(C73))+(C74)</f>
        <v>18889.590000000004</v>
      </c>
      <c r="D75" s="468">
        <f>(((((((((((((((((D57)+(D58))+(D59))+(D60))+(D61))+(D62))+(D63))+(D64))+(D65))+(D66))+(D67))+(D68))+(D69))+(D70))+(D71))+(D72))+(D73))+(D74)</f>
        <v>18756.190000000002</v>
      </c>
      <c r="E75" s="468">
        <f t="shared" si="14"/>
        <v>133.40000000000146</v>
      </c>
      <c r="F75" s="474">
        <f t="shared" si="15"/>
        <v>1.0071123186532021</v>
      </c>
      <c r="G75" s="210">
        <f>(((((((((((((((((G57)+(G58))+(G59))+(G60))+(G61))+(G62))+(G63))+(G64))+(G65))+(G66))+(G67))+(G68))+(G69))+(G70))+(G71))+(G72))+(G73))+(G74)</f>
        <v>2092.27</v>
      </c>
      <c r="H75" s="468">
        <f>(((((((((((((((((H57)+(H58))+(H59))+(H60))+(H61))+(H62))+(H63))+(H64))+(H65))+(H66))+(H67))+(H68))+(H69))+(H70))+(H71))+(H72))+(H73))+(H74)</f>
        <v>0</v>
      </c>
      <c r="I75" s="468">
        <f t="shared" si="16"/>
        <v>2092.27</v>
      </c>
      <c r="J75" s="474" t="str">
        <f t="shared" si="17"/>
        <v/>
      </c>
      <c r="K75" s="210">
        <f>(((((((((((((((((K57)+(K58))+(K59))+(K60))+(K61))+(K62))+(K63))+(K64))+(K65))+(K66))+(K67))+(K68))+(K69))+(K70))+(K71))+(K72))+(K73))+(K74)</f>
        <v>0</v>
      </c>
      <c r="L75" s="468">
        <f>(((((((((((((((((L57)+(L58))+(L59))+(L60))+(L61))+(L62))+(L63))+(L64))+(L65))+(L66))+(L67))+(L68))+(L69))+(L70))+(L71))+(L72))+(L73))+(L74)</f>
        <v>0</v>
      </c>
      <c r="M75" s="468">
        <f t="shared" si="18"/>
        <v>0</v>
      </c>
      <c r="N75" s="474" t="str">
        <f t="shared" si="19"/>
        <v/>
      </c>
      <c r="O75" s="210">
        <f>(((((((((((((((((O57)+(O58))+(O59))+(O60))+(O61))+(O62))+(O63))+(O64))+(O65))+(O66))+(O67))+(O68))+(O69))+(O70))+(O71))+(O72))+(O73))+(O74)</f>
        <v>741.49</v>
      </c>
      <c r="P75" s="468">
        <f>(((((((((((((((((P57)+(P58))+(P59))+(P60))+(P61))+(P62))+(P63))+(P64))+(P65))+(P66))+(P67))+(P68))+(P69))+(P70))+(P71))+(P72))+(P73))+(P74)</f>
        <v>1562.5</v>
      </c>
      <c r="Q75" s="468">
        <f t="shared" si="20"/>
        <v>-821.01</v>
      </c>
      <c r="R75" s="474">
        <f t="shared" si="21"/>
        <v>0.47455360000000002</v>
      </c>
      <c r="S75" s="210">
        <f>(((((((((((((((((S57)+(S58))+(S59))+(S60))+(S61))+(S62))+(S63))+(S64))+(S65))+(S66))+(S67))+(S68))+(S69))+(S70))+(S71))+(S72))+(S73))+(S74)</f>
        <v>858.0200000000001</v>
      </c>
      <c r="T75" s="468">
        <f>(((((((((((((((((T57)+(T58))+(T59))+(T60))+(T61))+(T62))+(T63))+(T64))+(T65))+(T66))+(T67))+(T68))+(T69))+(T70))+(T71))+(T72))+(T73))+(T74)</f>
        <v>0</v>
      </c>
      <c r="U75" s="468">
        <f t="shared" si="22"/>
        <v>858.0200000000001</v>
      </c>
      <c r="V75" s="474" t="str">
        <f t="shared" si="23"/>
        <v/>
      </c>
      <c r="W75" s="210">
        <f t="shared" si="27"/>
        <v>22581.370000000006</v>
      </c>
      <c r="X75" s="468">
        <f t="shared" si="27"/>
        <v>20318.690000000002</v>
      </c>
      <c r="Y75" s="468">
        <f t="shared" si="25"/>
        <v>2262.6800000000039</v>
      </c>
      <c r="Z75" s="474">
        <f t="shared" si="26"/>
        <v>1.1113595413877571</v>
      </c>
    </row>
    <row r="76" spans="2:26" ht="15.75" thickBot="1" x14ac:dyDescent="0.3">
      <c r="B76" s="167" t="s">
        <v>248</v>
      </c>
      <c r="C76" s="210">
        <f>(((((((((C27)+(C28))+(C29))+(C30))+(C31))+(C37))+(C43))+(C49))+(C56))+(C75)</f>
        <v>84881.68</v>
      </c>
      <c r="D76" s="468">
        <f>(((((((((D27)+(D28))+(D29))+(D30))+(D31))+(D37))+(D43))+(D49))+(D56))+(D75)</f>
        <v>75609.2</v>
      </c>
      <c r="E76" s="468">
        <f t="shared" si="14"/>
        <v>9272.4799999999959</v>
      </c>
      <c r="F76" s="474">
        <f t="shared" si="15"/>
        <v>1.1226369277812753</v>
      </c>
      <c r="G76" s="210">
        <f>(((((((((G27)+(G28))+(G29))+(G30))+(G31))+(G37))+(G43))+(G49))+(G56))+(G75)</f>
        <v>27194.48</v>
      </c>
      <c r="H76" s="468">
        <f>(((((((((H27)+(H28))+(H29))+(H30))+(H31))+(H37))+(H43))+(H49))+(H56))+(H75)</f>
        <v>26533.89</v>
      </c>
      <c r="I76" s="468">
        <f t="shared" si="16"/>
        <v>660.59000000000015</v>
      </c>
      <c r="J76" s="474">
        <f t="shared" si="17"/>
        <v>1.0248960857228246</v>
      </c>
      <c r="K76" s="210">
        <f>(((((((((K27)+(K28))+(K29))+(K30))+(K31))+(K37))+(K43))+(K49))+(K56))+(K75)</f>
        <v>1351.19</v>
      </c>
      <c r="L76" s="468">
        <f>(((((((((L27)+(L28))+(L29))+(L30))+(L31))+(L37))+(L43))+(L49))+(L56))+(L75)</f>
        <v>1145.27</v>
      </c>
      <c r="M76" s="468">
        <f t="shared" si="18"/>
        <v>205.92000000000007</v>
      </c>
      <c r="N76" s="474">
        <f t="shared" si="19"/>
        <v>1.179800396413073</v>
      </c>
      <c r="O76" s="210">
        <f>(((((((((O27)+(O28))+(O29))+(O30))+(O31))+(O37))+(O43))+(O49))+(O56))+(O75)</f>
        <v>10083.299999999999</v>
      </c>
      <c r="P76" s="468">
        <f>(((((((((P27)+(P28))+(P29))+(P30))+(P31))+(P37))+(P43))+(P49))+(P56))+(P75)</f>
        <v>8434.1699999999983</v>
      </c>
      <c r="Q76" s="468">
        <f t="shared" si="20"/>
        <v>1649.130000000001</v>
      </c>
      <c r="R76" s="474">
        <f t="shared" si="21"/>
        <v>1.1955296134652256</v>
      </c>
      <c r="S76" s="210">
        <f>(((((((((S27)+(S28))+(S29))+(S30))+(S31))+(S37))+(S43))+(S49))+(S56))+(S75)</f>
        <v>2952.48</v>
      </c>
      <c r="T76" s="468">
        <f>(((((((((T27)+(T28))+(T29))+(T30))+(T31))+(T37))+(T43))+(T49))+(T56))+(T75)</f>
        <v>2992.6</v>
      </c>
      <c r="U76" s="468">
        <f t="shared" si="22"/>
        <v>-40.119999999999891</v>
      </c>
      <c r="V76" s="474">
        <f t="shared" si="23"/>
        <v>0.98659359754060016</v>
      </c>
      <c r="W76" s="210">
        <f t="shared" si="27"/>
        <v>126463.12999999999</v>
      </c>
      <c r="X76" s="468">
        <f t="shared" si="27"/>
        <v>114715.13</v>
      </c>
      <c r="Y76" s="468">
        <f t="shared" si="25"/>
        <v>11747.999999999985</v>
      </c>
      <c r="Z76" s="474">
        <f t="shared" si="26"/>
        <v>1.1024102051752021</v>
      </c>
    </row>
    <row r="77" spans="2:26" ht="15.75" thickBot="1" x14ac:dyDescent="0.3">
      <c r="B77" s="219" t="s">
        <v>249</v>
      </c>
      <c r="C77" s="220">
        <f>(C20)-(C76)</f>
        <v>-84881.68</v>
      </c>
      <c r="D77" s="467">
        <f>(D20)-(D76)</f>
        <v>-75609.2</v>
      </c>
      <c r="E77" s="467">
        <f t="shared" si="14"/>
        <v>-9272.4799999999959</v>
      </c>
      <c r="F77" s="473">
        <f t="shared" si="15"/>
        <v>1.1226369277812753</v>
      </c>
      <c r="G77" s="220">
        <f>(G20)-(G76)</f>
        <v>107059.77</v>
      </c>
      <c r="H77" s="467">
        <f>(H20)-(H76)</f>
        <v>59235.05</v>
      </c>
      <c r="I77" s="467">
        <f t="shared" si="16"/>
        <v>47824.72</v>
      </c>
      <c r="J77" s="473">
        <f t="shared" si="17"/>
        <v>1.8073719866869362</v>
      </c>
      <c r="K77" s="220">
        <f>(K20)-(K76)</f>
        <v>198.80999999999995</v>
      </c>
      <c r="L77" s="467">
        <f>(L20)-(L76)</f>
        <v>6104.73</v>
      </c>
      <c r="M77" s="467">
        <f t="shared" si="18"/>
        <v>-5905.92</v>
      </c>
      <c r="N77" s="473">
        <f t="shared" si="19"/>
        <v>3.2566550854828957E-2</v>
      </c>
      <c r="O77" s="220">
        <f>(O20)-(O76)</f>
        <v>7312.0200000000041</v>
      </c>
      <c r="P77" s="467">
        <f>(P20)-(P76)</f>
        <v>50288.659999999996</v>
      </c>
      <c r="Q77" s="467">
        <f t="shared" si="20"/>
        <v>-42976.639999999992</v>
      </c>
      <c r="R77" s="473">
        <f t="shared" si="21"/>
        <v>0.14540097111356726</v>
      </c>
      <c r="S77" s="220">
        <f>(S20)-(S76)</f>
        <v>-12945.289999999997</v>
      </c>
      <c r="T77" s="467">
        <f>(T20)-(T76)</f>
        <v>60499.179999999986</v>
      </c>
      <c r="U77" s="467">
        <f t="shared" si="22"/>
        <v>-73444.469999999987</v>
      </c>
      <c r="V77" s="473">
        <f t="shared" si="23"/>
        <v>-0.2139746356892771</v>
      </c>
      <c r="W77" s="220">
        <f t="shared" si="27"/>
        <v>16743.630000000019</v>
      </c>
      <c r="X77" s="467">
        <f t="shared" si="27"/>
        <v>100518.41999999998</v>
      </c>
      <c r="Y77" s="467">
        <f t="shared" si="25"/>
        <v>-83774.789999999964</v>
      </c>
      <c r="Z77" s="473">
        <f t="shared" si="26"/>
        <v>0.16657275353114406</v>
      </c>
    </row>
    <row r="78" spans="2:26" x14ac:dyDescent="0.25">
      <c r="B78" s="120" t="s">
        <v>250</v>
      </c>
      <c r="C78" s="710"/>
      <c r="D78" s="711"/>
      <c r="E78" s="711"/>
      <c r="F78" s="712"/>
      <c r="G78" s="710"/>
      <c r="H78" s="711"/>
      <c r="I78" s="711"/>
      <c r="J78" s="712"/>
      <c r="K78" s="710"/>
      <c r="L78" s="711"/>
      <c r="M78" s="711"/>
      <c r="N78" s="712"/>
      <c r="O78" s="710"/>
      <c r="P78" s="711"/>
      <c r="Q78" s="711"/>
      <c r="R78" s="712"/>
      <c r="S78" s="710"/>
      <c r="T78" s="711"/>
      <c r="U78" s="711"/>
      <c r="V78" s="712"/>
      <c r="W78" s="710"/>
      <c r="X78" s="711"/>
      <c r="Y78" s="711"/>
      <c r="Z78" s="712"/>
    </row>
    <row r="79" spans="2:26" x14ac:dyDescent="0.25">
      <c r="B79" s="120" t="s">
        <v>251</v>
      </c>
      <c r="C79" s="166">
        <f>639.99</f>
        <v>639.99</v>
      </c>
      <c r="D79" s="170"/>
      <c r="E79" s="170">
        <f>(C79)-(D79)</f>
        <v>639.99</v>
      </c>
      <c r="F79" s="472" t="str">
        <f>IF(D79=0,"",(C79)/(D79))</f>
        <v/>
      </c>
      <c r="G79" s="166"/>
      <c r="H79" s="170"/>
      <c r="I79" s="170">
        <f>(G79)-(H79)</f>
        <v>0</v>
      </c>
      <c r="J79" s="472" t="str">
        <f>IF(H79=0,"",(G79)/(H79))</f>
        <v/>
      </c>
      <c r="K79" s="166"/>
      <c r="L79" s="170"/>
      <c r="M79" s="170">
        <f>(K79)-(L79)</f>
        <v>0</v>
      </c>
      <c r="N79" s="472" t="str">
        <f>IF(L79=0,"",(K79)/(L79))</f>
        <v/>
      </c>
      <c r="O79" s="166"/>
      <c r="P79" s="170"/>
      <c r="Q79" s="170">
        <f>(O79)-(P79)</f>
        <v>0</v>
      </c>
      <c r="R79" s="472" t="str">
        <f>IF(P79=0,"",(O79)/(P79))</f>
        <v/>
      </c>
      <c r="S79" s="166"/>
      <c r="T79" s="170"/>
      <c r="U79" s="170">
        <f>(S79)-(T79)</f>
        <v>0</v>
      </c>
      <c r="V79" s="472" t="str">
        <f>IF(T79=0,"",(S79)/(T79))</f>
        <v/>
      </c>
      <c r="W79" s="166">
        <f t="shared" ref="W79:X81" si="28">((((C79)+(G79))+(K79))+(O79))+(S79)</f>
        <v>639.99</v>
      </c>
      <c r="X79" s="170">
        <f t="shared" si="28"/>
        <v>0</v>
      </c>
      <c r="Y79" s="170">
        <f>(W79)-(X79)</f>
        <v>639.99</v>
      </c>
      <c r="Z79" s="472" t="str">
        <f>IF(X79=0,"",(W79)/(X79))</f>
        <v/>
      </c>
    </row>
    <row r="80" spans="2:26" x14ac:dyDescent="0.25">
      <c r="B80" s="120" t="s">
        <v>1277</v>
      </c>
      <c r="C80" s="166">
        <f>12897.29</f>
        <v>12897.29</v>
      </c>
      <c r="D80" s="170"/>
      <c r="E80" s="170">
        <f>(C80)-(D80)</f>
        <v>12897.29</v>
      </c>
      <c r="F80" s="472" t="str">
        <f>IF(D80=0,"",(C80)/(D80))</f>
        <v/>
      </c>
      <c r="G80" s="166"/>
      <c r="H80" s="170"/>
      <c r="I80" s="170">
        <f>(G80)-(H80)</f>
        <v>0</v>
      </c>
      <c r="J80" s="472" t="str">
        <f>IF(H80=0,"",(G80)/(H80))</f>
        <v/>
      </c>
      <c r="K80" s="166"/>
      <c r="L80" s="170"/>
      <c r="M80" s="170">
        <f>(K80)-(L80)</f>
        <v>0</v>
      </c>
      <c r="N80" s="472" t="str">
        <f>IF(L80=0,"",(K80)/(L80))</f>
        <v/>
      </c>
      <c r="O80" s="166"/>
      <c r="P80" s="170"/>
      <c r="Q80" s="170">
        <f>(O80)-(P80)</f>
        <v>0</v>
      </c>
      <c r="R80" s="472" t="str">
        <f>IF(P80=0,"",(O80)/(P80))</f>
        <v/>
      </c>
      <c r="S80" s="166"/>
      <c r="T80" s="170"/>
      <c r="U80" s="170">
        <f>(S80)-(T80)</f>
        <v>0</v>
      </c>
      <c r="V80" s="472" t="str">
        <f>IF(T80=0,"",(S80)/(T80))</f>
        <v/>
      </c>
      <c r="W80" s="166">
        <f t="shared" si="28"/>
        <v>12897.29</v>
      </c>
      <c r="X80" s="170">
        <f t="shared" si="28"/>
        <v>0</v>
      </c>
      <c r="Y80" s="170">
        <f>(W80)-(X80)</f>
        <v>12897.29</v>
      </c>
      <c r="Z80" s="472" t="str">
        <f>IF(X80=0,"",(W80)/(X80))</f>
        <v/>
      </c>
    </row>
    <row r="81" spans="2:26" x14ac:dyDescent="0.25">
      <c r="B81" s="167" t="s">
        <v>253</v>
      </c>
      <c r="C81" s="210">
        <f>(C79)+(C80)</f>
        <v>13537.28</v>
      </c>
      <c r="D81" s="468">
        <f>(D79)+(D80)</f>
        <v>0</v>
      </c>
      <c r="E81" s="468">
        <f>(C81)-(D81)</f>
        <v>13537.28</v>
      </c>
      <c r="F81" s="474" t="str">
        <f>IF(D81=0,"",(C81)/(D81))</f>
        <v/>
      </c>
      <c r="G81" s="210">
        <f>(G79)+(G80)</f>
        <v>0</v>
      </c>
      <c r="H81" s="468">
        <f>(H79)+(H80)</f>
        <v>0</v>
      </c>
      <c r="I81" s="468">
        <f>(G81)-(H81)</f>
        <v>0</v>
      </c>
      <c r="J81" s="474" t="str">
        <f>IF(H81=0,"",(G81)/(H81))</f>
        <v/>
      </c>
      <c r="K81" s="210">
        <f>(K79)+(K80)</f>
        <v>0</v>
      </c>
      <c r="L81" s="468">
        <f>(L79)+(L80)</f>
        <v>0</v>
      </c>
      <c r="M81" s="468">
        <f>(K81)-(L81)</f>
        <v>0</v>
      </c>
      <c r="N81" s="474" t="str">
        <f>IF(L81=0,"",(K81)/(L81))</f>
        <v/>
      </c>
      <c r="O81" s="210">
        <f>(O79)+(O80)</f>
        <v>0</v>
      </c>
      <c r="P81" s="468">
        <f>(P79)+(P80)</f>
        <v>0</v>
      </c>
      <c r="Q81" s="468">
        <f>(O81)-(P81)</f>
        <v>0</v>
      </c>
      <c r="R81" s="474" t="str">
        <f>IF(P81=0,"",(O81)/(P81))</f>
        <v/>
      </c>
      <c r="S81" s="210">
        <f>(S79)+(S80)</f>
        <v>0</v>
      </c>
      <c r="T81" s="468">
        <f>(T79)+(T80)</f>
        <v>0</v>
      </c>
      <c r="U81" s="468">
        <f>(S81)-(T81)</f>
        <v>0</v>
      </c>
      <c r="V81" s="474" t="str">
        <f>IF(T81=0,"",(S81)/(T81))</f>
        <v/>
      </c>
      <c r="W81" s="210">
        <f t="shared" si="28"/>
        <v>13537.28</v>
      </c>
      <c r="X81" s="468">
        <f t="shared" si="28"/>
        <v>0</v>
      </c>
      <c r="Y81" s="468">
        <f>(W81)-(X81)</f>
        <v>13537.28</v>
      </c>
      <c r="Z81" s="474" t="str">
        <f>IF(X81=0,"",(W81)/(X81))</f>
        <v/>
      </c>
    </row>
    <row r="82" spans="2:26" x14ac:dyDescent="0.25">
      <c r="B82" s="120" t="s">
        <v>254</v>
      </c>
      <c r="C82" s="166"/>
      <c r="D82" s="170"/>
      <c r="E82" s="170"/>
      <c r="F82" s="472"/>
      <c r="G82" s="166"/>
      <c r="H82" s="170"/>
      <c r="I82" s="170"/>
      <c r="J82" s="472"/>
      <c r="K82" s="166"/>
      <c r="L82" s="170"/>
      <c r="M82" s="170"/>
      <c r="N82" s="472"/>
      <c r="O82" s="166"/>
      <c r="P82" s="170"/>
      <c r="Q82" s="170"/>
      <c r="R82" s="472"/>
      <c r="S82" s="166"/>
      <c r="T82" s="170"/>
      <c r="U82" s="170"/>
      <c r="V82" s="472"/>
      <c r="W82" s="166"/>
      <c r="X82" s="170"/>
      <c r="Y82" s="170"/>
      <c r="Z82" s="472"/>
    </row>
    <row r="83" spans="2:26" x14ac:dyDescent="0.25">
      <c r="B83" s="120" t="s">
        <v>1059</v>
      </c>
      <c r="C83" s="166"/>
      <c r="D83" s="170"/>
      <c r="E83" s="170">
        <f t="shared" ref="E83:E90" si="29">(C83)-(D83)</f>
        <v>0</v>
      </c>
      <c r="F83" s="472" t="str">
        <f t="shared" ref="F83:F90" si="30">IF(D83=0,"",(C83)/(D83))</f>
        <v/>
      </c>
      <c r="G83" s="166">
        <f>17.04</f>
        <v>17.04</v>
      </c>
      <c r="H83" s="170"/>
      <c r="I83" s="170">
        <f t="shared" ref="I83:I90" si="31">(G83)-(H83)</f>
        <v>17.04</v>
      </c>
      <c r="J83" s="472" t="str">
        <f t="shared" ref="J83:J90" si="32">IF(H83=0,"",(G83)/(H83))</f>
        <v/>
      </c>
      <c r="K83" s="166"/>
      <c r="L83" s="170"/>
      <c r="M83" s="170">
        <f t="shared" ref="M83:M90" si="33">(K83)-(L83)</f>
        <v>0</v>
      </c>
      <c r="N83" s="472" t="str">
        <f t="shared" ref="N83:N90" si="34">IF(L83=0,"",(K83)/(L83))</f>
        <v/>
      </c>
      <c r="O83" s="166"/>
      <c r="P83" s="170"/>
      <c r="Q83" s="170">
        <f t="shared" ref="Q83:Q90" si="35">(O83)-(P83)</f>
        <v>0</v>
      </c>
      <c r="R83" s="472" t="str">
        <f t="shared" ref="R83:R90" si="36">IF(P83=0,"",(O83)/(P83))</f>
        <v/>
      </c>
      <c r="S83" s="166"/>
      <c r="T83" s="170"/>
      <c r="U83" s="170">
        <f t="shared" ref="U83:U90" si="37">(S83)-(T83)</f>
        <v>0</v>
      </c>
      <c r="V83" s="472" t="str">
        <f t="shared" ref="V83:V90" si="38">IF(T83=0,"",(S83)/(T83))</f>
        <v/>
      </c>
      <c r="W83" s="166">
        <f t="shared" ref="W83:X90" si="39">((((C83)+(G83))+(K83))+(O83))+(S83)</f>
        <v>17.04</v>
      </c>
      <c r="X83" s="170">
        <f t="shared" si="39"/>
        <v>0</v>
      </c>
      <c r="Y83" s="170">
        <f t="shared" ref="Y83:Y90" si="40">(W83)-(X83)</f>
        <v>17.04</v>
      </c>
      <c r="Z83" s="472" t="str">
        <f t="shared" ref="Z83:Z90" si="41">IF(X83=0,"",(W83)/(X83))</f>
        <v/>
      </c>
    </row>
    <row r="84" spans="2:26" x14ac:dyDescent="0.25">
      <c r="B84" s="120" t="s">
        <v>255</v>
      </c>
      <c r="C84" s="166">
        <f>27038.72</f>
        <v>27038.720000000001</v>
      </c>
      <c r="D84" s="170">
        <f>16855.71</f>
        <v>16855.71</v>
      </c>
      <c r="E84" s="170">
        <f t="shared" si="29"/>
        <v>10183.010000000002</v>
      </c>
      <c r="F84" s="472">
        <f t="shared" si="30"/>
        <v>1.6041282153050807</v>
      </c>
      <c r="G84" s="166"/>
      <c r="H84" s="170"/>
      <c r="I84" s="170">
        <f t="shared" si="31"/>
        <v>0</v>
      </c>
      <c r="J84" s="472" t="str">
        <f t="shared" si="32"/>
        <v/>
      </c>
      <c r="K84" s="166"/>
      <c r="L84" s="170"/>
      <c r="M84" s="170">
        <f t="shared" si="33"/>
        <v>0</v>
      </c>
      <c r="N84" s="472" t="str">
        <f t="shared" si="34"/>
        <v/>
      </c>
      <c r="O84" s="166"/>
      <c r="P84" s="170"/>
      <c r="Q84" s="170">
        <f t="shared" si="35"/>
        <v>0</v>
      </c>
      <c r="R84" s="472" t="str">
        <f t="shared" si="36"/>
        <v/>
      </c>
      <c r="S84" s="166"/>
      <c r="T84" s="170"/>
      <c r="U84" s="170">
        <f t="shared" si="37"/>
        <v>0</v>
      </c>
      <c r="V84" s="472" t="str">
        <f t="shared" si="38"/>
        <v/>
      </c>
      <c r="W84" s="166">
        <f t="shared" si="39"/>
        <v>27038.720000000001</v>
      </c>
      <c r="X84" s="170">
        <f t="shared" si="39"/>
        <v>16855.71</v>
      </c>
      <c r="Y84" s="170">
        <f t="shared" si="40"/>
        <v>10183.010000000002</v>
      </c>
      <c r="Z84" s="472">
        <f t="shared" si="41"/>
        <v>1.6041282153050807</v>
      </c>
    </row>
    <row r="85" spans="2:26" x14ac:dyDescent="0.25">
      <c r="B85" s="120" t="s">
        <v>256</v>
      </c>
      <c r="C85" s="166">
        <f>10169.38</f>
        <v>10169.379999999999</v>
      </c>
      <c r="D85" s="170">
        <v>8914.86</v>
      </c>
      <c r="E85" s="170">
        <f t="shared" si="29"/>
        <v>1254.5199999999986</v>
      </c>
      <c r="F85" s="472">
        <f t="shared" si="30"/>
        <v>1.1407223444899863</v>
      </c>
      <c r="G85" s="166"/>
      <c r="H85" s="170"/>
      <c r="I85" s="170">
        <f t="shared" si="31"/>
        <v>0</v>
      </c>
      <c r="J85" s="472" t="str">
        <f t="shared" si="32"/>
        <v/>
      </c>
      <c r="K85" s="166"/>
      <c r="L85" s="170"/>
      <c r="M85" s="170">
        <f t="shared" si="33"/>
        <v>0</v>
      </c>
      <c r="N85" s="472" t="str">
        <f t="shared" si="34"/>
        <v/>
      </c>
      <c r="O85" s="166"/>
      <c r="P85" s="170"/>
      <c r="Q85" s="170">
        <f t="shared" si="35"/>
        <v>0</v>
      </c>
      <c r="R85" s="472" t="str">
        <f t="shared" si="36"/>
        <v/>
      </c>
      <c r="S85" s="166"/>
      <c r="T85" s="170"/>
      <c r="U85" s="170">
        <f t="shared" si="37"/>
        <v>0</v>
      </c>
      <c r="V85" s="472" t="str">
        <f t="shared" si="38"/>
        <v/>
      </c>
      <c r="W85" s="166">
        <f t="shared" si="39"/>
        <v>10169.379999999999</v>
      </c>
      <c r="X85" s="170">
        <f t="shared" si="39"/>
        <v>8914.86</v>
      </c>
      <c r="Y85" s="170">
        <f t="shared" si="40"/>
        <v>1254.5199999999986</v>
      </c>
      <c r="Z85" s="472">
        <f t="shared" si="41"/>
        <v>1.1407223444899863</v>
      </c>
    </row>
    <row r="86" spans="2:26" x14ac:dyDescent="0.25">
      <c r="B86" s="120" t="s">
        <v>257</v>
      </c>
      <c r="C86" s="166">
        <f>4746.6</f>
        <v>4746.6000000000004</v>
      </c>
      <c r="D86" s="170">
        <f>3621.9</f>
        <v>3621.9</v>
      </c>
      <c r="E86" s="170">
        <f t="shared" si="29"/>
        <v>1124.7000000000003</v>
      </c>
      <c r="F86" s="472">
        <f t="shared" si="30"/>
        <v>1.3105276236229604</v>
      </c>
      <c r="G86" s="166"/>
      <c r="H86" s="170"/>
      <c r="I86" s="170">
        <f t="shared" si="31"/>
        <v>0</v>
      </c>
      <c r="J86" s="472" t="str">
        <f t="shared" si="32"/>
        <v/>
      </c>
      <c r="K86" s="166"/>
      <c r="L86" s="170"/>
      <c r="M86" s="170">
        <f t="shared" si="33"/>
        <v>0</v>
      </c>
      <c r="N86" s="472" t="str">
        <f t="shared" si="34"/>
        <v/>
      </c>
      <c r="O86" s="166"/>
      <c r="P86" s="170"/>
      <c r="Q86" s="170">
        <f t="shared" si="35"/>
        <v>0</v>
      </c>
      <c r="R86" s="472" t="str">
        <f t="shared" si="36"/>
        <v/>
      </c>
      <c r="S86" s="166"/>
      <c r="T86" s="170"/>
      <c r="U86" s="170">
        <f t="shared" si="37"/>
        <v>0</v>
      </c>
      <c r="V86" s="472" t="str">
        <f t="shared" si="38"/>
        <v/>
      </c>
      <c r="W86" s="166">
        <f t="shared" si="39"/>
        <v>4746.6000000000004</v>
      </c>
      <c r="X86" s="170">
        <f t="shared" si="39"/>
        <v>3621.9</v>
      </c>
      <c r="Y86" s="170">
        <f t="shared" si="40"/>
        <v>1124.7000000000003</v>
      </c>
      <c r="Z86" s="472">
        <f t="shared" si="41"/>
        <v>1.3105276236229604</v>
      </c>
    </row>
    <row r="87" spans="2:26" x14ac:dyDescent="0.25">
      <c r="B87" s="120" t="s">
        <v>258</v>
      </c>
      <c r="C87" s="166">
        <f>12988.8</f>
        <v>12988.8</v>
      </c>
      <c r="D87" s="170">
        <f>12988.8</f>
        <v>12988.8</v>
      </c>
      <c r="E87" s="170">
        <f t="shared" si="29"/>
        <v>0</v>
      </c>
      <c r="F87" s="472">
        <f t="shared" si="30"/>
        <v>1</v>
      </c>
      <c r="G87" s="166"/>
      <c r="H87" s="170"/>
      <c r="I87" s="170">
        <f t="shared" si="31"/>
        <v>0</v>
      </c>
      <c r="J87" s="472" t="str">
        <f t="shared" si="32"/>
        <v/>
      </c>
      <c r="K87" s="166"/>
      <c r="L87" s="170"/>
      <c r="M87" s="170">
        <f t="shared" si="33"/>
        <v>0</v>
      </c>
      <c r="N87" s="472" t="str">
        <f t="shared" si="34"/>
        <v/>
      </c>
      <c r="O87" s="166"/>
      <c r="P87" s="170"/>
      <c r="Q87" s="170">
        <f t="shared" si="35"/>
        <v>0</v>
      </c>
      <c r="R87" s="472" t="str">
        <f t="shared" si="36"/>
        <v/>
      </c>
      <c r="S87" s="166"/>
      <c r="T87" s="170"/>
      <c r="U87" s="170">
        <f t="shared" si="37"/>
        <v>0</v>
      </c>
      <c r="V87" s="472" t="str">
        <f t="shared" si="38"/>
        <v/>
      </c>
      <c r="W87" s="166">
        <f t="shared" si="39"/>
        <v>12988.8</v>
      </c>
      <c r="X87" s="170">
        <f t="shared" si="39"/>
        <v>12988.8</v>
      </c>
      <c r="Y87" s="170">
        <f t="shared" si="40"/>
        <v>0</v>
      </c>
      <c r="Z87" s="472">
        <f t="shared" si="41"/>
        <v>1</v>
      </c>
    </row>
    <row r="88" spans="2:26" x14ac:dyDescent="0.25">
      <c r="B88" s="167" t="s">
        <v>259</v>
      </c>
      <c r="C88" s="210">
        <f>((((C83)+(C84))+(C85))+(C86))+(C87)</f>
        <v>54943.5</v>
      </c>
      <c r="D88" s="468">
        <f>((((D83)+(D84))+(D85))+(D86))+(D87)</f>
        <v>42381.270000000004</v>
      </c>
      <c r="E88" s="468">
        <f t="shared" si="29"/>
        <v>12562.229999999996</v>
      </c>
      <c r="F88" s="474">
        <f t="shared" si="30"/>
        <v>1.2964099471299466</v>
      </c>
      <c r="G88" s="210">
        <f>((((G83)+(G84))+(G85))+(G86))+(G87)</f>
        <v>17.04</v>
      </c>
      <c r="H88" s="468">
        <f>((((H83)+(H84))+(H85))+(H86))+(H87)</f>
        <v>0</v>
      </c>
      <c r="I88" s="468">
        <f t="shared" si="31"/>
        <v>17.04</v>
      </c>
      <c r="J88" s="474" t="str">
        <f t="shared" si="32"/>
        <v/>
      </c>
      <c r="K88" s="210">
        <f>((((K83)+(K84))+(K85))+(K86))+(K87)</f>
        <v>0</v>
      </c>
      <c r="L88" s="468">
        <f>((((L83)+(L84))+(L85))+(L86))+(L87)</f>
        <v>0</v>
      </c>
      <c r="M88" s="468">
        <f t="shared" si="33"/>
        <v>0</v>
      </c>
      <c r="N88" s="474" t="str">
        <f t="shared" si="34"/>
        <v/>
      </c>
      <c r="O88" s="210">
        <f>((((O83)+(O84))+(O85))+(O86))+(O87)</f>
        <v>0</v>
      </c>
      <c r="P88" s="468">
        <f>((((P83)+(P84))+(P85))+(P86))+(P87)</f>
        <v>0</v>
      </c>
      <c r="Q88" s="468">
        <f t="shared" si="35"/>
        <v>0</v>
      </c>
      <c r="R88" s="474" t="str">
        <f t="shared" si="36"/>
        <v/>
      </c>
      <c r="S88" s="210">
        <f>((((S83)+(S84))+(S85))+(S86))+(S87)</f>
        <v>0</v>
      </c>
      <c r="T88" s="468">
        <f>((((T83)+(T84))+(T85))+(T86))+(T87)</f>
        <v>0</v>
      </c>
      <c r="U88" s="468">
        <f t="shared" si="37"/>
        <v>0</v>
      </c>
      <c r="V88" s="474" t="str">
        <f t="shared" si="38"/>
        <v/>
      </c>
      <c r="W88" s="210">
        <f t="shared" si="39"/>
        <v>54960.54</v>
      </c>
      <c r="X88" s="468">
        <f t="shared" si="39"/>
        <v>42381.270000000004</v>
      </c>
      <c r="Y88" s="468">
        <f t="shared" si="40"/>
        <v>12579.269999999997</v>
      </c>
      <c r="Z88" s="474">
        <f t="shared" si="41"/>
        <v>1.2968120115324528</v>
      </c>
    </row>
    <row r="89" spans="2:26" ht="15.75" thickBot="1" x14ac:dyDescent="0.3">
      <c r="B89" s="167" t="s">
        <v>260</v>
      </c>
      <c r="C89" s="210">
        <f>(C81)-(C88)</f>
        <v>-41406.22</v>
      </c>
      <c r="D89" s="468">
        <f>(D81)-(D88)</f>
        <v>-42381.270000000004</v>
      </c>
      <c r="E89" s="468">
        <f t="shared" si="29"/>
        <v>975.05000000000291</v>
      </c>
      <c r="F89" s="474">
        <f t="shared" si="30"/>
        <v>0.97699337466763025</v>
      </c>
      <c r="G89" s="210">
        <f>(G81)-(G88)</f>
        <v>-17.04</v>
      </c>
      <c r="H89" s="468">
        <f>(H81)-(H88)</f>
        <v>0</v>
      </c>
      <c r="I89" s="468">
        <f t="shared" si="31"/>
        <v>-17.04</v>
      </c>
      <c r="J89" s="474" t="str">
        <f t="shared" si="32"/>
        <v/>
      </c>
      <c r="K89" s="210">
        <f>(K81)-(K88)</f>
        <v>0</v>
      </c>
      <c r="L89" s="468">
        <f>(L81)-(L88)</f>
        <v>0</v>
      </c>
      <c r="M89" s="468">
        <f t="shared" si="33"/>
        <v>0</v>
      </c>
      <c r="N89" s="474" t="str">
        <f t="shared" si="34"/>
        <v/>
      </c>
      <c r="O89" s="210">
        <f>(O81)-(O88)</f>
        <v>0</v>
      </c>
      <c r="P89" s="468">
        <f>(P81)-(P88)</f>
        <v>0</v>
      </c>
      <c r="Q89" s="468">
        <f t="shared" si="35"/>
        <v>0</v>
      </c>
      <c r="R89" s="474" t="str">
        <f t="shared" si="36"/>
        <v/>
      </c>
      <c r="S89" s="210">
        <f>(S81)-(S88)</f>
        <v>0</v>
      </c>
      <c r="T89" s="468">
        <f>(T81)-(T88)</f>
        <v>0</v>
      </c>
      <c r="U89" s="468">
        <f t="shared" si="37"/>
        <v>0</v>
      </c>
      <c r="V89" s="474" t="str">
        <f t="shared" si="38"/>
        <v/>
      </c>
      <c r="W89" s="210">
        <f t="shared" si="39"/>
        <v>-41423.26</v>
      </c>
      <c r="X89" s="468">
        <f t="shared" si="39"/>
        <v>-42381.270000000004</v>
      </c>
      <c r="Y89" s="468">
        <f t="shared" si="40"/>
        <v>958.01000000000204</v>
      </c>
      <c r="Z89" s="474">
        <f t="shared" si="41"/>
        <v>0.97739543907013637</v>
      </c>
    </row>
    <row r="90" spans="2:26" ht="15.75" thickBot="1" x14ac:dyDescent="0.3">
      <c r="B90" s="219" t="s">
        <v>132</v>
      </c>
      <c r="C90" s="220">
        <f>(C77)+(C89)</f>
        <v>-126287.9</v>
      </c>
      <c r="D90" s="467">
        <f>(D77)+(D89)</f>
        <v>-117990.47</v>
      </c>
      <c r="E90" s="467">
        <f t="shared" si="29"/>
        <v>-8297.429999999993</v>
      </c>
      <c r="F90" s="473">
        <f t="shared" si="30"/>
        <v>1.0703228828565561</v>
      </c>
      <c r="G90" s="220">
        <f>(G77)+(G89)</f>
        <v>107042.73000000001</v>
      </c>
      <c r="H90" s="467">
        <f>(H77)+(H89)</f>
        <v>59235.05</v>
      </c>
      <c r="I90" s="467">
        <f t="shared" si="31"/>
        <v>47807.680000000008</v>
      </c>
      <c r="J90" s="473">
        <f t="shared" si="32"/>
        <v>1.8070843191657642</v>
      </c>
      <c r="K90" s="220">
        <f>(K77)+(K89)</f>
        <v>198.80999999999995</v>
      </c>
      <c r="L90" s="467">
        <f>(L77)+(L89)</f>
        <v>6104.73</v>
      </c>
      <c r="M90" s="467">
        <f t="shared" si="33"/>
        <v>-5905.92</v>
      </c>
      <c r="N90" s="473">
        <f t="shared" si="34"/>
        <v>3.2566550854828957E-2</v>
      </c>
      <c r="O90" s="220">
        <f>(O77)+(O89)</f>
        <v>7312.0200000000041</v>
      </c>
      <c r="P90" s="467">
        <f>(P77)+(P89)</f>
        <v>50288.659999999996</v>
      </c>
      <c r="Q90" s="467">
        <f t="shared" si="35"/>
        <v>-42976.639999999992</v>
      </c>
      <c r="R90" s="473">
        <f t="shared" si="36"/>
        <v>0.14540097111356726</v>
      </c>
      <c r="S90" s="220">
        <f>(S77)+(S89)</f>
        <v>-12945.289999999997</v>
      </c>
      <c r="T90" s="467">
        <f>(T77)+(T89)</f>
        <v>60499.179999999986</v>
      </c>
      <c r="U90" s="467">
        <f t="shared" si="37"/>
        <v>-73444.469999999987</v>
      </c>
      <c r="V90" s="473">
        <f t="shared" si="38"/>
        <v>-0.2139746356892771</v>
      </c>
      <c r="W90" s="220">
        <f t="shared" si="39"/>
        <v>-24679.629999999976</v>
      </c>
      <c r="X90" s="467">
        <f t="shared" si="39"/>
        <v>58137.14999999998</v>
      </c>
      <c r="Y90" s="467">
        <f t="shared" si="40"/>
        <v>-82816.779999999955</v>
      </c>
      <c r="Z90" s="473">
        <f t="shared" si="41"/>
        <v>-0.42450704927916116</v>
      </c>
    </row>
    <row r="91" spans="2:26" ht="15.75" thickBot="1" x14ac:dyDescent="0.3">
      <c r="B91" s="122"/>
      <c r="C91" s="166"/>
      <c r="D91" s="170"/>
      <c r="E91" s="170"/>
      <c r="F91" s="517"/>
      <c r="G91" s="168"/>
      <c r="H91" s="471"/>
      <c r="I91" s="471"/>
      <c r="J91" s="477"/>
      <c r="K91" s="307"/>
      <c r="L91" s="307"/>
      <c r="M91" s="307"/>
      <c r="N91" s="479"/>
      <c r="O91" s="168"/>
      <c r="P91" s="471"/>
      <c r="Q91" s="471"/>
      <c r="R91" s="477"/>
      <c r="S91" s="168"/>
      <c r="T91" s="471"/>
      <c r="U91" s="471"/>
      <c r="V91" s="477"/>
      <c r="W91" s="168"/>
      <c r="X91" s="471"/>
      <c r="Y91" s="471"/>
      <c r="Z91" s="477"/>
    </row>
    <row r="92" spans="2:26" ht="15.75" outlineLevel="1" thickBot="1" x14ac:dyDescent="0.3">
      <c r="B92" s="513" t="s">
        <v>261</v>
      </c>
      <c r="C92" s="464">
        <f>+C77+C81</f>
        <v>-71344.399999999994</v>
      </c>
      <c r="D92" s="486">
        <f>+D77+D81</f>
        <v>-75609.2</v>
      </c>
      <c r="E92" s="486">
        <f>+E77+E81</f>
        <v>4264.8000000000047</v>
      </c>
      <c r="F92" s="526">
        <f>C92/D92</f>
        <v>0.94359416578934829</v>
      </c>
      <c r="G92" s="464">
        <f>+G77+G81</f>
        <v>107059.77</v>
      </c>
      <c r="H92" s="486">
        <f>+H77+H81</f>
        <v>59235.05</v>
      </c>
      <c r="I92" s="486">
        <f>+I77+I81</f>
        <v>47824.72</v>
      </c>
      <c r="J92" s="526">
        <f>G92/H92</f>
        <v>1.8073719866869362</v>
      </c>
      <c r="K92" s="464">
        <f>+K77+K81</f>
        <v>198.80999999999995</v>
      </c>
      <c r="L92" s="486">
        <f>+L77+L81</f>
        <v>6104.73</v>
      </c>
      <c r="M92" s="486">
        <f>+M77+M81</f>
        <v>-5905.92</v>
      </c>
      <c r="N92" s="526">
        <f>K92/L92</f>
        <v>3.2566550854828957E-2</v>
      </c>
      <c r="O92" s="464">
        <f>+O77+O81</f>
        <v>7312.0200000000041</v>
      </c>
      <c r="P92" s="486">
        <f>+P77+P81</f>
        <v>50288.659999999996</v>
      </c>
      <c r="Q92" s="486">
        <f>+Q77+Q81</f>
        <v>-42976.639999999992</v>
      </c>
      <c r="R92" s="526">
        <f>O92/P92</f>
        <v>0.14540097111356726</v>
      </c>
      <c r="S92" s="464">
        <f>+S77+S81</f>
        <v>-12945.289999999997</v>
      </c>
      <c r="T92" s="486">
        <f>+T77+T81</f>
        <v>60499.179999999986</v>
      </c>
      <c r="U92" s="486">
        <f>+U77+U81</f>
        <v>-73444.469999999987</v>
      </c>
      <c r="V92" s="526">
        <f>S92/T92</f>
        <v>-0.2139746356892771</v>
      </c>
      <c r="W92" s="464">
        <f>+W77+W81</f>
        <v>30280.910000000018</v>
      </c>
      <c r="X92" s="486">
        <f>+X77+X81</f>
        <v>100518.41999999998</v>
      </c>
      <c r="Y92" s="486">
        <f>+Y77+Y81</f>
        <v>-70237.509999999966</v>
      </c>
      <c r="Z92" s="526">
        <f>W92/X92</f>
        <v>0.30124737336699109</v>
      </c>
    </row>
    <row r="93" spans="2:26" outlineLevel="1" x14ac:dyDescent="0.25">
      <c r="B93" s="514"/>
      <c r="C93" s="272"/>
      <c r="D93" s="462"/>
      <c r="E93" s="462"/>
      <c r="F93" s="522"/>
      <c r="G93" s="272"/>
      <c r="H93" s="462"/>
      <c r="I93" s="462"/>
      <c r="J93" s="522"/>
      <c r="K93" s="272"/>
      <c r="L93" s="462"/>
      <c r="M93" s="462"/>
      <c r="N93" s="518"/>
      <c r="O93" s="272"/>
      <c r="P93" s="462"/>
      <c r="Q93" s="462"/>
      <c r="R93" s="518"/>
      <c r="S93" s="272"/>
      <c r="T93" s="462"/>
      <c r="U93" s="462"/>
      <c r="V93" s="518"/>
      <c r="W93" s="272"/>
      <c r="X93" s="462"/>
      <c r="Y93" s="462"/>
      <c r="Z93" s="518"/>
    </row>
    <row r="94" spans="2:26" ht="15.75" outlineLevel="1" thickBot="1" x14ac:dyDescent="0.3">
      <c r="B94" s="514" t="s">
        <v>262</v>
      </c>
      <c r="C94" s="272">
        <f>C86+C87</f>
        <v>17735.400000000001</v>
      </c>
      <c r="D94" s="462">
        <f>D86+D87</f>
        <v>16610.7</v>
      </c>
      <c r="E94" s="462">
        <f>E86+E87</f>
        <v>1124.7000000000003</v>
      </c>
      <c r="F94" s="522">
        <f t="shared" ref="F94:F101" si="42">C94/D94</f>
        <v>1.0677093680579386</v>
      </c>
      <c r="G94" s="272">
        <f>G86+G87</f>
        <v>0</v>
      </c>
      <c r="H94" s="462">
        <f>H86+H87</f>
        <v>0</v>
      </c>
      <c r="I94" s="462">
        <f>I86+I87</f>
        <v>0</v>
      </c>
      <c r="J94" s="522">
        <v>0</v>
      </c>
      <c r="K94" s="272">
        <f>K86+K87</f>
        <v>0</v>
      </c>
      <c r="L94" s="462">
        <f>L86+L87</f>
        <v>0</v>
      </c>
      <c r="M94" s="462">
        <f>M86+M87</f>
        <v>0</v>
      </c>
      <c r="N94" s="518">
        <v>0</v>
      </c>
      <c r="O94" s="272">
        <f>O86+O87</f>
        <v>0</v>
      </c>
      <c r="P94" s="462">
        <f>P86+P87</f>
        <v>0</v>
      </c>
      <c r="Q94" s="462">
        <f>Q86+Q87</f>
        <v>0</v>
      </c>
      <c r="R94" s="518">
        <v>0</v>
      </c>
      <c r="S94" s="272">
        <f>S86+S87</f>
        <v>0</v>
      </c>
      <c r="T94" s="462">
        <f>T86+T87</f>
        <v>0</v>
      </c>
      <c r="U94" s="462">
        <f>U86+U87</f>
        <v>0</v>
      </c>
      <c r="V94" s="518">
        <v>0</v>
      </c>
      <c r="W94" s="272">
        <f>W86+W87</f>
        <v>17735.400000000001</v>
      </c>
      <c r="X94" s="462">
        <f>X86+X87</f>
        <v>16610.7</v>
      </c>
      <c r="Y94" s="462">
        <f>Y86+Y87</f>
        <v>1124.7000000000003</v>
      </c>
      <c r="Z94" s="518">
        <v>0</v>
      </c>
    </row>
    <row r="95" spans="2:26" ht="15.75" outlineLevel="1" thickBot="1" x14ac:dyDescent="0.3">
      <c r="B95" s="513" t="s">
        <v>263</v>
      </c>
      <c r="C95" s="464">
        <f>++C92-C94</f>
        <v>-89079.799999999988</v>
      </c>
      <c r="D95" s="486">
        <f>++D92-D94</f>
        <v>-92219.9</v>
      </c>
      <c r="E95" s="486">
        <f>++E92-E94</f>
        <v>3140.1000000000045</v>
      </c>
      <c r="F95" s="526">
        <f t="shared" si="42"/>
        <v>0.96594986548456452</v>
      </c>
      <c r="G95" s="464">
        <f>++G92-G94</f>
        <v>107059.77</v>
      </c>
      <c r="H95" s="486">
        <f>++H92-H94</f>
        <v>59235.05</v>
      </c>
      <c r="I95" s="486">
        <f>++I92-I94</f>
        <v>47824.72</v>
      </c>
      <c r="J95" s="526">
        <f t="shared" ref="J95:J101" si="43">G95/H95</f>
        <v>1.8073719866869362</v>
      </c>
      <c r="K95" s="464">
        <f>++K92-K94</f>
        <v>198.80999999999995</v>
      </c>
      <c r="L95" s="486">
        <f>++L92-L94</f>
        <v>6104.73</v>
      </c>
      <c r="M95" s="486">
        <f>++M92-M94</f>
        <v>-5905.92</v>
      </c>
      <c r="N95" s="526">
        <f t="shared" ref="N95:N101" si="44">K95/L95</f>
        <v>3.2566550854828957E-2</v>
      </c>
      <c r="O95" s="464">
        <f>++O92-O94</f>
        <v>7312.0200000000041</v>
      </c>
      <c r="P95" s="486">
        <f>++P92-P94</f>
        <v>50288.659999999996</v>
      </c>
      <c r="Q95" s="486">
        <f>++Q92-Q94</f>
        <v>-42976.639999999992</v>
      </c>
      <c r="R95" s="526">
        <f t="shared" ref="R95:R101" si="45">O95/P95</f>
        <v>0.14540097111356726</v>
      </c>
      <c r="S95" s="464">
        <f>++S92-S94</f>
        <v>-12945.289999999997</v>
      </c>
      <c r="T95" s="486">
        <f>++T92-T94</f>
        <v>60499.179999999986</v>
      </c>
      <c r="U95" s="486">
        <f>++U92-U94</f>
        <v>-73444.469999999987</v>
      </c>
      <c r="V95" s="526">
        <f t="shared" ref="V95:V101" si="46">S95/T95</f>
        <v>-0.2139746356892771</v>
      </c>
      <c r="W95" s="464">
        <f>++W92-W94</f>
        <v>12545.510000000017</v>
      </c>
      <c r="X95" s="486">
        <f>++X92-X94</f>
        <v>83907.719999999987</v>
      </c>
      <c r="Y95" s="486">
        <f>++Y92-Y94</f>
        <v>-71362.209999999963</v>
      </c>
      <c r="Z95" s="526">
        <f t="shared" ref="Z95:Z101" si="47">W95/X95</f>
        <v>0.1495155630495027</v>
      </c>
    </row>
    <row r="96" spans="2:26" outlineLevel="1" x14ac:dyDescent="0.25">
      <c r="B96" s="515"/>
      <c r="C96" s="273"/>
      <c r="D96" s="463"/>
      <c r="E96" s="463"/>
      <c r="F96" s="523"/>
      <c r="G96" s="273"/>
      <c r="H96" s="463"/>
      <c r="I96" s="463"/>
      <c r="J96" s="523"/>
      <c r="K96" s="273"/>
      <c r="L96" s="463"/>
      <c r="M96" s="463"/>
      <c r="N96" s="520"/>
      <c r="O96" s="273"/>
      <c r="P96" s="463"/>
      <c r="Q96" s="463"/>
      <c r="R96" s="520"/>
      <c r="S96" s="273"/>
      <c r="T96" s="463"/>
      <c r="U96" s="463"/>
      <c r="V96" s="520"/>
      <c r="W96" s="273"/>
      <c r="X96" s="463"/>
      <c r="Y96" s="463"/>
      <c r="Z96" s="520"/>
    </row>
    <row r="97" spans="2:26" ht="15.75" outlineLevel="1" thickBot="1" x14ac:dyDescent="0.3">
      <c r="B97" s="514" t="s">
        <v>1078</v>
      </c>
      <c r="C97" s="272">
        <f>++C84+C85+C83</f>
        <v>37208.1</v>
      </c>
      <c r="D97" s="462">
        <f>++D84+D85+D83</f>
        <v>25770.57</v>
      </c>
      <c r="E97" s="462">
        <f>++E84+E85+E83</f>
        <v>11437.53</v>
      </c>
      <c r="F97" s="522">
        <f t="shared" si="42"/>
        <v>1.443821382297714</v>
      </c>
      <c r="G97" s="272">
        <f>++G84+G85+G83</f>
        <v>17.04</v>
      </c>
      <c r="H97" s="462">
        <f t="shared" ref="H97:I97" si="48">++H84+H85+H83</f>
        <v>0</v>
      </c>
      <c r="I97" s="462">
        <f t="shared" si="48"/>
        <v>17.04</v>
      </c>
      <c r="J97" s="522">
        <v>0</v>
      </c>
      <c r="K97" s="272">
        <f>++K84+K85+K83</f>
        <v>0</v>
      </c>
      <c r="L97" s="462">
        <f t="shared" ref="L97:M97" si="49">++L84+L85+L83</f>
        <v>0</v>
      </c>
      <c r="M97" s="462">
        <f t="shared" si="49"/>
        <v>0</v>
      </c>
      <c r="N97" s="518">
        <v>0</v>
      </c>
      <c r="O97" s="272">
        <f>++O84+O85+O83</f>
        <v>0</v>
      </c>
      <c r="P97" s="462">
        <f t="shared" ref="P97:Q97" si="50">++P84+P85+P83</f>
        <v>0</v>
      </c>
      <c r="Q97" s="462">
        <f t="shared" si="50"/>
        <v>0</v>
      </c>
      <c r="R97" s="518">
        <v>0</v>
      </c>
      <c r="S97" s="272">
        <f>++S84+S85+S83</f>
        <v>0</v>
      </c>
      <c r="T97" s="462">
        <f t="shared" ref="T97:U97" si="51">++T84+T85+T83</f>
        <v>0</v>
      </c>
      <c r="U97" s="462">
        <f t="shared" si="51"/>
        <v>0</v>
      </c>
      <c r="V97" s="518">
        <v>0</v>
      </c>
      <c r="W97" s="272">
        <f>++W84+W85+W83</f>
        <v>37225.14</v>
      </c>
      <c r="X97" s="462">
        <f t="shared" ref="X97:Y97" si="52">++X84+X85+X83</f>
        <v>25770.57</v>
      </c>
      <c r="Y97" s="462">
        <f t="shared" si="52"/>
        <v>11454.570000000002</v>
      </c>
      <c r="Z97" s="518">
        <v>0</v>
      </c>
    </row>
    <row r="98" spans="2:26" ht="15.75" outlineLevel="1" thickBot="1" x14ac:dyDescent="0.3">
      <c r="B98" s="513" t="s">
        <v>264</v>
      </c>
      <c r="C98" s="464">
        <f>++C95-C97</f>
        <v>-126287.9</v>
      </c>
      <c r="D98" s="486">
        <f>++D95-D97</f>
        <v>-117990.47</v>
      </c>
      <c r="E98" s="486">
        <f>++E95-E97</f>
        <v>-8297.4299999999967</v>
      </c>
      <c r="F98" s="526">
        <f t="shared" si="42"/>
        <v>1.0703228828565561</v>
      </c>
      <c r="G98" s="464">
        <f>++G95-G97</f>
        <v>107042.73000000001</v>
      </c>
      <c r="H98" s="486">
        <f>++H95-H97</f>
        <v>59235.05</v>
      </c>
      <c r="I98" s="486">
        <f>++I95-I97</f>
        <v>47807.68</v>
      </c>
      <c r="J98" s="526">
        <f t="shared" si="43"/>
        <v>1.8070843191657642</v>
      </c>
      <c r="K98" s="464">
        <f>++K95-K97</f>
        <v>198.80999999999995</v>
      </c>
      <c r="L98" s="486">
        <f>++L95-L97</f>
        <v>6104.73</v>
      </c>
      <c r="M98" s="486">
        <f>++M95-M97</f>
        <v>-5905.92</v>
      </c>
      <c r="N98" s="526">
        <f t="shared" si="44"/>
        <v>3.2566550854828957E-2</v>
      </c>
      <c r="O98" s="464">
        <f>++O95-O97</f>
        <v>7312.0200000000041</v>
      </c>
      <c r="P98" s="486">
        <f>++P95-P97</f>
        <v>50288.659999999996</v>
      </c>
      <c r="Q98" s="486">
        <f>++Q95-Q97</f>
        <v>-42976.639999999992</v>
      </c>
      <c r="R98" s="526">
        <f t="shared" si="45"/>
        <v>0.14540097111356726</v>
      </c>
      <c r="S98" s="464">
        <f>++S95-S97</f>
        <v>-12945.289999999997</v>
      </c>
      <c r="T98" s="486">
        <f>++T95-T97</f>
        <v>60499.179999999986</v>
      </c>
      <c r="U98" s="486">
        <f>++U95-U97</f>
        <v>-73444.469999999987</v>
      </c>
      <c r="V98" s="526">
        <f t="shared" si="46"/>
        <v>-0.2139746356892771</v>
      </c>
      <c r="W98" s="464">
        <f>++W95-W97</f>
        <v>-24679.629999999983</v>
      </c>
      <c r="X98" s="486">
        <f>++X95-X97</f>
        <v>58137.149999999987</v>
      </c>
      <c r="Y98" s="486">
        <f>++Y95-Y97</f>
        <v>-82816.77999999997</v>
      </c>
      <c r="Z98" s="526">
        <f t="shared" si="47"/>
        <v>-0.42450704927916122</v>
      </c>
    </row>
    <row r="99" spans="2:26" outlineLevel="1" x14ac:dyDescent="0.25">
      <c r="B99" s="515"/>
      <c r="C99" s="273"/>
      <c r="D99" s="463"/>
      <c r="E99" s="463"/>
      <c r="F99" s="523"/>
      <c r="G99" s="273"/>
      <c r="H99" s="463"/>
      <c r="I99" s="463"/>
      <c r="J99" s="523"/>
      <c r="K99" s="273"/>
      <c r="L99" s="463"/>
      <c r="M99" s="463"/>
      <c r="N99" s="520"/>
      <c r="O99" s="273"/>
      <c r="P99" s="463"/>
      <c r="Q99" s="463"/>
      <c r="R99" s="520"/>
      <c r="S99" s="273"/>
      <c r="T99" s="463"/>
      <c r="U99" s="463"/>
      <c r="V99" s="520"/>
      <c r="W99" s="273"/>
      <c r="X99" s="463"/>
      <c r="Y99" s="463"/>
      <c r="Z99" s="520"/>
    </row>
    <row r="100" spans="2:26" ht="15.75" outlineLevel="1" thickBot="1" x14ac:dyDescent="0.3">
      <c r="B100" s="514" t="s">
        <v>265</v>
      </c>
      <c r="C100" s="272"/>
      <c r="D100" s="462"/>
      <c r="E100" s="462"/>
      <c r="F100" s="522"/>
      <c r="G100" s="272"/>
      <c r="H100" s="462"/>
      <c r="I100" s="462"/>
      <c r="J100" s="522"/>
      <c r="K100" s="272"/>
      <c r="L100" s="462"/>
      <c r="M100" s="462"/>
      <c r="N100" s="518"/>
      <c r="O100" s="272"/>
      <c r="P100" s="462"/>
      <c r="Q100" s="462"/>
      <c r="R100" s="518"/>
      <c r="S100" s="272"/>
      <c r="T100" s="462"/>
      <c r="U100" s="462"/>
      <c r="V100" s="518"/>
      <c r="W100" s="272"/>
      <c r="X100" s="462"/>
      <c r="Y100" s="462"/>
      <c r="Z100" s="518"/>
    </row>
    <row r="101" spans="2:26" ht="15.75" outlineLevel="1" thickBot="1" x14ac:dyDescent="0.3">
      <c r="B101" s="513" t="s">
        <v>266</v>
      </c>
      <c r="C101" s="464">
        <f>++C98-C100</f>
        <v>-126287.9</v>
      </c>
      <c r="D101" s="486">
        <f>++D98-D100</f>
        <v>-117990.47</v>
      </c>
      <c r="E101" s="486">
        <f>++E98-E100</f>
        <v>-8297.4299999999967</v>
      </c>
      <c r="F101" s="526">
        <f t="shared" si="42"/>
        <v>1.0703228828565561</v>
      </c>
      <c r="G101" s="464">
        <f>++G98-G100</f>
        <v>107042.73000000001</v>
      </c>
      <c r="H101" s="486">
        <f>++H98-H100</f>
        <v>59235.05</v>
      </c>
      <c r="I101" s="486">
        <f>++I98-I100</f>
        <v>47807.68</v>
      </c>
      <c r="J101" s="526">
        <f t="shared" si="43"/>
        <v>1.8070843191657642</v>
      </c>
      <c r="K101" s="464">
        <f>++K98-K100</f>
        <v>198.80999999999995</v>
      </c>
      <c r="L101" s="486">
        <f>++L98-L100</f>
        <v>6104.73</v>
      </c>
      <c r="M101" s="486">
        <f>++M98-M100</f>
        <v>-5905.92</v>
      </c>
      <c r="N101" s="526">
        <f t="shared" si="44"/>
        <v>3.2566550854828957E-2</v>
      </c>
      <c r="O101" s="464">
        <f>++O98-O100</f>
        <v>7312.0200000000041</v>
      </c>
      <c r="P101" s="486">
        <f>++P98-P100</f>
        <v>50288.659999999996</v>
      </c>
      <c r="Q101" s="486">
        <f>++Q98-Q100</f>
        <v>-42976.639999999992</v>
      </c>
      <c r="R101" s="526">
        <f t="shared" si="45"/>
        <v>0.14540097111356726</v>
      </c>
      <c r="S101" s="464">
        <f>++S98-S100</f>
        <v>-12945.289999999997</v>
      </c>
      <c r="T101" s="486">
        <f>++T98-T100</f>
        <v>60499.179999999986</v>
      </c>
      <c r="U101" s="486">
        <f>++U98-U100</f>
        <v>-73444.469999999987</v>
      </c>
      <c r="V101" s="526">
        <f t="shared" si="46"/>
        <v>-0.2139746356892771</v>
      </c>
      <c r="W101" s="464">
        <f>++W98-W100</f>
        <v>-24679.629999999983</v>
      </c>
      <c r="X101" s="486">
        <f>++X98-X100</f>
        <v>58137.149999999987</v>
      </c>
      <c r="Y101" s="486">
        <f>++Y98-Y100</f>
        <v>-82816.77999999997</v>
      </c>
      <c r="Z101" s="526">
        <f t="shared" si="47"/>
        <v>-0.42450704927916122</v>
      </c>
    </row>
    <row r="102" spans="2:26" outlineLevel="1" x14ac:dyDescent="0.25">
      <c r="B102" s="515"/>
      <c r="C102" s="273"/>
      <c r="D102" s="463"/>
      <c r="E102" s="463"/>
      <c r="F102" s="523"/>
      <c r="G102" s="273"/>
      <c r="H102" s="463"/>
      <c r="I102" s="463"/>
      <c r="J102" s="520"/>
      <c r="K102" s="273"/>
      <c r="L102" s="463"/>
      <c r="M102" s="463"/>
      <c r="N102" s="520"/>
      <c r="O102" s="273"/>
      <c r="P102" s="463"/>
      <c r="Q102" s="463"/>
      <c r="R102" s="520"/>
      <c r="S102" s="273"/>
      <c r="T102" s="463"/>
      <c r="U102" s="463"/>
      <c r="V102" s="520"/>
      <c r="W102" s="273"/>
      <c r="X102" s="463"/>
      <c r="Y102" s="463"/>
      <c r="Z102" s="520"/>
    </row>
    <row r="103" spans="2:26" ht="15.75" outlineLevel="1" thickBot="1" x14ac:dyDescent="0.3">
      <c r="B103" s="515"/>
      <c r="C103" s="273"/>
      <c r="D103" s="463"/>
      <c r="E103" s="463"/>
      <c r="F103" s="523"/>
      <c r="G103" s="273"/>
      <c r="H103" s="463"/>
      <c r="I103" s="463"/>
      <c r="J103" s="520"/>
      <c r="K103" s="273"/>
      <c r="L103" s="463"/>
      <c r="M103" s="463"/>
      <c r="N103" s="520"/>
      <c r="O103" s="273"/>
      <c r="P103" s="463"/>
      <c r="Q103" s="463"/>
      <c r="R103" s="520"/>
      <c r="S103" s="273"/>
      <c r="T103" s="463"/>
      <c r="U103" s="463"/>
      <c r="V103" s="520"/>
      <c r="W103" s="273"/>
      <c r="X103" s="463"/>
      <c r="Y103" s="463"/>
      <c r="Z103" s="520"/>
    </row>
    <row r="104" spans="2:26" ht="15.75" outlineLevel="1" thickBot="1" x14ac:dyDescent="0.3">
      <c r="B104" s="516" t="s">
        <v>267</v>
      </c>
      <c r="C104" s="274">
        <f t="shared" ref="C104:D104" si="53">++C101-C90</f>
        <v>0</v>
      </c>
      <c r="D104" s="275">
        <f t="shared" si="53"/>
        <v>0</v>
      </c>
      <c r="E104" s="275">
        <f t="shared" ref="E104" si="54">++E101-E90</f>
        <v>0</v>
      </c>
      <c r="F104" s="275">
        <f>++F101-F90</f>
        <v>0</v>
      </c>
      <c r="G104" s="274">
        <f t="shared" ref="G104:I104" si="55">++G101-G90</f>
        <v>0</v>
      </c>
      <c r="H104" s="275">
        <f t="shared" si="55"/>
        <v>0</v>
      </c>
      <c r="I104" s="275">
        <f t="shared" si="55"/>
        <v>0</v>
      </c>
      <c r="J104" s="275">
        <f>IFERROR((++J101-J90),0)</f>
        <v>0</v>
      </c>
      <c r="K104" s="274">
        <f t="shared" ref="K104:M104" si="56">++K101-K90</f>
        <v>0</v>
      </c>
      <c r="L104" s="275">
        <f t="shared" si="56"/>
        <v>0</v>
      </c>
      <c r="M104" s="275">
        <f t="shared" si="56"/>
        <v>0</v>
      </c>
      <c r="N104" s="275">
        <f>IFERROR((++N101-N90),0)</f>
        <v>0</v>
      </c>
      <c r="O104" s="274">
        <f t="shared" ref="O104:Q104" si="57">++O101-O90</f>
        <v>0</v>
      </c>
      <c r="P104" s="275">
        <f t="shared" si="57"/>
        <v>0</v>
      </c>
      <c r="Q104" s="275">
        <f t="shared" si="57"/>
        <v>0</v>
      </c>
      <c r="R104" s="275">
        <f>IFERROR((++R101-R90),0)</f>
        <v>0</v>
      </c>
      <c r="S104" s="274">
        <f t="shared" ref="S104:U104" si="58">++S101-S90</f>
        <v>0</v>
      </c>
      <c r="T104" s="275">
        <f t="shared" si="58"/>
        <v>0</v>
      </c>
      <c r="U104" s="275">
        <f t="shared" si="58"/>
        <v>0</v>
      </c>
      <c r="V104" s="275">
        <f>IFERROR((++V101-V90),0)</f>
        <v>0</v>
      </c>
      <c r="W104" s="274">
        <f t="shared" ref="W104:Z104" si="59">++W101-W90</f>
        <v>0</v>
      </c>
      <c r="X104" s="275">
        <f t="shared" si="59"/>
        <v>0</v>
      </c>
      <c r="Y104" s="275">
        <f t="shared" si="59"/>
        <v>0</v>
      </c>
      <c r="Z104" s="521">
        <f t="shared" si="59"/>
        <v>0</v>
      </c>
    </row>
  </sheetData>
  <mergeCells count="6">
    <mergeCell ref="C7:F7"/>
    <mergeCell ref="G7:J7"/>
    <mergeCell ref="O7:R7"/>
    <mergeCell ref="S7:V7"/>
    <mergeCell ref="W7:Z7"/>
    <mergeCell ref="K7:N7"/>
  </mergeCells>
  <conditionalFormatting sqref="B33">
    <cfRule type="duplicateValues" dxfId="18" priority="1"/>
  </conditionalFormatting>
  <conditionalFormatting sqref="B34:B1048576 B1:B32">
    <cfRule type="duplicateValues" dxfId="17" priority="2"/>
  </conditionalFormatting>
  <hyperlinks>
    <hyperlink ref="J2" location="Index!A1" display="Home" xr:uid="{DBE423C9-C544-4061-8BC4-90978DBA1D88}"/>
    <hyperlink ref="J4" location="P_L" display="Profit &amp; Loss" xr:uid="{17DEDAF7-3DDE-4206-8EAF-1FFF71BCE5EF}"/>
    <hyperlink ref="J3" location="BS!A1" display="Balance Sheet" xr:uid="{1CE556D1-5BF6-4C9D-9259-500C0D9973D3}"/>
    <hyperlink ref="J5" location="PL_YTD" display="PL-Division (YTD)" xr:uid="{8C6E8ADF-4DAB-4412-983F-5B9644D8E34F}"/>
  </hyperlinks>
  <pageMargins left="0.7" right="0.7" top="0.75" bottom="0.75" header="0.3" footer="0.3"/>
  <ignoredErrors>
    <ignoredError sqref="Z91 F91:G91 J91:K91 N91:O91 R91:S91 V91:W91" formula="1"/>
  </ignoredError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2525-F802-49A9-9B78-C2A3A92D4297}">
  <sheetPr codeName="Sheet9">
    <tabColor rgb="FFFFFF00"/>
  </sheetPr>
  <dimension ref="B1:Z105"/>
  <sheetViews>
    <sheetView showGridLines="0" zoomScaleNormal="100" workbookViewId="0">
      <pane xSplit="2" ySplit="9" topLeftCell="C10" activePane="bottomRight" state="frozen"/>
      <selection activeCell="A8" sqref="A8"/>
      <selection pane="topRight" activeCell="A8" sqref="A8"/>
      <selection pane="bottomLeft" activeCell="A8" sqref="A8"/>
      <selection pane="bottomRight" activeCell="I20" sqref="I20"/>
    </sheetView>
  </sheetViews>
  <sheetFormatPr defaultColWidth="10.7109375" defaultRowHeight="15" outlineLevelRow="1" x14ac:dyDescent="0.25"/>
  <cols>
    <col min="1" max="1" width="2.7109375" style="69" customWidth="1"/>
    <col min="2" max="2" width="48.85546875" style="69" bestFit="1" customWidth="1"/>
    <col min="3" max="3" width="12.5703125" style="70" bestFit="1" customWidth="1"/>
    <col min="4" max="4" width="12.5703125" style="69" bestFit="1" customWidth="1"/>
    <col min="5" max="5" width="10.85546875" style="70" bestFit="1" customWidth="1"/>
    <col min="6" max="6" width="9.140625" style="69" bestFit="1" customWidth="1"/>
    <col min="7" max="8" width="11.85546875" style="69" bestFit="1" customWidth="1"/>
    <col min="9" max="9" width="10.85546875" style="70" bestFit="1" customWidth="1"/>
    <col min="10" max="10" width="9.140625" style="69" bestFit="1" customWidth="1"/>
    <col min="11" max="11" width="10.5703125" style="70" bestFit="1" customWidth="1"/>
    <col min="12" max="12" width="10.85546875" style="69" bestFit="1" customWidth="1"/>
    <col min="13" max="13" width="11.5703125" style="70" bestFit="1" customWidth="1"/>
    <col min="14" max="14" width="8.5703125" style="69" bestFit="1" customWidth="1"/>
    <col min="15" max="15" width="10.85546875" style="69" bestFit="1" customWidth="1"/>
    <col min="16" max="16" width="11.85546875" style="69" bestFit="1" customWidth="1"/>
    <col min="17" max="17" width="12.5703125" style="69" bestFit="1" customWidth="1"/>
    <col min="18" max="18" width="8.140625" style="69" bestFit="1" customWidth="1"/>
    <col min="19" max="19" width="11.5703125" style="69" bestFit="1" customWidth="1"/>
    <col min="20" max="20" width="11.85546875" style="69" bestFit="1" customWidth="1"/>
    <col min="21" max="21" width="12.5703125" style="69" bestFit="1" customWidth="1"/>
    <col min="22" max="22" width="8.5703125" style="69" bestFit="1" customWidth="1"/>
    <col min="23" max="23" width="12.5703125" style="69" bestFit="1" customWidth="1"/>
    <col min="24" max="24" width="12.140625" style="69" bestFit="1" customWidth="1"/>
    <col min="25" max="25" width="12.5703125" style="69" bestFit="1" customWidth="1"/>
    <col min="26" max="26" width="9.5703125" style="69" bestFit="1" customWidth="1"/>
    <col min="27" max="16384" width="10.7109375" style="69"/>
  </cols>
  <sheetData>
    <row r="1" spans="2:26" ht="15.75" thickBot="1" x14ac:dyDescent="0.3"/>
    <row r="2" spans="2:26" ht="15.75" x14ac:dyDescent="0.25">
      <c r="B2" s="228" t="str">
        <f>Cover!A3</f>
        <v>Pacific Nexus</v>
      </c>
      <c r="C2" s="69"/>
      <c r="E2" s="69"/>
      <c r="I2" s="69"/>
      <c r="K2" s="69"/>
      <c r="M2" s="69"/>
      <c r="P2" s="151" t="s">
        <v>45</v>
      </c>
    </row>
    <row r="3" spans="2:26" ht="15.75" x14ac:dyDescent="0.25">
      <c r="B3" s="229" t="s">
        <v>268</v>
      </c>
      <c r="C3" s="69"/>
      <c r="E3" s="69"/>
      <c r="I3" s="69"/>
      <c r="K3" s="69"/>
      <c r="M3" s="69"/>
      <c r="P3" s="238" t="s">
        <v>47</v>
      </c>
    </row>
    <row r="4" spans="2:26" ht="16.5" thickBot="1" x14ac:dyDescent="0.3">
      <c r="B4" s="230" t="str">
        <f>Index!A2</f>
        <v>Period Ending 03/31/2026</v>
      </c>
      <c r="C4" s="69"/>
      <c r="E4" s="69"/>
      <c r="I4" s="69"/>
      <c r="K4" s="69"/>
      <c r="M4" s="69"/>
      <c r="P4" s="238" t="s">
        <v>46</v>
      </c>
    </row>
    <row r="5" spans="2:26" x14ac:dyDescent="0.25">
      <c r="P5" s="238" t="s">
        <v>36</v>
      </c>
    </row>
    <row r="6" spans="2:26" x14ac:dyDescent="0.25">
      <c r="P6" s="238"/>
    </row>
    <row r="7" spans="2:26" ht="15.75" thickBot="1" x14ac:dyDescent="0.3">
      <c r="P7" s="238"/>
    </row>
    <row r="8" spans="2:26" ht="15" customHeight="1" x14ac:dyDescent="0.25">
      <c r="B8" s="163"/>
      <c r="C8" s="869" t="s">
        <v>1071</v>
      </c>
      <c r="D8" s="870"/>
      <c r="E8" s="870"/>
      <c r="F8" s="871"/>
      <c r="G8" s="869" t="s">
        <v>1072</v>
      </c>
      <c r="H8" s="870"/>
      <c r="I8" s="870"/>
      <c r="J8" s="871"/>
      <c r="K8" s="872" t="s">
        <v>1073</v>
      </c>
      <c r="L8" s="873"/>
      <c r="M8" s="873"/>
      <c r="N8" s="874"/>
      <c r="O8" s="869" t="s">
        <v>1074</v>
      </c>
      <c r="P8" s="870"/>
      <c r="Q8" s="870"/>
      <c r="R8" s="871"/>
      <c r="S8" s="869" t="s">
        <v>1075</v>
      </c>
      <c r="T8" s="870"/>
      <c r="U8" s="870"/>
      <c r="V8" s="871"/>
      <c r="W8" s="869" t="s">
        <v>145</v>
      </c>
      <c r="X8" s="870"/>
      <c r="Y8" s="870"/>
      <c r="Z8" s="871"/>
    </row>
    <row r="9" spans="2:26" ht="30.75" customHeight="1" thickBot="1" x14ac:dyDescent="0.3">
      <c r="B9" s="164"/>
      <c r="C9" s="408" t="s">
        <v>179</v>
      </c>
      <c r="D9" s="466" t="s">
        <v>180</v>
      </c>
      <c r="E9" s="466" t="s">
        <v>181</v>
      </c>
      <c r="F9" s="165" t="s">
        <v>182</v>
      </c>
      <c r="G9" s="408" t="s">
        <v>179</v>
      </c>
      <c r="H9" s="466" t="s">
        <v>180</v>
      </c>
      <c r="I9" s="466" t="s">
        <v>181</v>
      </c>
      <c r="J9" s="165" t="s">
        <v>182</v>
      </c>
      <c r="K9" s="408" t="s">
        <v>179</v>
      </c>
      <c r="L9" s="466" t="s">
        <v>180</v>
      </c>
      <c r="M9" s="466" t="s">
        <v>181</v>
      </c>
      <c r="N9" s="165" t="s">
        <v>182</v>
      </c>
      <c r="O9" s="408" t="s">
        <v>179</v>
      </c>
      <c r="P9" s="466" t="s">
        <v>180</v>
      </c>
      <c r="Q9" s="466" t="s">
        <v>181</v>
      </c>
      <c r="R9" s="165" t="s">
        <v>182</v>
      </c>
      <c r="S9" s="408" t="s">
        <v>179</v>
      </c>
      <c r="T9" s="466" t="s">
        <v>180</v>
      </c>
      <c r="U9" s="466" t="s">
        <v>181</v>
      </c>
      <c r="V9" s="165" t="s">
        <v>182</v>
      </c>
      <c r="W9" s="408" t="s">
        <v>179</v>
      </c>
      <c r="X9" s="466" t="s">
        <v>180</v>
      </c>
      <c r="Y9" s="466" t="s">
        <v>181</v>
      </c>
      <c r="Z9" s="165" t="s">
        <v>182</v>
      </c>
    </row>
    <row r="10" spans="2:26" x14ac:dyDescent="0.25">
      <c r="B10" s="120" t="s">
        <v>183</v>
      </c>
      <c r="C10" s="166"/>
      <c r="D10" s="170"/>
      <c r="E10" s="170"/>
      <c r="F10" s="472"/>
      <c r="G10" s="166"/>
      <c r="H10" s="170"/>
      <c r="I10" s="170"/>
      <c r="J10" s="472"/>
      <c r="K10" s="166"/>
      <c r="L10" s="170"/>
      <c r="M10" s="170"/>
      <c r="N10" s="478"/>
      <c r="O10" s="166"/>
      <c r="P10" s="170"/>
      <c r="Q10" s="170"/>
      <c r="R10" s="472"/>
      <c r="S10" s="166"/>
      <c r="T10" s="170"/>
      <c r="U10" s="170"/>
      <c r="V10" s="472"/>
      <c r="W10" s="166"/>
      <c r="X10" s="170"/>
      <c r="Y10" s="170"/>
      <c r="Z10" s="472"/>
    </row>
    <row r="11" spans="2:26" x14ac:dyDescent="0.25">
      <c r="B11" s="120" t="s">
        <v>184</v>
      </c>
      <c r="C11" s="166"/>
      <c r="D11" s="170"/>
      <c r="E11" s="170">
        <f>(C11)-(D11)</f>
        <v>0</v>
      </c>
      <c r="F11" s="472" t="str">
        <f>IF(D11=0,"",(C11)/(D11))</f>
        <v/>
      </c>
      <c r="G11" s="166">
        <f>341703.51</f>
        <v>341703.51</v>
      </c>
      <c r="H11" s="170">
        <f>300000</f>
        <v>300000</v>
      </c>
      <c r="I11" s="170">
        <f>(G11)-(H11)</f>
        <v>41703.510000000009</v>
      </c>
      <c r="J11" s="472">
        <f>IF(H11=0,"",(G11)/(H11))</f>
        <v>1.1390117</v>
      </c>
      <c r="K11" s="166">
        <f>1189.19</f>
        <v>1189.19</v>
      </c>
      <c r="L11" s="170">
        <f>24999.99</f>
        <v>24999.99</v>
      </c>
      <c r="M11" s="170">
        <f>(K11)-(L11)</f>
        <v>-23810.800000000003</v>
      </c>
      <c r="N11" s="472">
        <f>IF(L11=0,"",(K11)/(L11))</f>
        <v>4.7567619027047613E-2</v>
      </c>
      <c r="O11" s="166">
        <f>187005.08</f>
        <v>187005.08</v>
      </c>
      <c r="P11" s="170">
        <f>312500.01</f>
        <v>312500.01</v>
      </c>
      <c r="Q11" s="170">
        <f>(O11)-(P11)</f>
        <v>-125494.93000000002</v>
      </c>
      <c r="R11" s="472">
        <f>IF(P11=0,"",(O11)/(P11))</f>
        <v>0.59841623685068035</v>
      </c>
      <c r="S11" s="166">
        <f>187864.37</f>
        <v>187864.37</v>
      </c>
      <c r="T11" s="170">
        <f>399999.99</f>
        <v>399999.99</v>
      </c>
      <c r="U11" s="170">
        <f>(S11)-(T11)</f>
        <v>-212135.62</v>
      </c>
      <c r="V11" s="472">
        <f>IF(T11=0,"",(S11)/(T11))</f>
        <v>0.46966093674152343</v>
      </c>
      <c r="W11" s="166">
        <f t="shared" ref="W11:X13" si="0">((((C11)+(G11))+(K11))+(O11))+(S11)</f>
        <v>717762.15</v>
      </c>
      <c r="X11" s="170">
        <f t="shared" si="0"/>
        <v>1037499.99</v>
      </c>
      <c r="Y11" s="170">
        <f>(W11)-(X11)</f>
        <v>-319737.83999999997</v>
      </c>
      <c r="Z11" s="472">
        <f>IF(X11=0,"",(W11)/(X11))</f>
        <v>0.69181894642717057</v>
      </c>
    </row>
    <row r="12" spans="2:26" ht="15.75" thickBot="1" x14ac:dyDescent="0.3">
      <c r="B12" s="120" t="s">
        <v>185</v>
      </c>
      <c r="C12" s="166"/>
      <c r="D12" s="170"/>
      <c r="E12" s="170">
        <f>(C12)-(D12)</f>
        <v>0</v>
      </c>
      <c r="F12" s="472" t="str">
        <f>IF(D12=0,"",(C12)/(D12))</f>
        <v/>
      </c>
      <c r="G12" s="166"/>
      <c r="H12" s="170"/>
      <c r="I12" s="170">
        <f>(G12)-(H12)</f>
        <v>0</v>
      </c>
      <c r="J12" s="472" t="str">
        <f>IF(H12=0,"",(G12)/(H12))</f>
        <v/>
      </c>
      <c r="K12" s="166"/>
      <c r="L12" s="170"/>
      <c r="M12" s="170">
        <f>(K12)-(L12)</f>
        <v>0</v>
      </c>
      <c r="N12" s="472" t="str">
        <f>IF(L12=0,"",(K12)/(L12))</f>
        <v/>
      </c>
      <c r="O12" s="166"/>
      <c r="P12" s="170"/>
      <c r="Q12" s="170">
        <f>(O12)-(P12)</f>
        <v>0</v>
      </c>
      <c r="R12" s="472" t="str">
        <f>IF(P12=0,"",(O12)/(P12))</f>
        <v/>
      </c>
      <c r="S12" s="166">
        <f>-3363.73</f>
        <v>-3363.73</v>
      </c>
      <c r="T12" s="170"/>
      <c r="U12" s="170">
        <f>(S12)-(T12)</f>
        <v>-3363.73</v>
      </c>
      <c r="V12" s="472" t="str">
        <f>IF(T12=0,"",(S12)/(T12))</f>
        <v/>
      </c>
      <c r="W12" s="166">
        <f t="shared" si="0"/>
        <v>-3363.73</v>
      </c>
      <c r="X12" s="170">
        <f t="shared" si="0"/>
        <v>0</v>
      </c>
      <c r="Y12" s="170">
        <f>(W12)-(X12)</f>
        <v>-3363.73</v>
      </c>
      <c r="Z12" s="472" t="str">
        <f>IF(X12=0,"",(W12)/(X12))</f>
        <v/>
      </c>
    </row>
    <row r="13" spans="2:26" ht="15.75" thickBot="1" x14ac:dyDescent="0.3">
      <c r="B13" s="219" t="s">
        <v>186</v>
      </c>
      <c r="C13" s="220">
        <f>(C11)+(C12)</f>
        <v>0</v>
      </c>
      <c r="D13" s="467">
        <f>(D11)+(D12)</f>
        <v>0</v>
      </c>
      <c r="E13" s="467">
        <f>(C13)-(D13)</f>
        <v>0</v>
      </c>
      <c r="F13" s="473" t="str">
        <f>IF(D13=0,"",(C13)/(D13))</f>
        <v/>
      </c>
      <c r="G13" s="220">
        <f>(G11)+(G12)</f>
        <v>341703.51</v>
      </c>
      <c r="H13" s="467">
        <f>(H11)+(H12)</f>
        <v>300000</v>
      </c>
      <c r="I13" s="467">
        <f>(G13)-(H13)</f>
        <v>41703.510000000009</v>
      </c>
      <c r="J13" s="473">
        <f>IF(H13=0,"",(G13)/(H13))</f>
        <v>1.1390117</v>
      </c>
      <c r="K13" s="220">
        <f>(K11)+(K12)</f>
        <v>1189.19</v>
      </c>
      <c r="L13" s="467">
        <f>(L11)+(L12)</f>
        <v>24999.99</v>
      </c>
      <c r="M13" s="467">
        <f>(K13)-(L13)</f>
        <v>-23810.800000000003</v>
      </c>
      <c r="N13" s="473">
        <f>IF(L13=0,"",(K13)/(L13))</f>
        <v>4.7567619027047613E-2</v>
      </c>
      <c r="O13" s="220">
        <f>(O11)+(O12)</f>
        <v>187005.08</v>
      </c>
      <c r="P13" s="467">
        <f>(P11)+(P12)</f>
        <v>312500.01</v>
      </c>
      <c r="Q13" s="467">
        <f>(O13)-(P13)</f>
        <v>-125494.93000000002</v>
      </c>
      <c r="R13" s="473">
        <f>IF(P13=0,"",(O13)/(P13))</f>
        <v>0.59841623685068035</v>
      </c>
      <c r="S13" s="220">
        <f>(S11)+(S12)</f>
        <v>184500.63999999998</v>
      </c>
      <c r="T13" s="467">
        <f>(T11)+(T12)</f>
        <v>399999.99</v>
      </c>
      <c r="U13" s="467">
        <f>(S13)-(T13)</f>
        <v>-215499.35</v>
      </c>
      <c r="V13" s="473">
        <f>IF(T13=0,"",(S13)/(T13))</f>
        <v>0.46125161153129024</v>
      </c>
      <c r="W13" s="220">
        <f t="shared" si="0"/>
        <v>714398.42</v>
      </c>
      <c r="X13" s="467">
        <f t="shared" si="0"/>
        <v>1037499.99</v>
      </c>
      <c r="Y13" s="467">
        <f>(W13)-(X13)</f>
        <v>-323101.56999999995</v>
      </c>
      <c r="Z13" s="473">
        <f>IF(X13=0,"",(W13)/(X13))</f>
        <v>0.68857679699833063</v>
      </c>
    </row>
    <row r="14" spans="2:26" x14ac:dyDescent="0.25">
      <c r="B14" s="120" t="s">
        <v>187</v>
      </c>
      <c r="C14" s="166"/>
      <c r="D14" s="170"/>
      <c r="E14" s="170"/>
      <c r="F14" s="472"/>
      <c r="G14" s="166"/>
      <c r="H14" s="170"/>
      <c r="I14" s="170"/>
      <c r="J14" s="472"/>
      <c r="K14" s="166"/>
      <c r="L14" s="170"/>
      <c r="M14" s="170"/>
      <c r="N14" s="472"/>
      <c r="O14" s="166"/>
      <c r="P14" s="170"/>
      <c r="Q14" s="170"/>
      <c r="R14" s="472"/>
      <c r="S14" s="166"/>
      <c r="T14" s="170"/>
      <c r="U14" s="170"/>
      <c r="V14" s="472"/>
      <c r="W14" s="166"/>
      <c r="X14" s="170"/>
      <c r="Y14" s="170"/>
      <c r="Z14" s="472"/>
    </row>
    <row r="15" spans="2:26" x14ac:dyDescent="0.25">
      <c r="B15" s="120" t="s">
        <v>188</v>
      </c>
      <c r="C15" s="166">
        <f>293.54</f>
        <v>293.54000000000002</v>
      </c>
      <c r="D15" s="170"/>
      <c r="E15" s="170">
        <f t="shared" ref="E15:E21" si="1">(C15)-(D15)</f>
        <v>293.54000000000002</v>
      </c>
      <c r="F15" s="472" t="str">
        <f t="shared" ref="F15:F21" si="2">IF(D15=0,"",(C15)/(D15))</f>
        <v/>
      </c>
      <c r="G15" s="166">
        <f>27679.2</f>
        <v>27679.200000000001</v>
      </c>
      <c r="H15" s="170">
        <f>39000</f>
        <v>39000</v>
      </c>
      <c r="I15" s="170">
        <f t="shared" ref="I15:I21" si="3">(G15)-(H15)</f>
        <v>-11320.8</v>
      </c>
      <c r="J15" s="472">
        <f t="shared" ref="J15:J21" si="4">IF(H15=0,"",(G15)/(H15))</f>
        <v>0.7097230769230769</v>
      </c>
      <c r="K15" s="166"/>
      <c r="L15" s="170">
        <f>3249.99</f>
        <v>3249.99</v>
      </c>
      <c r="M15" s="170">
        <f t="shared" ref="M15:M21" si="5">(K15)-(L15)</f>
        <v>-3249.99</v>
      </c>
      <c r="N15" s="472">
        <f t="shared" ref="N15:N21" si="6">IF(L15=0,"",(K15)/(L15))</f>
        <v>0</v>
      </c>
      <c r="O15" s="166">
        <f>9458.81</f>
        <v>9458.81</v>
      </c>
      <c r="P15" s="170">
        <f>40625.01</f>
        <v>40625.01</v>
      </c>
      <c r="Q15" s="170">
        <f t="shared" ref="Q15:Q21" si="7">(O15)-(P15)</f>
        <v>-31166.200000000004</v>
      </c>
      <c r="R15" s="472">
        <f t="shared" ref="R15:R21" si="8">IF(P15=0,"",(O15)/(P15))</f>
        <v>0.23283218884130732</v>
      </c>
      <c r="S15" s="166">
        <f>49909.42</f>
        <v>49909.42</v>
      </c>
      <c r="T15" s="170">
        <f>51999.99</f>
        <v>51999.99</v>
      </c>
      <c r="U15" s="170">
        <f t="shared" ref="U15:U21" si="9">(S15)-(T15)</f>
        <v>-2090.5699999999997</v>
      </c>
      <c r="V15" s="472">
        <f t="shared" ref="V15:V21" si="10">IF(T15=0,"",(S15)/(T15))</f>
        <v>0.95979672303783137</v>
      </c>
      <c r="W15" s="166">
        <f t="shared" ref="W15:X21" si="11">((((C15)+(G15))+(K15))+(O15))+(S15)</f>
        <v>87340.97</v>
      </c>
      <c r="X15" s="170">
        <f t="shared" si="11"/>
        <v>134874.99</v>
      </c>
      <c r="Y15" s="170">
        <f t="shared" ref="Y15:Y21" si="12">(W15)-(X15)</f>
        <v>-47534.01999999999</v>
      </c>
      <c r="Z15" s="472">
        <f t="shared" ref="Z15:Z21" si="13">IF(X15=0,"",(W15)/(X15))</f>
        <v>0.6475697977808933</v>
      </c>
    </row>
    <row r="16" spans="2:26" x14ac:dyDescent="0.25">
      <c r="B16" s="120" t="s">
        <v>1278</v>
      </c>
      <c r="C16" s="166"/>
      <c r="D16" s="170"/>
      <c r="E16" s="170">
        <f t="shared" si="1"/>
        <v>0</v>
      </c>
      <c r="F16" s="472" t="str">
        <f t="shared" si="2"/>
        <v/>
      </c>
      <c r="G16" s="166"/>
      <c r="H16" s="170"/>
      <c r="I16" s="170">
        <f t="shared" si="3"/>
        <v>0</v>
      </c>
      <c r="J16" s="472" t="str">
        <f t="shared" si="4"/>
        <v/>
      </c>
      <c r="K16" s="166"/>
      <c r="L16" s="170"/>
      <c r="M16" s="170">
        <f t="shared" si="5"/>
        <v>0</v>
      </c>
      <c r="N16" s="472" t="str">
        <f t="shared" si="6"/>
        <v/>
      </c>
      <c r="O16" s="166">
        <v>0</v>
      </c>
      <c r="P16" s="170"/>
      <c r="Q16" s="170">
        <f t="shared" si="7"/>
        <v>0</v>
      </c>
      <c r="R16" s="472" t="str">
        <f t="shared" si="8"/>
        <v/>
      </c>
      <c r="S16" s="166"/>
      <c r="T16" s="170"/>
      <c r="U16" s="170">
        <f t="shared" si="9"/>
        <v>0</v>
      </c>
      <c r="V16" s="472" t="str">
        <f t="shared" si="10"/>
        <v/>
      </c>
      <c r="W16" s="166">
        <f t="shared" si="11"/>
        <v>0</v>
      </c>
      <c r="X16" s="170">
        <f t="shared" si="11"/>
        <v>0</v>
      </c>
      <c r="Y16" s="170">
        <f t="shared" si="12"/>
        <v>0</v>
      </c>
      <c r="Z16" s="472" t="str">
        <f t="shared" si="13"/>
        <v/>
      </c>
    </row>
    <row r="17" spans="2:26" x14ac:dyDescent="0.25">
      <c r="B17" s="120" t="s">
        <v>189</v>
      </c>
      <c r="C17" s="166"/>
      <c r="D17" s="170"/>
      <c r="E17" s="170">
        <f t="shared" si="1"/>
        <v>0</v>
      </c>
      <c r="F17" s="472" t="str">
        <f t="shared" si="2"/>
        <v/>
      </c>
      <c r="G17" s="166">
        <f>44070.92</f>
        <v>44070.92</v>
      </c>
      <c r="H17" s="170">
        <f>3419.61</f>
        <v>3419.61</v>
      </c>
      <c r="I17" s="170">
        <f t="shared" si="3"/>
        <v>40651.31</v>
      </c>
      <c r="J17" s="472">
        <f t="shared" si="4"/>
        <v>12.887703568535592</v>
      </c>
      <c r="K17" s="166">
        <f>0</f>
        <v>0</v>
      </c>
      <c r="L17" s="170"/>
      <c r="M17" s="170">
        <f t="shared" si="5"/>
        <v>0</v>
      </c>
      <c r="N17" s="472" t="str">
        <f t="shared" si="6"/>
        <v/>
      </c>
      <c r="O17" s="166">
        <f>72626.48</f>
        <v>72626.48</v>
      </c>
      <c r="P17" s="170">
        <f>85406.07</f>
        <v>85406.07</v>
      </c>
      <c r="Q17" s="170">
        <f t="shared" si="7"/>
        <v>-12779.590000000011</v>
      </c>
      <c r="R17" s="472">
        <f t="shared" si="8"/>
        <v>0.85036672451969741</v>
      </c>
      <c r="S17" s="166">
        <f>157318.03</f>
        <v>157318.03</v>
      </c>
      <c r="T17" s="170">
        <f>140571.06</f>
        <v>140571.06</v>
      </c>
      <c r="U17" s="170">
        <f t="shared" si="9"/>
        <v>16746.97</v>
      </c>
      <c r="V17" s="472">
        <f t="shared" si="10"/>
        <v>1.1191352615538361</v>
      </c>
      <c r="W17" s="166">
        <f t="shared" si="11"/>
        <v>274015.43</v>
      </c>
      <c r="X17" s="170">
        <f t="shared" si="11"/>
        <v>229396.74</v>
      </c>
      <c r="Y17" s="170">
        <f t="shared" si="12"/>
        <v>44618.69</v>
      </c>
      <c r="Z17" s="472">
        <f t="shared" si="13"/>
        <v>1.1945044641872418</v>
      </c>
    </row>
    <row r="18" spans="2:26" x14ac:dyDescent="0.25">
      <c r="B18" s="120" t="s">
        <v>190</v>
      </c>
      <c r="C18" s="166"/>
      <c r="D18" s="170"/>
      <c r="E18" s="170">
        <f t="shared" si="1"/>
        <v>0</v>
      </c>
      <c r="F18" s="472" t="str">
        <f t="shared" si="2"/>
        <v/>
      </c>
      <c r="G18" s="166">
        <f>4316.76</f>
        <v>4316.76</v>
      </c>
      <c r="H18" s="170">
        <f>273.57</f>
        <v>273.57</v>
      </c>
      <c r="I18" s="170">
        <f t="shared" si="3"/>
        <v>4043.19</v>
      </c>
      <c r="J18" s="472">
        <f t="shared" si="4"/>
        <v>15.779361772124137</v>
      </c>
      <c r="K18" s="166">
        <f>0</f>
        <v>0</v>
      </c>
      <c r="L18" s="170"/>
      <c r="M18" s="170">
        <f t="shared" si="5"/>
        <v>0</v>
      </c>
      <c r="N18" s="472" t="str">
        <f t="shared" si="6"/>
        <v/>
      </c>
      <c r="O18" s="166">
        <f>6218.69</f>
        <v>6218.69</v>
      </c>
      <c r="P18" s="170">
        <f>6832.5</f>
        <v>6832.5</v>
      </c>
      <c r="Q18" s="170">
        <f t="shared" si="7"/>
        <v>-613.8100000000004</v>
      </c>
      <c r="R18" s="472">
        <f t="shared" si="8"/>
        <v>0.91016319063300399</v>
      </c>
      <c r="S18" s="166">
        <f>14733.18</f>
        <v>14733.18</v>
      </c>
      <c r="T18" s="170">
        <f>11245.68</f>
        <v>11245.68</v>
      </c>
      <c r="U18" s="170">
        <f t="shared" si="9"/>
        <v>3487.5</v>
      </c>
      <c r="V18" s="472">
        <f t="shared" si="10"/>
        <v>1.31011908572892</v>
      </c>
      <c r="W18" s="166">
        <f t="shared" si="11"/>
        <v>25268.63</v>
      </c>
      <c r="X18" s="170">
        <f t="shared" si="11"/>
        <v>18351.75</v>
      </c>
      <c r="Y18" s="170">
        <f t="shared" si="12"/>
        <v>6916.880000000001</v>
      </c>
      <c r="Z18" s="472">
        <f t="shared" si="13"/>
        <v>1.3769057446837496</v>
      </c>
    </row>
    <row r="19" spans="2:26" ht="15.75" thickBot="1" x14ac:dyDescent="0.3">
      <c r="B19" s="120" t="s">
        <v>191</v>
      </c>
      <c r="C19" s="166"/>
      <c r="D19" s="170"/>
      <c r="E19" s="170">
        <f t="shared" si="1"/>
        <v>0</v>
      </c>
      <c r="F19" s="472" t="str">
        <f t="shared" si="2"/>
        <v/>
      </c>
      <c r="G19" s="166">
        <f>1920.46</f>
        <v>1920.46</v>
      </c>
      <c r="H19" s="170"/>
      <c r="I19" s="170">
        <f t="shared" si="3"/>
        <v>1920.46</v>
      </c>
      <c r="J19" s="472" t="str">
        <f t="shared" si="4"/>
        <v/>
      </c>
      <c r="K19" s="166">
        <f>0</f>
        <v>0</v>
      </c>
      <c r="L19" s="170"/>
      <c r="M19" s="170">
        <f t="shared" si="5"/>
        <v>0</v>
      </c>
      <c r="N19" s="472" t="str">
        <f t="shared" si="6"/>
        <v/>
      </c>
      <c r="O19" s="166">
        <f>1790.13</f>
        <v>1790.13</v>
      </c>
      <c r="P19" s="170">
        <f>3467.94</f>
        <v>3467.94</v>
      </c>
      <c r="Q19" s="170">
        <f t="shared" si="7"/>
        <v>-1677.81</v>
      </c>
      <c r="R19" s="472">
        <f t="shared" si="8"/>
        <v>0.51619405180020417</v>
      </c>
      <c r="S19" s="166">
        <f>8347.3</f>
        <v>8347.2999999999993</v>
      </c>
      <c r="T19" s="170">
        <f>5707.92</f>
        <v>5707.92</v>
      </c>
      <c r="U19" s="170">
        <f t="shared" si="9"/>
        <v>2639.3799999999992</v>
      </c>
      <c r="V19" s="472">
        <f t="shared" si="10"/>
        <v>1.4624066209757669</v>
      </c>
      <c r="W19" s="166">
        <f t="shared" si="11"/>
        <v>12057.89</v>
      </c>
      <c r="X19" s="170">
        <f t="shared" si="11"/>
        <v>9175.86</v>
      </c>
      <c r="Y19" s="170">
        <f t="shared" si="12"/>
        <v>2882.0299999999988</v>
      </c>
      <c r="Z19" s="472">
        <f t="shared" si="13"/>
        <v>1.3140882707451944</v>
      </c>
    </row>
    <row r="20" spans="2:26" ht="15.75" thickBot="1" x14ac:dyDescent="0.3">
      <c r="B20" s="219" t="s">
        <v>192</v>
      </c>
      <c r="C20" s="220">
        <f>((((C15)+(C16))+(C17))+(C18))+(C19)</f>
        <v>293.54000000000002</v>
      </c>
      <c r="D20" s="467">
        <f>((((D15)+(D16))+(D17))+(D18))+(D19)</f>
        <v>0</v>
      </c>
      <c r="E20" s="467">
        <f t="shared" si="1"/>
        <v>293.54000000000002</v>
      </c>
      <c r="F20" s="473" t="str">
        <f t="shared" si="2"/>
        <v/>
      </c>
      <c r="G20" s="220">
        <f>((((G15)+(G16))+(G17))+(G18))+(G19)</f>
        <v>77987.34</v>
      </c>
      <c r="H20" s="467">
        <f>((((H15)+(H16))+(H17))+(H18))+(H19)</f>
        <v>42693.18</v>
      </c>
      <c r="I20" s="467">
        <f t="shared" si="3"/>
        <v>35294.159999999996</v>
      </c>
      <c r="J20" s="473">
        <f t="shared" si="4"/>
        <v>1.8266931627018648</v>
      </c>
      <c r="K20" s="220">
        <f>((((K15)+(K16))+(K17))+(K18))+(K19)</f>
        <v>0</v>
      </c>
      <c r="L20" s="467">
        <f>((((L15)+(L16))+(L17))+(L18))+(L19)</f>
        <v>3249.99</v>
      </c>
      <c r="M20" s="467">
        <f t="shared" si="5"/>
        <v>-3249.99</v>
      </c>
      <c r="N20" s="473">
        <f t="shared" si="6"/>
        <v>0</v>
      </c>
      <c r="O20" s="220">
        <f>((((O15)+(O16))+(O17))+(O18))+(O19)</f>
        <v>90094.11</v>
      </c>
      <c r="P20" s="467">
        <f>((((P15)+(P16))+(P17))+(P18))+(P19)</f>
        <v>136331.52000000002</v>
      </c>
      <c r="Q20" s="467">
        <f t="shared" si="7"/>
        <v>-46237.410000000018</v>
      </c>
      <c r="R20" s="473">
        <f t="shared" si="8"/>
        <v>0.66084578239867042</v>
      </c>
      <c r="S20" s="220">
        <f>((((S15)+(S16))+(S17))+(S18))+(S19)</f>
        <v>230307.93</v>
      </c>
      <c r="T20" s="467">
        <f>((((T15)+(T16))+(T17))+(T18))+(T19)</f>
        <v>209524.65</v>
      </c>
      <c r="U20" s="467">
        <f t="shared" si="9"/>
        <v>20783.28</v>
      </c>
      <c r="V20" s="473">
        <f t="shared" si="10"/>
        <v>1.0991925293754219</v>
      </c>
      <c r="W20" s="220">
        <f t="shared" si="11"/>
        <v>398682.92</v>
      </c>
      <c r="X20" s="467">
        <f t="shared" si="11"/>
        <v>391799.33999999997</v>
      </c>
      <c r="Y20" s="467">
        <f t="shared" si="12"/>
        <v>6883.5800000000163</v>
      </c>
      <c r="Z20" s="473">
        <f t="shared" si="13"/>
        <v>1.0175691464921814</v>
      </c>
    </row>
    <row r="21" spans="2:26" ht="15.75" thickBot="1" x14ac:dyDescent="0.3">
      <c r="B21" s="219" t="s">
        <v>152</v>
      </c>
      <c r="C21" s="220">
        <f>(C13)-(C20)</f>
        <v>-293.54000000000002</v>
      </c>
      <c r="D21" s="467">
        <f>(D13)-(D20)</f>
        <v>0</v>
      </c>
      <c r="E21" s="467">
        <f t="shared" si="1"/>
        <v>-293.54000000000002</v>
      </c>
      <c r="F21" s="473" t="str">
        <f t="shared" si="2"/>
        <v/>
      </c>
      <c r="G21" s="220">
        <f>(G13)-(G20)</f>
        <v>263716.17000000004</v>
      </c>
      <c r="H21" s="467">
        <f>(H13)-(H20)</f>
        <v>257306.82</v>
      </c>
      <c r="I21" s="467">
        <f t="shared" si="3"/>
        <v>6409.3500000000349</v>
      </c>
      <c r="J21" s="473">
        <f t="shared" si="4"/>
        <v>1.0249093669573159</v>
      </c>
      <c r="K21" s="220">
        <f>(K13)-(K20)</f>
        <v>1189.19</v>
      </c>
      <c r="L21" s="467">
        <f>(L13)-(L20)</f>
        <v>21750</v>
      </c>
      <c r="M21" s="467">
        <f t="shared" si="5"/>
        <v>-20560.810000000001</v>
      </c>
      <c r="N21" s="473">
        <f t="shared" si="6"/>
        <v>5.4675402298850574E-2</v>
      </c>
      <c r="O21" s="220">
        <f>(O13)-(O20)</f>
        <v>96910.969999999987</v>
      </c>
      <c r="P21" s="467">
        <f>(P13)-(P20)</f>
        <v>176168.49</v>
      </c>
      <c r="Q21" s="467">
        <f t="shared" si="7"/>
        <v>-79257.52</v>
      </c>
      <c r="R21" s="473">
        <f t="shared" si="8"/>
        <v>0.55010388066560589</v>
      </c>
      <c r="S21" s="220">
        <f>(S13)-(S20)</f>
        <v>-45807.290000000008</v>
      </c>
      <c r="T21" s="467">
        <f>(T13)-(T20)</f>
        <v>190475.34</v>
      </c>
      <c r="U21" s="467">
        <f t="shared" si="9"/>
        <v>-236282.63</v>
      </c>
      <c r="V21" s="473">
        <f t="shared" si="10"/>
        <v>-0.24048934628493121</v>
      </c>
      <c r="W21" s="220">
        <f t="shared" si="11"/>
        <v>315715.5</v>
      </c>
      <c r="X21" s="467">
        <f t="shared" si="11"/>
        <v>645700.65</v>
      </c>
      <c r="Y21" s="467">
        <f t="shared" si="12"/>
        <v>-329985.15000000002</v>
      </c>
      <c r="Z21" s="473">
        <f t="shared" si="13"/>
        <v>0.48895025891641891</v>
      </c>
    </row>
    <row r="22" spans="2:26" x14ac:dyDescent="0.25">
      <c r="B22" s="120" t="s">
        <v>193</v>
      </c>
      <c r="C22" s="166"/>
      <c r="D22" s="170"/>
      <c r="E22" s="170"/>
      <c r="F22" s="472"/>
      <c r="G22" s="166"/>
      <c r="H22" s="170"/>
      <c r="I22" s="170"/>
      <c r="J22" s="472"/>
      <c r="K22" s="166"/>
      <c r="L22" s="170"/>
      <c r="M22" s="170"/>
      <c r="N22" s="472"/>
      <c r="O22" s="166"/>
      <c r="P22" s="170"/>
      <c r="Q22" s="170"/>
      <c r="R22" s="472"/>
      <c r="S22" s="166"/>
      <c r="T22" s="170"/>
      <c r="U22" s="170"/>
      <c r="V22" s="472"/>
      <c r="W22" s="166"/>
      <c r="X22" s="170"/>
      <c r="Y22" s="170"/>
      <c r="Z22" s="472"/>
    </row>
    <row r="23" spans="2:26" x14ac:dyDescent="0.25">
      <c r="B23" s="120" t="s">
        <v>194</v>
      </c>
      <c r="C23" s="166"/>
      <c r="D23" s="170"/>
      <c r="E23" s="170">
        <f t="shared" ref="E23:E78" si="14">(C23)-(D23)</f>
        <v>0</v>
      </c>
      <c r="F23" s="472" t="str">
        <f t="shared" ref="F23:F78" si="15">IF(D23=0,"",(C23)/(D23))</f>
        <v/>
      </c>
      <c r="G23" s="166"/>
      <c r="H23" s="170"/>
      <c r="I23" s="170">
        <f t="shared" ref="I23:I78" si="16">(G23)-(H23)</f>
        <v>0</v>
      </c>
      <c r="J23" s="472" t="str">
        <f t="shared" ref="J23:J78" si="17">IF(H23=0,"",(G23)/(H23))</f>
        <v/>
      </c>
      <c r="K23" s="166"/>
      <c r="L23" s="170"/>
      <c r="M23" s="170">
        <f t="shared" ref="M23:M78" si="18">(K23)-(L23)</f>
        <v>0</v>
      </c>
      <c r="N23" s="472" t="str">
        <f t="shared" ref="N23:N78" si="19">IF(L23=0,"",(K23)/(L23))</f>
        <v/>
      </c>
      <c r="O23" s="166"/>
      <c r="P23" s="170"/>
      <c r="Q23" s="170">
        <f t="shared" ref="Q23:Q78" si="20">(O23)-(P23)</f>
        <v>0</v>
      </c>
      <c r="R23" s="472" t="str">
        <f t="shared" ref="R23:R78" si="21">IF(P23=0,"",(O23)/(P23))</f>
        <v/>
      </c>
      <c r="S23" s="166"/>
      <c r="T23" s="170"/>
      <c r="U23" s="170">
        <f t="shared" ref="U23:U78" si="22">(S23)-(T23)</f>
        <v>0</v>
      </c>
      <c r="V23" s="472" t="str">
        <f t="shared" ref="V23:V78" si="23">IF(T23=0,"",(S23)/(T23))</f>
        <v/>
      </c>
      <c r="W23" s="166">
        <f t="shared" ref="W23:X54" si="24">((((C23)+(G23))+(K23))+(O23))+(S23)</f>
        <v>0</v>
      </c>
      <c r="X23" s="170">
        <f t="shared" si="24"/>
        <v>0</v>
      </c>
      <c r="Y23" s="170">
        <f t="shared" ref="Y23:Y78" si="25">(W23)-(X23)</f>
        <v>0</v>
      </c>
      <c r="Z23" s="472" t="str">
        <f t="shared" ref="Z23:Z78" si="26">IF(X23=0,"",(W23)/(X23))</f>
        <v/>
      </c>
    </row>
    <row r="24" spans="2:26" x14ac:dyDescent="0.25">
      <c r="B24" s="120" t="s">
        <v>195</v>
      </c>
      <c r="C24" s="166">
        <f>-439.18</f>
        <v>-439.18</v>
      </c>
      <c r="D24" s="170">
        <f>0</f>
        <v>0</v>
      </c>
      <c r="E24" s="170">
        <f t="shared" si="14"/>
        <v>-439.18</v>
      </c>
      <c r="F24" s="472" t="str">
        <f t="shared" si="15"/>
        <v/>
      </c>
      <c r="G24" s="166">
        <f>42626.32</f>
        <v>42626.32</v>
      </c>
      <c r="H24" s="170">
        <f>41538.54</f>
        <v>41538.54</v>
      </c>
      <c r="I24" s="170">
        <f t="shared" si="16"/>
        <v>1087.7799999999988</v>
      </c>
      <c r="J24" s="472">
        <f t="shared" si="17"/>
        <v>1.0261872468314968</v>
      </c>
      <c r="K24" s="166">
        <f>3956.06</f>
        <v>3956.06</v>
      </c>
      <c r="L24" s="170">
        <f>2967.03</f>
        <v>2967.03</v>
      </c>
      <c r="M24" s="170">
        <f t="shared" si="18"/>
        <v>989.02999999999975</v>
      </c>
      <c r="N24" s="472">
        <f t="shared" si="19"/>
        <v>1.3333400740808148</v>
      </c>
      <c r="O24" s="166">
        <f>18193.08</f>
        <v>18193.080000000002</v>
      </c>
      <c r="P24" s="170">
        <f>17802.24</f>
        <v>17802.240000000002</v>
      </c>
      <c r="Q24" s="170">
        <f t="shared" si="20"/>
        <v>390.84000000000015</v>
      </c>
      <c r="R24" s="472">
        <f t="shared" si="21"/>
        <v>1.0219545405522001</v>
      </c>
      <c r="S24" s="166">
        <f>200</f>
        <v>200</v>
      </c>
      <c r="T24" s="170">
        <f>2571.51</f>
        <v>2571.5100000000002</v>
      </c>
      <c r="U24" s="170">
        <f t="shared" si="22"/>
        <v>-2371.5100000000002</v>
      </c>
      <c r="V24" s="472">
        <f t="shared" si="23"/>
        <v>7.7775314892806161E-2</v>
      </c>
      <c r="W24" s="166">
        <f t="shared" si="24"/>
        <v>64536.28</v>
      </c>
      <c r="X24" s="170">
        <f t="shared" si="24"/>
        <v>64879.32</v>
      </c>
      <c r="Y24" s="170">
        <f t="shared" si="25"/>
        <v>-343.04000000000087</v>
      </c>
      <c r="Z24" s="472">
        <f t="shared" si="26"/>
        <v>0.99471264495373868</v>
      </c>
    </row>
    <row r="25" spans="2:26" x14ac:dyDescent="0.25">
      <c r="B25" s="120" t="s">
        <v>196</v>
      </c>
      <c r="C25" s="166">
        <f>71.32</f>
        <v>71.319999999999993</v>
      </c>
      <c r="D25" s="170">
        <f>0</f>
        <v>0</v>
      </c>
      <c r="E25" s="170">
        <f t="shared" si="14"/>
        <v>71.319999999999993</v>
      </c>
      <c r="F25" s="472" t="str">
        <f t="shared" si="15"/>
        <v/>
      </c>
      <c r="G25" s="166">
        <f>3381.06</f>
        <v>3381.06</v>
      </c>
      <c r="H25" s="170">
        <f>3323.1</f>
        <v>3323.1</v>
      </c>
      <c r="I25" s="170">
        <f t="shared" si="16"/>
        <v>57.960000000000036</v>
      </c>
      <c r="J25" s="472">
        <f t="shared" si="17"/>
        <v>1.0174415455448227</v>
      </c>
      <c r="K25" s="166">
        <f>608.1</f>
        <v>608.1</v>
      </c>
      <c r="L25" s="170">
        <f>237.36</f>
        <v>237.36</v>
      </c>
      <c r="M25" s="170">
        <f t="shared" si="18"/>
        <v>370.74</v>
      </c>
      <c r="N25" s="472">
        <f t="shared" si="19"/>
        <v>2.5619312436804851</v>
      </c>
      <c r="O25" s="166">
        <f>1863.72</f>
        <v>1863.72</v>
      </c>
      <c r="P25" s="170">
        <f>1424.19</f>
        <v>1424.19</v>
      </c>
      <c r="Q25" s="170">
        <f t="shared" si="20"/>
        <v>439.53</v>
      </c>
      <c r="R25" s="472">
        <f t="shared" si="21"/>
        <v>1.3086175299644007</v>
      </c>
      <c r="S25" s="166">
        <f>1332.96</f>
        <v>1332.96</v>
      </c>
      <c r="T25" s="170">
        <f>205.71</f>
        <v>205.71</v>
      </c>
      <c r="U25" s="170">
        <f t="shared" si="22"/>
        <v>1127.25</v>
      </c>
      <c r="V25" s="472">
        <f t="shared" si="23"/>
        <v>6.4798016625346362</v>
      </c>
      <c r="W25" s="166">
        <f t="shared" si="24"/>
        <v>7257.16</v>
      </c>
      <c r="X25" s="170">
        <f t="shared" si="24"/>
        <v>5190.3599999999997</v>
      </c>
      <c r="Y25" s="170">
        <f t="shared" si="25"/>
        <v>2066.8000000000002</v>
      </c>
      <c r="Z25" s="472">
        <f t="shared" si="26"/>
        <v>1.3981997395171049</v>
      </c>
    </row>
    <row r="26" spans="2:26" x14ac:dyDescent="0.25">
      <c r="B26" s="120" t="s">
        <v>197</v>
      </c>
      <c r="C26" s="166">
        <f>-15.37</f>
        <v>-15.37</v>
      </c>
      <c r="D26" s="170">
        <f>0</f>
        <v>0</v>
      </c>
      <c r="E26" s="170">
        <f t="shared" si="14"/>
        <v>-15.37</v>
      </c>
      <c r="F26" s="472" t="str">
        <f t="shared" si="15"/>
        <v/>
      </c>
      <c r="G26" s="166">
        <f>1660.72</f>
        <v>1660.72</v>
      </c>
      <c r="H26" s="170">
        <f>1661.55</f>
        <v>1661.55</v>
      </c>
      <c r="I26" s="170">
        <f t="shared" si="16"/>
        <v>-0.82999999999992724</v>
      </c>
      <c r="J26" s="472">
        <f t="shared" si="17"/>
        <v>0.99950046643194612</v>
      </c>
      <c r="K26" s="166">
        <f>157.46</f>
        <v>157.46</v>
      </c>
      <c r="L26" s="170">
        <f>118.68</f>
        <v>118.68</v>
      </c>
      <c r="M26" s="170">
        <f t="shared" si="18"/>
        <v>38.78</v>
      </c>
      <c r="N26" s="472">
        <f t="shared" si="19"/>
        <v>1.3267610380856083</v>
      </c>
      <c r="O26" s="166">
        <f>663.89</f>
        <v>663.89</v>
      </c>
      <c r="P26" s="170">
        <f>712.08</f>
        <v>712.08</v>
      </c>
      <c r="Q26" s="170">
        <f t="shared" si="20"/>
        <v>-48.190000000000055</v>
      </c>
      <c r="R26" s="472">
        <f t="shared" si="21"/>
        <v>0.93232501966071224</v>
      </c>
      <c r="S26" s="166">
        <f>0</f>
        <v>0</v>
      </c>
      <c r="T26" s="170">
        <f>102.87</f>
        <v>102.87</v>
      </c>
      <c r="U26" s="170">
        <f t="shared" si="22"/>
        <v>-102.87</v>
      </c>
      <c r="V26" s="472">
        <f t="shared" si="23"/>
        <v>0</v>
      </c>
      <c r="W26" s="166">
        <f t="shared" si="24"/>
        <v>2466.7000000000003</v>
      </c>
      <c r="X26" s="170">
        <f t="shared" si="24"/>
        <v>2595.1799999999998</v>
      </c>
      <c r="Y26" s="170">
        <f t="shared" si="25"/>
        <v>-128.47999999999956</v>
      </c>
      <c r="Z26" s="472">
        <f t="shared" si="26"/>
        <v>0.95049283672038176</v>
      </c>
    </row>
    <row r="27" spans="2:26" x14ac:dyDescent="0.25">
      <c r="B27" s="120" t="s">
        <v>198</v>
      </c>
      <c r="C27" s="166"/>
      <c r="D27" s="170">
        <f>0</f>
        <v>0</v>
      </c>
      <c r="E27" s="170">
        <f t="shared" si="14"/>
        <v>0</v>
      </c>
      <c r="F27" s="472" t="str">
        <f t="shared" si="15"/>
        <v/>
      </c>
      <c r="G27" s="166"/>
      <c r="H27" s="170">
        <f>1578.48</f>
        <v>1578.48</v>
      </c>
      <c r="I27" s="170">
        <f t="shared" si="16"/>
        <v>-1578.48</v>
      </c>
      <c r="J27" s="472">
        <f t="shared" si="17"/>
        <v>0</v>
      </c>
      <c r="K27" s="166"/>
      <c r="L27" s="170">
        <f>112.74</f>
        <v>112.74</v>
      </c>
      <c r="M27" s="170">
        <f t="shared" si="18"/>
        <v>-112.74</v>
      </c>
      <c r="N27" s="472">
        <f t="shared" si="19"/>
        <v>0</v>
      </c>
      <c r="O27" s="166"/>
      <c r="P27" s="170">
        <f>676.5</f>
        <v>676.5</v>
      </c>
      <c r="Q27" s="170">
        <f t="shared" si="20"/>
        <v>-676.5</v>
      </c>
      <c r="R27" s="472">
        <f t="shared" si="21"/>
        <v>0</v>
      </c>
      <c r="S27" s="166"/>
      <c r="T27" s="170">
        <f>97.71</f>
        <v>97.71</v>
      </c>
      <c r="U27" s="170">
        <f t="shared" si="22"/>
        <v>-97.71</v>
      </c>
      <c r="V27" s="472">
        <f t="shared" si="23"/>
        <v>0</v>
      </c>
      <c r="W27" s="166">
        <f t="shared" si="24"/>
        <v>0</v>
      </c>
      <c r="X27" s="170">
        <f t="shared" si="24"/>
        <v>2465.4300000000003</v>
      </c>
      <c r="Y27" s="170">
        <f t="shared" si="25"/>
        <v>-2465.4300000000003</v>
      </c>
      <c r="Z27" s="472">
        <f t="shared" si="26"/>
        <v>0</v>
      </c>
    </row>
    <row r="28" spans="2:26" x14ac:dyDescent="0.25">
      <c r="B28" s="120" t="s">
        <v>199</v>
      </c>
      <c r="C28" s="211">
        <f>((((C23)+(C24))+(C25))+(C26))+(C27)</f>
        <v>-383.23</v>
      </c>
      <c r="D28" s="469">
        <f>((((D23)+(D24))+(D25))+(D26))+(D27)</f>
        <v>0</v>
      </c>
      <c r="E28" s="469">
        <f t="shared" si="14"/>
        <v>-383.23</v>
      </c>
      <c r="F28" s="475" t="str">
        <f t="shared" si="15"/>
        <v/>
      </c>
      <c r="G28" s="211">
        <f>((((G23)+(G24))+(G25))+(G26))+(G27)</f>
        <v>47668.1</v>
      </c>
      <c r="H28" s="469">
        <f>((((H23)+(H24))+(H25))+(H26))+(H27)</f>
        <v>48101.670000000006</v>
      </c>
      <c r="I28" s="469">
        <f t="shared" si="16"/>
        <v>-433.57000000000698</v>
      </c>
      <c r="J28" s="475">
        <f t="shared" si="17"/>
        <v>0.9909863836328342</v>
      </c>
      <c r="K28" s="211">
        <f>((((K23)+(K24))+(K25))+(K26))+(K27)</f>
        <v>4721.62</v>
      </c>
      <c r="L28" s="469">
        <f>((((L23)+(L24))+(L25))+(L26))+(L27)</f>
        <v>3435.81</v>
      </c>
      <c r="M28" s="469">
        <f t="shared" si="18"/>
        <v>1285.81</v>
      </c>
      <c r="N28" s="475">
        <f t="shared" si="19"/>
        <v>1.3742378070964343</v>
      </c>
      <c r="O28" s="211">
        <f>((((O23)+(O24))+(O25))+(O26))+(O27)</f>
        <v>20720.690000000002</v>
      </c>
      <c r="P28" s="469">
        <f>((((P23)+(P24))+(P25))+(P26))+(P27)</f>
        <v>20615.010000000002</v>
      </c>
      <c r="Q28" s="469">
        <f t="shared" si="20"/>
        <v>105.68000000000029</v>
      </c>
      <c r="R28" s="475">
        <f t="shared" si="21"/>
        <v>1.005126361811127</v>
      </c>
      <c r="S28" s="211">
        <f>((((S23)+(S24))+(S25))+(S26))+(S27)</f>
        <v>1532.96</v>
      </c>
      <c r="T28" s="469">
        <f>((((T23)+(T24))+(T25))+(T26))+(T27)</f>
        <v>2977.8</v>
      </c>
      <c r="U28" s="469">
        <f t="shared" si="22"/>
        <v>-1444.8400000000001</v>
      </c>
      <c r="V28" s="475">
        <f t="shared" si="23"/>
        <v>0.51479615823762503</v>
      </c>
      <c r="W28" s="211">
        <f t="shared" si="24"/>
        <v>74260.14</v>
      </c>
      <c r="X28" s="469">
        <f t="shared" si="24"/>
        <v>75130.290000000008</v>
      </c>
      <c r="Y28" s="469">
        <f t="shared" si="25"/>
        <v>-870.15000000000873</v>
      </c>
      <c r="Z28" s="475">
        <f t="shared" si="26"/>
        <v>0.98841812004186314</v>
      </c>
    </row>
    <row r="29" spans="2:26" x14ac:dyDescent="0.25">
      <c r="B29" s="120" t="s">
        <v>200</v>
      </c>
      <c r="C29" s="166">
        <f>3132.67</f>
        <v>3132.67</v>
      </c>
      <c r="D29" s="170">
        <f>300</f>
        <v>300</v>
      </c>
      <c r="E29" s="170">
        <f t="shared" si="14"/>
        <v>2832.67</v>
      </c>
      <c r="F29" s="472">
        <f t="shared" si="15"/>
        <v>10.442233333333334</v>
      </c>
      <c r="G29" s="166"/>
      <c r="H29" s="170"/>
      <c r="I29" s="170">
        <f t="shared" si="16"/>
        <v>0</v>
      </c>
      <c r="J29" s="472" t="str">
        <f t="shared" si="17"/>
        <v/>
      </c>
      <c r="K29" s="166"/>
      <c r="L29" s="170"/>
      <c r="M29" s="170">
        <f t="shared" si="18"/>
        <v>0</v>
      </c>
      <c r="N29" s="472" t="str">
        <f t="shared" si="19"/>
        <v/>
      </c>
      <c r="O29" s="166"/>
      <c r="P29" s="170"/>
      <c r="Q29" s="170">
        <f t="shared" si="20"/>
        <v>0</v>
      </c>
      <c r="R29" s="472" t="str">
        <f t="shared" si="21"/>
        <v/>
      </c>
      <c r="S29" s="166"/>
      <c r="T29" s="170"/>
      <c r="U29" s="170">
        <f t="shared" si="22"/>
        <v>0</v>
      </c>
      <c r="V29" s="472" t="str">
        <f t="shared" si="23"/>
        <v/>
      </c>
      <c r="W29" s="166">
        <f t="shared" si="24"/>
        <v>3132.67</v>
      </c>
      <c r="X29" s="170">
        <f t="shared" si="24"/>
        <v>300</v>
      </c>
      <c r="Y29" s="170">
        <f t="shared" si="25"/>
        <v>2832.67</v>
      </c>
      <c r="Z29" s="472">
        <f t="shared" si="26"/>
        <v>10.442233333333334</v>
      </c>
    </row>
    <row r="30" spans="2:26" x14ac:dyDescent="0.25">
      <c r="B30" s="120" t="s">
        <v>201</v>
      </c>
      <c r="C30" s="166">
        <f>2758.4</f>
        <v>2758.4</v>
      </c>
      <c r="D30" s="170">
        <f>2490.42</f>
        <v>2490.42</v>
      </c>
      <c r="E30" s="170">
        <f t="shared" si="14"/>
        <v>267.98</v>
      </c>
      <c r="F30" s="472">
        <f t="shared" si="15"/>
        <v>1.1076043398302295</v>
      </c>
      <c r="G30" s="166"/>
      <c r="H30" s="170"/>
      <c r="I30" s="170">
        <f t="shared" si="16"/>
        <v>0</v>
      </c>
      <c r="J30" s="472" t="str">
        <f t="shared" si="17"/>
        <v/>
      </c>
      <c r="K30" s="166"/>
      <c r="L30" s="170"/>
      <c r="M30" s="170">
        <f t="shared" si="18"/>
        <v>0</v>
      </c>
      <c r="N30" s="472" t="str">
        <f t="shared" si="19"/>
        <v/>
      </c>
      <c r="O30" s="166"/>
      <c r="P30" s="170"/>
      <c r="Q30" s="170">
        <f t="shared" si="20"/>
        <v>0</v>
      </c>
      <c r="R30" s="472" t="str">
        <f t="shared" si="21"/>
        <v/>
      </c>
      <c r="S30" s="166"/>
      <c r="T30" s="170"/>
      <c r="U30" s="170">
        <f t="shared" si="22"/>
        <v>0</v>
      </c>
      <c r="V30" s="472" t="str">
        <f t="shared" si="23"/>
        <v/>
      </c>
      <c r="W30" s="166">
        <f t="shared" si="24"/>
        <v>2758.4</v>
      </c>
      <c r="X30" s="170">
        <f t="shared" si="24"/>
        <v>2490.42</v>
      </c>
      <c r="Y30" s="170">
        <f t="shared" si="25"/>
        <v>267.98</v>
      </c>
      <c r="Z30" s="472">
        <f t="shared" si="26"/>
        <v>1.1076043398302295</v>
      </c>
    </row>
    <row r="31" spans="2:26" x14ac:dyDescent="0.25">
      <c r="B31" s="120" t="s">
        <v>202</v>
      </c>
      <c r="C31" s="166">
        <f>0</f>
        <v>0</v>
      </c>
      <c r="D31" s="170">
        <f>4941.66</f>
        <v>4941.66</v>
      </c>
      <c r="E31" s="170">
        <f t="shared" si="14"/>
        <v>-4941.66</v>
      </c>
      <c r="F31" s="472">
        <f t="shared" si="15"/>
        <v>0</v>
      </c>
      <c r="G31" s="166">
        <f>607.1</f>
        <v>607.1</v>
      </c>
      <c r="H31" s="170"/>
      <c r="I31" s="170">
        <f t="shared" si="16"/>
        <v>607.1</v>
      </c>
      <c r="J31" s="472" t="str">
        <f t="shared" si="17"/>
        <v/>
      </c>
      <c r="K31" s="166">
        <f>11.03</f>
        <v>11.03</v>
      </c>
      <c r="L31" s="170"/>
      <c r="M31" s="170">
        <f t="shared" si="18"/>
        <v>11.03</v>
      </c>
      <c r="N31" s="472" t="str">
        <f t="shared" si="19"/>
        <v/>
      </c>
      <c r="O31" s="166">
        <f>65.56</f>
        <v>65.56</v>
      </c>
      <c r="P31" s="170"/>
      <c r="Q31" s="170">
        <f t="shared" si="20"/>
        <v>65.56</v>
      </c>
      <c r="R31" s="472" t="str">
        <f t="shared" si="21"/>
        <v/>
      </c>
      <c r="S31" s="166">
        <f>147.61</f>
        <v>147.61000000000001</v>
      </c>
      <c r="T31" s="170"/>
      <c r="U31" s="170">
        <f t="shared" si="22"/>
        <v>147.61000000000001</v>
      </c>
      <c r="V31" s="472" t="str">
        <f t="shared" si="23"/>
        <v/>
      </c>
      <c r="W31" s="166">
        <f t="shared" si="24"/>
        <v>831.30000000000007</v>
      </c>
      <c r="X31" s="170">
        <f t="shared" si="24"/>
        <v>4941.66</v>
      </c>
      <c r="Y31" s="170">
        <f t="shared" si="25"/>
        <v>-4110.3599999999997</v>
      </c>
      <c r="Z31" s="472">
        <f t="shared" si="26"/>
        <v>0.1682228239093746</v>
      </c>
    </row>
    <row r="32" spans="2:26" x14ac:dyDescent="0.25">
      <c r="B32" s="120" t="s">
        <v>203</v>
      </c>
      <c r="C32" s="166">
        <f>206</f>
        <v>206</v>
      </c>
      <c r="D32" s="170">
        <f>750</f>
        <v>750</v>
      </c>
      <c r="E32" s="170">
        <f t="shared" si="14"/>
        <v>-544</v>
      </c>
      <c r="F32" s="472">
        <f t="shared" si="15"/>
        <v>0.27466666666666667</v>
      </c>
      <c r="G32" s="166"/>
      <c r="H32" s="170"/>
      <c r="I32" s="170">
        <f t="shared" si="16"/>
        <v>0</v>
      </c>
      <c r="J32" s="472" t="str">
        <f t="shared" si="17"/>
        <v/>
      </c>
      <c r="K32" s="166"/>
      <c r="L32" s="170"/>
      <c r="M32" s="170">
        <f t="shared" si="18"/>
        <v>0</v>
      </c>
      <c r="N32" s="472" t="str">
        <f t="shared" si="19"/>
        <v/>
      </c>
      <c r="O32" s="166"/>
      <c r="P32" s="170"/>
      <c r="Q32" s="170">
        <f t="shared" si="20"/>
        <v>0</v>
      </c>
      <c r="R32" s="472" t="str">
        <f t="shared" si="21"/>
        <v/>
      </c>
      <c r="S32" s="166"/>
      <c r="T32" s="170"/>
      <c r="U32" s="170">
        <f t="shared" si="22"/>
        <v>0</v>
      </c>
      <c r="V32" s="472" t="str">
        <f t="shared" si="23"/>
        <v/>
      </c>
      <c r="W32" s="166">
        <f t="shared" si="24"/>
        <v>206</v>
      </c>
      <c r="X32" s="170">
        <f t="shared" si="24"/>
        <v>750</v>
      </c>
      <c r="Y32" s="170">
        <f t="shared" si="25"/>
        <v>-544</v>
      </c>
      <c r="Z32" s="472">
        <f t="shared" si="26"/>
        <v>0.27466666666666667</v>
      </c>
    </row>
    <row r="33" spans="2:26" x14ac:dyDescent="0.25">
      <c r="B33" s="120" t="s">
        <v>204</v>
      </c>
      <c r="C33" s="166"/>
      <c r="D33" s="170"/>
      <c r="E33" s="170">
        <f t="shared" si="14"/>
        <v>0</v>
      </c>
      <c r="F33" s="472" t="str">
        <f t="shared" si="15"/>
        <v/>
      </c>
      <c r="G33" s="166"/>
      <c r="H33" s="170"/>
      <c r="I33" s="170">
        <f t="shared" si="16"/>
        <v>0</v>
      </c>
      <c r="J33" s="472" t="str">
        <f t="shared" si="17"/>
        <v/>
      </c>
      <c r="K33" s="166"/>
      <c r="L33" s="170"/>
      <c r="M33" s="170">
        <f t="shared" si="18"/>
        <v>0</v>
      </c>
      <c r="N33" s="472" t="str">
        <f t="shared" si="19"/>
        <v/>
      </c>
      <c r="O33" s="166"/>
      <c r="P33" s="170"/>
      <c r="Q33" s="170">
        <f t="shared" si="20"/>
        <v>0</v>
      </c>
      <c r="R33" s="472" t="str">
        <f t="shared" si="21"/>
        <v/>
      </c>
      <c r="S33" s="166"/>
      <c r="T33" s="170"/>
      <c r="U33" s="170">
        <f t="shared" si="22"/>
        <v>0</v>
      </c>
      <c r="V33" s="472" t="str">
        <f t="shared" si="23"/>
        <v/>
      </c>
      <c r="W33" s="166">
        <f t="shared" si="24"/>
        <v>0</v>
      </c>
      <c r="X33" s="170">
        <f t="shared" si="24"/>
        <v>0</v>
      </c>
      <c r="Y33" s="170">
        <f t="shared" si="25"/>
        <v>0</v>
      </c>
      <c r="Z33" s="472" t="str">
        <f t="shared" si="26"/>
        <v/>
      </c>
    </row>
    <row r="34" spans="2:26" x14ac:dyDescent="0.25">
      <c r="B34" s="120" t="s">
        <v>205</v>
      </c>
      <c r="C34" s="166">
        <f>6338.82</f>
        <v>6338.82</v>
      </c>
      <c r="D34" s="170"/>
      <c r="E34" s="170">
        <f t="shared" si="14"/>
        <v>6338.82</v>
      </c>
      <c r="F34" s="472" t="str">
        <f t="shared" si="15"/>
        <v/>
      </c>
      <c r="G34" s="166"/>
      <c r="H34" s="170"/>
      <c r="I34" s="170">
        <f t="shared" si="16"/>
        <v>0</v>
      </c>
      <c r="J34" s="472" t="str">
        <f t="shared" si="17"/>
        <v/>
      </c>
      <c r="K34" s="166"/>
      <c r="L34" s="170"/>
      <c r="M34" s="170">
        <f t="shared" si="18"/>
        <v>0</v>
      </c>
      <c r="N34" s="472" t="str">
        <f t="shared" si="19"/>
        <v/>
      </c>
      <c r="O34" s="166"/>
      <c r="P34" s="170"/>
      <c r="Q34" s="170">
        <f t="shared" si="20"/>
        <v>0</v>
      </c>
      <c r="R34" s="472" t="str">
        <f t="shared" si="21"/>
        <v/>
      </c>
      <c r="S34" s="166"/>
      <c r="T34" s="170"/>
      <c r="U34" s="170">
        <f t="shared" si="22"/>
        <v>0</v>
      </c>
      <c r="V34" s="472" t="str">
        <f t="shared" si="23"/>
        <v/>
      </c>
      <c r="W34" s="166">
        <f t="shared" si="24"/>
        <v>6338.82</v>
      </c>
      <c r="X34" s="170">
        <f t="shared" si="24"/>
        <v>0</v>
      </c>
      <c r="Y34" s="170">
        <f t="shared" si="25"/>
        <v>6338.82</v>
      </c>
      <c r="Z34" s="472" t="str">
        <f t="shared" si="26"/>
        <v/>
      </c>
    </row>
    <row r="35" spans="2:26" x14ac:dyDescent="0.25">
      <c r="B35" s="120" t="s">
        <v>206</v>
      </c>
      <c r="C35" s="166">
        <f>7200</f>
        <v>7200</v>
      </c>
      <c r="D35" s="170">
        <f>7200</f>
        <v>7200</v>
      </c>
      <c r="E35" s="170">
        <f t="shared" si="14"/>
        <v>0</v>
      </c>
      <c r="F35" s="472">
        <f t="shared" si="15"/>
        <v>1</v>
      </c>
      <c r="G35" s="166"/>
      <c r="H35" s="170"/>
      <c r="I35" s="170">
        <f t="shared" si="16"/>
        <v>0</v>
      </c>
      <c r="J35" s="472" t="str">
        <f t="shared" si="17"/>
        <v/>
      </c>
      <c r="K35" s="166"/>
      <c r="L35" s="170"/>
      <c r="M35" s="170">
        <f t="shared" si="18"/>
        <v>0</v>
      </c>
      <c r="N35" s="472" t="str">
        <f t="shared" si="19"/>
        <v/>
      </c>
      <c r="O35" s="166"/>
      <c r="P35" s="170"/>
      <c r="Q35" s="170">
        <f t="shared" si="20"/>
        <v>0</v>
      </c>
      <c r="R35" s="472" t="str">
        <f t="shared" si="21"/>
        <v/>
      </c>
      <c r="S35" s="166"/>
      <c r="T35" s="170"/>
      <c r="U35" s="170">
        <f t="shared" si="22"/>
        <v>0</v>
      </c>
      <c r="V35" s="472" t="str">
        <f t="shared" si="23"/>
        <v/>
      </c>
      <c r="W35" s="166">
        <f t="shared" si="24"/>
        <v>7200</v>
      </c>
      <c r="X35" s="170">
        <f t="shared" si="24"/>
        <v>7200</v>
      </c>
      <c r="Y35" s="170">
        <f t="shared" si="25"/>
        <v>0</v>
      </c>
      <c r="Z35" s="472">
        <f t="shared" si="26"/>
        <v>1</v>
      </c>
    </row>
    <row r="36" spans="2:26" x14ac:dyDescent="0.25">
      <c r="B36" s="120" t="s">
        <v>207</v>
      </c>
      <c r="C36" s="166">
        <f>3093</f>
        <v>3093</v>
      </c>
      <c r="D36" s="170">
        <f>3000</f>
        <v>3000</v>
      </c>
      <c r="E36" s="170">
        <f t="shared" si="14"/>
        <v>93</v>
      </c>
      <c r="F36" s="472">
        <f t="shared" si="15"/>
        <v>1.0309999999999999</v>
      </c>
      <c r="G36" s="166"/>
      <c r="H36" s="170"/>
      <c r="I36" s="170">
        <f t="shared" si="16"/>
        <v>0</v>
      </c>
      <c r="J36" s="472" t="str">
        <f t="shared" si="17"/>
        <v/>
      </c>
      <c r="K36" s="166"/>
      <c r="L36" s="170"/>
      <c r="M36" s="170">
        <f t="shared" si="18"/>
        <v>0</v>
      </c>
      <c r="N36" s="472" t="str">
        <f t="shared" si="19"/>
        <v/>
      </c>
      <c r="O36" s="166"/>
      <c r="P36" s="170"/>
      <c r="Q36" s="170">
        <f t="shared" si="20"/>
        <v>0</v>
      </c>
      <c r="R36" s="472" t="str">
        <f t="shared" si="21"/>
        <v/>
      </c>
      <c r="S36" s="166"/>
      <c r="T36" s="170"/>
      <c r="U36" s="170">
        <f t="shared" si="22"/>
        <v>0</v>
      </c>
      <c r="V36" s="472" t="str">
        <f t="shared" si="23"/>
        <v/>
      </c>
      <c r="W36" s="166">
        <f t="shared" si="24"/>
        <v>3093</v>
      </c>
      <c r="X36" s="170">
        <f t="shared" si="24"/>
        <v>3000</v>
      </c>
      <c r="Y36" s="170">
        <f t="shared" si="25"/>
        <v>93</v>
      </c>
      <c r="Z36" s="472">
        <f t="shared" si="26"/>
        <v>1.0309999999999999</v>
      </c>
    </row>
    <row r="37" spans="2:26" x14ac:dyDescent="0.25">
      <c r="B37" s="120" t="s">
        <v>208</v>
      </c>
      <c r="C37" s="166">
        <f>10639.99</f>
        <v>10639.99</v>
      </c>
      <c r="D37" s="170">
        <f>7500</f>
        <v>7500</v>
      </c>
      <c r="E37" s="170">
        <f t="shared" si="14"/>
        <v>3139.99</v>
      </c>
      <c r="F37" s="472">
        <f t="shared" si="15"/>
        <v>1.4186653333333332</v>
      </c>
      <c r="G37" s="166"/>
      <c r="H37" s="170"/>
      <c r="I37" s="170">
        <f t="shared" si="16"/>
        <v>0</v>
      </c>
      <c r="J37" s="472" t="str">
        <f t="shared" si="17"/>
        <v/>
      </c>
      <c r="K37" s="166"/>
      <c r="L37" s="170"/>
      <c r="M37" s="170">
        <f t="shared" si="18"/>
        <v>0</v>
      </c>
      <c r="N37" s="472" t="str">
        <f t="shared" si="19"/>
        <v/>
      </c>
      <c r="O37" s="166">
        <f>1500</f>
        <v>1500</v>
      </c>
      <c r="P37" s="170"/>
      <c r="Q37" s="170">
        <f t="shared" si="20"/>
        <v>1500</v>
      </c>
      <c r="R37" s="472" t="str">
        <f t="shared" si="21"/>
        <v/>
      </c>
      <c r="S37" s="166">
        <f>410</f>
        <v>410</v>
      </c>
      <c r="T37" s="170"/>
      <c r="U37" s="170">
        <f t="shared" si="22"/>
        <v>410</v>
      </c>
      <c r="V37" s="472" t="str">
        <f t="shared" si="23"/>
        <v/>
      </c>
      <c r="W37" s="166">
        <f t="shared" si="24"/>
        <v>12549.99</v>
      </c>
      <c r="X37" s="170">
        <f t="shared" si="24"/>
        <v>7500</v>
      </c>
      <c r="Y37" s="170">
        <f t="shared" si="25"/>
        <v>5049.99</v>
      </c>
      <c r="Z37" s="472">
        <f t="shared" si="26"/>
        <v>1.673332</v>
      </c>
    </row>
    <row r="38" spans="2:26" x14ac:dyDescent="0.25">
      <c r="B38" s="120" t="s">
        <v>209</v>
      </c>
      <c r="C38" s="211">
        <f>((((C33)+(C34))+(C35))+(C36))+(C37)</f>
        <v>27271.809999999998</v>
      </c>
      <c r="D38" s="469">
        <f>((((D33)+(D34))+(D35))+(D36))+(D37)</f>
        <v>17700</v>
      </c>
      <c r="E38" s="469">
        <f t="shared" si="14"/>
        <v>9571.8099999999977</v>
      </c>
      <c r="F38" s="475">
        <f t="shared" si="15"/>
        <v>1.5407802259887005</v>
      </c>
      <c r="G38" s="211">
        <f>((((G33)+(G34))+(G35))+(G36))+(G37)</f>
        <v>0</v>
      </c>
      <c r="H38" s="469">
        <f>((((H33)+(H34))+(H35))+(H36))+(H37)</f>
        <v>0</v>
      </c>
      <c r="I38" s="469">
        <f t="shared" si="16"/>
        <v>0</v>
      </c>
      <c r="J38" s="475" t="str">
        <f t="shared" si="17"/>
        <v/>
      </c>
      <c r="K38" s="211">
        <f>((((K33)+(K34))+(K35))+(K36))+(K37)</f>
        <v>0</v>
      </c>
      <c r="L38" s="469">
        <f>((((L33)+(L34))+(L35))+(L36))+(L37)</f>
        <v>0</v>
      </c>
      <c r="M38" s="469">
        <f t="shared" si="18"/>
        <v>0</v>
      </c>
      <c r="N38" s="475" t="str">
        <f t="shared" si="19"/>
        <v/>
      </c>
      <c r="O38" s="211">
        <f>((((O33)+(O34))+(O35))+(O36))+(O37)</f>
        <v>1500</v>
      </c>
      <c r="P38" s="469">
        <f>((((P33)+(P34))+(P35))+(P36))+(P37)</f>
        <v>0</v>
      </c>
      <c r="Q38" s="469">
        <f t="shared" si="20"/>
        <v>1500</v>
      </c>
      <c r="R38" s="475" t="str">
        <f t="shared" si="21"/>
        <v/>
      </c>
      <c r="S38" s="211">
        <f>((((S33)+(S34))+(S35))+(S36))+(S37)</f>
        <v>410</v>
      </c>
      <c r="T38" s="469">
        <f>((((T33)+(T34))+(T35))+(T36))+(T37)</f>
        <v>0</v>
      </c>
      <c r="U38" s="469">
        <f t="shared" si="22"/>
        <v>410</v>
      </c>
      <c r="V38" s="475" t="str">
        <f t="shared" si="23"/>
        <v/>
      </c>
      <c r="W38" s="211">
        <f t="shared" si="24"/>
        <v>29181.809999999998</v>
      </c>
      <c r="X38" s="469">
        <f t="shared" si="24"/>
        <v>17700</v>
      </c>
      <c r="Y38" s="469">
        <f t="shared" si="25"/>
        <v>11481.809999999998</v>
      </c>
      <c r="Z38" s="475">
        <f t="shared" si="26"/>
        <v>1.6486898305084745</v>
      </c>
    </row>
    <row r="39" spans="2:26" x14ac:dyDescent="0.25">
      <c r="B39" s="120" t="s">
        <v>210</v>
      </c>
      <c r="C39" s="166"/>
      <c r="D39" s="170"/>
      <c r="E39" s="170">
        <f t="shared" si="14"/>
        <v>0</v>
      </c>
      <c r="F39" s="472" t="str">
        <f t="shared" si="15"/>
        <v/>
      </c>
      <c r="G39" s="166"/>
      <c r="H39" s="170"/>
      <c r="I39" s="170">
        <f t="shared" si="16"/>
        <v>0</v>
      </c>
      <c r="J39" s="472" t="str">
        <f t="shared" si="17"/>
        <v/>
      </c>
      <c r="K39" s="166"/>
      <c r="L39" s="170"/>
      <c r="M39" s="170">
        <f t="shared" si="18"/>
        <v>0</v>
      </c>
      <c r="N39" s="472" t="str">
        <f t="shared" si="19"/>
        <v/>
      </c>
      <c r="O39" s="166"/>
      <c r="P39" s="170"/>
      <c r="Q39" s="170">
        <f t="shared" si="20"/>
        <v>0</v>
      </c>
      <c r="R39" s="472" t="str">
        <f t="shared" si="21"/>
        <v/>
      </c>
      <c r="S39" s="166"/>
      <c r="T39" s="170"/>
      <c r="U39" s="170">
        <f t="shared" si="22"/>
        <v>0</v>
      </c>
      <c r="V39" s="472" t="str">
        <f t="shared" si="23"/>
        <v/>
      </c>
      <c r="W39" s="166">
        <f t="shared" si="24"/>
        <v>0</v>
      </c>
      <c r="X39" s="170">
        <f t="shared" si="24"/>
        <v>0</v>
      </c>
      <c r="Y39" s="170">
        <f t="shared" si="25"/>
        <v>0</v>
      </c>
      <c r="Z39" s="472" t="str">
        <f t="shared" si="26"/>
        <v/>
      </c>
    </row>
    <row r="40" spans="2:26" x14ac:dyDescent="0.25">
      <c r="B40" s="120" t="s">
        <v>211</v>
      </c>
      <c r="C40" s="166">
        <f>33571.43</f>
        <v>33571.43</v>
      </c>
      <c r="D40" s="170">
        <f>30000</f>
        <v>30000</v>
      </c>
      <c r="E40" s="170">
        <f t="shared" si="14"/>
        <v>3571.4300000000003</v>
      </c>
      <c r="F40" s="472">
        <f t="shared" si="15"/>
        <v>1.1190476666666667</v>
      </c>
      <c r="G40" s="166"/>
      <c r="H40" s="170"/>
      <c r="I40" s="170">
        <f t="shared" si="16"/>
        <v>0</v>
      </c>
      <c r="J40" s="472" t="str">
        <f t="shared" si="17"/>
        <v/>
      </c>
      <c r="K40" s="166"/>
      <c r="L40" s="170"/>
      <c r="M40" s="170">
        <f t="shared" si="18"/>
        <v>0</v>
      </c>
      <c r="N40" s="472" t="str">
        <f t="shared" si="19"/>
        <v/>
      </c>
      <c r="O40" s="166"/>
      <c r="P40" s="170"/>
      <c r="Q40" s="170">
        <f t="shared" si="20"/>
        <v>0</v>
      </c>
      <c r="R40" s="472" t="str">
        <f t="shared" si="21"/>
        <v/>
      </c>
      <c r="S40" s="166"/>
      <c r="T40" s="170"/>
      <c r="U40" s="170">
        <f t="shared" si="22"/>
        <v>0</v>
      </c>
      <c r="V40" s="472" t="str">
        <f t="shared" si="23"/>
        <v/>
      </c>
      <c r="W40" s="166">
        <f t="shared" si="24"/>
        <v>33571.43</v>
      </c>
      <c r="X40" s="170">
        <f t="shared" si="24"/>
        <v>30000</v>
      </c>
      <c r="Y40" s="170">
        <f t="shared" si="25"/>
        <v>3571.4300000000003</v>
      </c>
      <c r="Z40" s="472">
        <f t="shared" si="26"/>
        <v>1.1190476666666667</v>
      </c>
    </row>
    <row r="41" spans="2:26" x14ac:dyDescent="0.25">
      <c r="B41" s="120" t="s">
        <v>212</v>
      </c>
      <c r="C41" s="166">
        <f>758.25</f>
        <v>758.25</v>
      </c>
      <c r="D41" s="170">
        <f>756</f>
        <v>756</v>
      </c>
      <c r="E41" s="170">
        <f t="shared" si="14"/>
        <v>2.25</v>
      </c>
      <c r="F41" s="472">
        <f t="shared" si="15"/>
        <v>1.0029761904761905</v>
      </c>
      <c r="G41" s="166"/>
      <c r="H41" s="170"/>
      <c r="I41" s="170">
        <f t="shared" si="16"/>
        <v>0</v>
      </c>
      <c r="J41" s="472" t="str">
        <f t="shared" si="17"/>
        <v/>
      </c>
      <c r="K41" s="166"/>
      <c r="L41" s="170"/>
      <c r="M41" s="170">
        <f t="shared" si="18"/>
        <v>0</v>
      </c>
      <c r="N41" s="472" t="str">
        <f t="shared" si="19"/>
        <v/>
      </c>
      <c r="O41" s="166"/>
      <c r="P41" s="170"/>
      <c r="Q41" s="170">
        <f t="shared" si="20"/>
        <v>0</v>
      </c>
      <c r="R41" s="472" t="str">
        <f t="shared" si="21"/>
        <v/>
      </c>
      <c r="S41" s="166"/>
      <c r="T41" s="170"/>
      <c r="U41" s="170">
        <f t="shared" si="22"/>
        <v>0</v>
      </c>
      <c r="V41" s="472" t="str">
        <f t="shared" si="23"/>
        <v/>
      </c>
      <c r="W41" s="166">
        <f t="shared" si="24"/>
        <v>758.25</v>
      </c>
      <c r="X41" s="170">
        <f t="shared" si="24"/>
        <v>756</v>
      </c>
      <c r="Y41" s="170">
        <f t="shared" si="25"/>
        <v>2.25</v>
      </c>
      <c r="Z41" s="472">
        <f t="shared" si="26"/>
        <v>1.0029761904761905</v>
      </c>
    </row>
    <row r="42" spans="2:26" ht="15" customHeight="1" x14ac:dyDescent="0.25">
      <c r="B42" s="120" t="s">
        <v>213</v>
      </c>
      <c r="C42" s="166">
        <f>2603.11</f>
        <v>2603.11</v>
      </c>
      <c r="D42" s="170">
        <f>2400</f>
        <v>2400</v>
      </c>
      <c r="E42" s="170">
        <f t="shared" si="14"/>
        <v>203.11000000000013</v>
      </c>
      <c r="F42" s="472">
        <f t="shared" si="15"/>
        <v>1.0846291666666668</v>
      </c>
      <c r="G42" s="166"/>
      <c r="H42" s="170"/>
      <c r="I42" s="170">
        <f t="shared" si="16"/>
        <v>0</v>
      </c>
      <c r="J42" s="472" t="str">
        <f t="shared" si="17"/>
        <v/>
      </c>
      <c r="K42" s="166"/>
      <c r="L42" s="170"/>
      <c r="M42" s="170">
        <f t="shared" si="18"/>
        <v>0</v>
      </c>
      <c r="N42" s="472" t="str">
        <f t="shared" si="19"/>
        <v/>
      </c>
      <c r="O42" s="166"/>
      <c r="P42" s="170"/>
      <c r="Q42" s="170">
        <f t="shared" si="20"/>
        <v>0</v>
      </c>
      <c r="R42" s="472" t="str">
        <f t="shared" si="21"/>
        <v/>
      </c>
      <c r="S42" s="166"/>
      <c r="T42" s="170"/>
      <c r="U42" s="170">
        <f t="shared" si="22"/>
        <v>0</v>
      </c>
      <c r="V42" s="472" t="str">
        <f t="shared" si="23"/>
        <v/>
      </c>
      <c r="W42" s="166">
        <f t="shared" si="24"/>
        <v>2603.11</v>
      </c>
      <c r="X42" s="170">
        <f t="shared" si="24"/>
        <v>2400</v>
      </c>
      <c r="Y42" s="170">
        <f t="shared" si="25"/>
        <v>203.11000000000013</v>
      </c>
      <c r="Z42" s="472">
        <f t="shared" si="26"/>
        <v>1.0846291666666668</v>
      </c>
    </row>
    <row r="43" spans="2:26" x14ac:dyDescent="0.25">
      <c r="B43" s="120" t="s">
        <v>214</v>
      </c>
      <c r="C43" s="166">
        <f>1175</f>
        <v>1175</v>
      </c>
      <c r="D43" s="170">
        <f>1137.51</f>
        <v>1137.51</v>
      </c>
      <c r="E43" s="170">
        <f t="shared" si="14"/>
        <v>37.490000000000009</v>
      </c>
      <c r="F43" s="472">
        <f t="shared" si="15"/>
        <v>1.0329579520180043</v>
      </c>
      <c r="G43" s="166"/>
      <c r="H43" s="170"/>
      <c r="I43" s="170">
        <f t="shared" si="16"/>
        <v>0</v>
      </c>
      <c r="J43" s="472" t="str">
        <f t="shared" si="17"/>
        <v/>
      </c>
      <c r="K43" s="166"/>
      <c r="L43" s="170"/>
      <c r="M43" s="170">
        <f t="shared" si="18"/>
        <v>0</v>
      </c>
      <c r="N43" s="472" t="str">
        <f t="shared" si="19"/>
        <v/>
      </c>
      <c r="O43" s="166"/>
      <c r="P43" s="170"/>
      <c r="Q43" s="170">
        <f t="shared" si="20"/>
        <v>0</v>
      </c>
      <c r="R43" s="472" t="str">
        <f t="shared" si="21"/>
        <v/>
      </c>
      <c r="S43" s="166"/>
      <c r="T43" s="170"/>
      <c r="U43" s="170">
        <f t="shared" si="22"/>
        <v>0</v>
      </c>
      <c r="V43" s="472" t="str">
        <f t="shared" si="23"/>
        <v/>
      </c>
      <c r="W43" s="166">
        <f t="shared" si="24"/>
        <v>1175</v>
      </c>
      <c r="X43" s="170">
        <f t="shared" si="24"/>
        <v>1137.51</v>
      </c>
      <c r="Y43" s="170">
        <f t="shared" si="25"/>
        <v>37.490000000000009</v>
      </c>
      <c r="Z43" s="472">
        <f t="shared" si="26"/>
        <v>1.0329579520180043</v>
      </c>
    </row>
    <row r="44" spans="2:26" x14ac:dyDescent="0.25">
      <c r="B44" s="120" t="s">
        <v>215</v>
      </c>
      <c r="C44" s="211">
        <f>((((C39)+(C40))+(C41))+(C42))+(C43)</f>
        <v>38107.79</v>
      </c>
      <c r="D44" s="469">
        <f>((((D39)+(D40))+(D41))+(D42))+(D43)</f>
        <v>34293.51</v>
      </c>
      <c r="E44" s="469">
        <f t="shared" si="14"/>
        <v>3814.2799999999988</v>
      </c>
      <c r="F44" s="475">
        <f t="shared" si="15"/>
        <v>1.1112245436527202</v>
      </c>
      <c r="G44" s="211">
        <f>((((G39)+(G40))+(G41))+(G42))+(G43)</f>
        <v>0</v>
      </c>
      <c r="H44" s="469">
        <f>((((H39)+(H40))+(H41))+(H42))+(H43)</f>
        <v>0</v>
      </c>
      <c r="I44" s="469">
        <f t="shared" si="16"/>
        <v>0</v>
      </c>
      <c r="J44" s="475" t="str">
        <f t="shared" si="17"/>
        <v/>
      </c>
      <c r="K44" s="211">
        <f>((((K39)+(K40))+(K41))+(K42))+(K43)</f>
        <v>0</v>
      </c>
      <c r="L44" s="469">
        <f>((((L39)+(L40))+(L41))+(L42))+(L43)</f>
        <v>0</v>
      </c>
      <c r="M44" s="469">
        <f t="shared" si="18"/>
        <v>0</v>
      </c>
      <c r="N44" s="475" t="str">
        <f t="shared" si="19"/>
        <v/>
      </c>
      <c r="O44" s="211">
        <f>((((O39)+(O40))+(O41))+(O42))+(O43)</f>
        <v>0</v>
      </c>
      <c r="P44" s="469">
        <f>((((P39)+(P40))+(P41))+(P42))+(P43)</f>
        <v>0</v>
      </c>
      <c r="Q44" s="469">
        <f t="shared" si="20"/>
        <v>0</v>
      </c>
      <c r="R44" s="475" t="str">
        <f t="shared" si="21"/>
        <v/>
      </c>
      <c r="S44" s="211">
        <f>((((S39)+(S40))+(S41))+(S42))+(S43)</f>
        <v>0</v>
      </c>
      <c r="T44" s="469">
        <f>((((T39)+(T40))+(T41))+(T42))+(T43)</f>
        <v>0</v>
      </c>
      <c r="U44" s="469">
        <f t="shared" si="22"/>
        <v>0</v>
      </c>
      <c r="V44" s="475" t="str">
        <f t="shared" si="23"/>
        <v/>
      </c>
      <c r="W44" s="211">
        <f t="shared" si="24"/>
        <v>38107.79</v>
      </c>
      <c r="X44" s="469">
        <f t="shared" si="24"/>
        <v>34293.51</v>
      </c>
      <c r="Y44" s="469">
        <f t="shared" si="25"/>
        <v>3814.2799999999988</v>
      </c>
      <c r="Z44" s="475">
        <f t="shared" si="26"/>
        <v>1.1112245436527202</v>
      </c>
    </row>
    <row r="45" spans="2:26" x14ac:dyDescent="0.25">
      <c r="B45" s="120" t="s">
        <v>216</v>
      </c>
      <c r="C45" s="166"/>
      <c r="D45" s="170"/>
      <c r="E45" s="170">
        <f t="shared" si="14"/>
        <v>0</v>
      </c>
      <c r="F45" s="472" t="str">
        <f t="shared" si="15"/>
        <v/>
      </c>
      <c r="G45" s="166"/>
      <c r="H45" s="170"/>
      <c r="I45" s="170">
        <f t="shared" si="16"/>
        <v>0</v>
      </c>
      <c r="J45" s="472" t="str">
        <f t="shared" si="17"/>
        <v/>
      </c>
      <c r="K45" s="166"/>
      <c r="L45" s="170"/>
      <c r="M45" s="170">
        <f t="shared" si="18"/>
        <v>0</v>
      </c>
      <c r="N45" s="472" t="str">
        <f t="shared" si="19"/>
        <v/>
      </c>
      <c r="O45" s="166"/>
      <c r="P45" s="170"/>
      <c r="Q45" s="170">
        <f t="shared" si="20"/>
        <v>0</v>
      </c>
      <c r="R45" s="472" t="str">
        <f t="shared" si="21"/>
        <v/>
      </c>
      <c r="S45" s="166"/>
      <c r="T45" s="170"/>
      <c r="U45" s="170">
        <f t="shared" si="22"/>
        <v>0</v>
      </c>
      <c r="V45" s="472" t="str">
        <f t="shared" si="23"/>
        <v/>
      </c>
      <c r="W45" s="166">
        <f t="shared" si="24"/>
        <v>0</v>
      </c>
      <c r="X45" s="170">
        <f t="shared" si="24"/>
        <v>0</v>
      </c>
      <c r="Y45" s="170">
        <f t="shared" si="25"/>
        <v>0</v>
      </c>
      <c r="Z45" s="472" t="str">
        <f t="shared" si="26"/>
        <v/>
      </c>
    </row>
    <row r="46" spans="2:26" x14ac:dyDescent="0.25">
      <c r="B46" s="120" t="s">
        <v>217</v>
      </c>
      <c r="C46" s="166">
        <f>15923.64</f>
        <v>15923.64</v>
      </c>
      <c r="D46" s="170">
        <f>10374.99</f>
        <v>10374.99</v>
      </c>
      <c r="E46" s="170">
        <f t="shared" si="14"/>
        <v>5548.65</v>
      </c>
      <c r="F46" s="472">
        <f t="shared" si="15"/>
        <v>1.5348101540338834</v>
      </c>
      <c r="G46" s="166">
        <f>1694.28</f>
        <v>1694.28</v>
      </c>
      <c r="H46" s="170"/>
      <c r="I46" s="170">
        <f t="shared" si="16"/>
        <v>1694.28</v>
      </c>
      <c r="J46" s="472" t="str">
        <f t="shared" si="17"/>
        <v/>
      </c>
      <c r="K46" s="166"/>
      <c r="L46" s="170"/>
      <c r="M46" s="170">
        <f t="shared" si="18"/>
        <v>0</v>
      </c>
      <c r="N46" s="472" t="str">
        <f t="shared" si="19"/>
        <v/>
      </c>
      <c r="O46" s="166"/>
      <c r="P46" s="170"/>
      <c r="Q46" s="170">
        <f t="shared" si="20"/>
        <v>0</v>
      </c>
      <c r="R46" s="472" t="str">
        <f t="shared" si="21"/>
        <v/>
      </c>
      <c r="S46" s="166">
        <f>3205.72</f>
        <v>3205.72</v>
      </c>
      <c r="T46" s="170"/>
      <c r="U46" s="170">
        <f t="shared" si="22"/>
        <v>3205.72</v>
      </c>
      <c r="V46" s="472" t="str">
        <f t="shared" si="23"/>
        <v/>
      </c>
      <c r="W46" s="166">
        <f t="shared" si="24"/>
        <v>20823.64</v>
      </c>
      <c r="X46" s="170">
        <f t="shared" si="24"/>
        <v>10374.99</v>
      </c>
      <c r="Y46" s="170">
        <f t="shared" si="25"/>
        <v>10448.65</v>
      </c>
      <c r="Z46" s="472">
        <f t="shared" si="26"/>
        <v>2.0070997658792926</v>
      </c>
    </row>
    <row r="47" spans="2:26" ht="15" customHeight="1" x14ac:dyDescent="0.25">
      <c r="B47" s="120" t="s">
        <v>218</v>
      </c>
      <c r="C47" s="166">
        <f>5206.78</f>
        <v>5206.78</v>
      </c>
      <c r="D47" s="170">
        <f>7749.99</f>
        <v>7749.99</v>
      </c>
      <c r="E47" s="170">
        <f t="shared" si="14"/>
        <v>-2543.21</v>
      </c>
      <c r="F47" s="472">
        <f t="shared" si="15"/>
        <v>0.6718434475399323</v>
      </c>
      <c r="G47" s="166"/>
      <c r="H47" s="170">
        <f>9000</f>
        <v>9000</v>
      </c>
      <c r="I47" s="170">
        <f t="shared" si="16"/>
        <v>-9000</v>
      </c>
      <c r="J47" s="472">
        <f t="shared" si="17"/>
        <v>0</v>
      </c>
      <c r="K47" s="166"/>
      <c r="L47" s="170"/>
      <c r="M47" s="170">
        <f t="shared" si="18"/>
        <v>0</v>
      </c>
      <c r="N47" s="472" t="str">
        <f t="shared" si="19"/>
        <v/>
      </c>
      <c r="O47" s="166">
        <f>923.75</f>
        <v>923.75</v>
      </c>
      <c r="P47" s="170"/>
      <c r="Q47" s="170">
        <f t="shared" si="20"/>
        <v>923.75</v>
      </c>
      <c r="R47" s="472" t="str">
        <f t="shared" si="21"/>
        <v/>
      </c>
      <c r="S47" s="166">
        <f>14.93</f>
        <v>14.93</v>
      </c>
      <c r="T47" s="170">
        <f>3999.99</f>
        <v>3999.99</v>
      </c>
      <c r="U47" s="170">
        <f t="shared" si="22"/>
        <v>-3985.06</v>
      </c>
      <c r="V47" s="472">
        <f t="shared" si="23"/>
        <v>3.7325093312733284E-3</v>
      </c>
      <c r="W47" s="166">
        <f t="shared" si="24"/>
        <v>6145.46</v>
      </c>
      <c r="X47" s="170">
        <f t="shared" si="24"/>
        <v>20749.979999999996</v>
      </c>
      <c r="Y47" s="170">
        <f t="shared" si="25"/>
        <v>-14604.519999999997</v>
      </c>
      <c r="Z47" s="472">
        <f t="shared" si="26"/>
        <v>0.2961670324501518</v>
      </c>
    </row>
    <row r="48" spans="2:26" x14ac:dyDescent="0.25">
      <c r="B48" s="120" t="s">
        <v>219</v>
      </c>
      <c r="C48" s="166">
        <f>926.65</f>
        <v>926.65</v>
      </c>
      <c r="D48" s="170">
        <f>1020</f>
        <v>1020</v>
      </c>
      <c r="E48" s="170">
        <f t="shared" si="14"/>
        <v>-93.350000000000023</v>
      </c>
      <c r="F48" s="472">
        <f t="shared" si="15"/>
        <v>0.90848039215686271</v>
      </c>
      <c r="G48" s="166"/>
      <c r="H48" s="170"/>
      <c r="I48" s="170">
        <f t="shared" si="16"/>
        <v>0</v>
      </c>
      <c r="J48" s="472" t="str">
        <f t="shared" si="17"/>
        <v/>
      </c>
      <c r="K48" s="166"/>
      <c r="L48" s="170"/>
      <c r="M48" s="170">
        <f t="shared" si="18"/>
        <v>0</v>
      </c>
      <c r="N48" s="472" t="str">
        <f t="shared" si="19"/>
        <v/>
      </c>
      <c r="O48" s="166"/>
      <c r="P48" s="170"/>
      <c r="Q48" s="170">
        <f t="shared" si="20"/>
        <v>0</v>
      </c>
      <c r="R48" s="472" t="str">
        <f t="shared" si="21"/>
        <v/>
      </c>
      <c r="S48" s="166"/>
      <c r="T48" s="170"/>
      <c r="U48" s="170">
        <f t="shared" si="22"/>
        <v>0</v>
      </c>
      <c r="V48" s="472" t="str">
        <f t="shared" si="23"/>
        <v/>
      </c>
      <c r="W48" s="166">
        <f t="shared" si="24"/>
        <v>926.65</v>
      </c>
      <c r="X48" s="170">
        <f t="shared" si="24"/>
        <v>1020</v>
      </c>
      <c r="Y48" s="170">
        <f t="shared" si="25"/>
        <v>-93.350000000000023</v>
      </c>
      <c r="Z48" s="472">
        <f t="shared" si="26"/>
        <v>0.90848039215686271</v>
      </c>
    </row>
    <row r="49" spans="2:26" ht="15" customHeight="1" x14ac:dyDescent="0.25">
      <c r="B49" s="120" t="s">
        <v>220</v>
      </c>
      <c r="C49" s="166">
        <f>4030.22</f>
        <v>4030.22</v>
      </c>
      <c r="D49" s="170">
        <f>3187.5</f>
        <v>3187.5</v>
      </c>
      <c r="E49" s="170">
        <f t="shared" si="14"/>
        <v>842.7199999999998</v>
      </c>
      <c r="F49" s="472">
        <f t="shared" si="15"/>
        <v>1.2643827450980392</v>
      </c>
      <c r="G49" s="166">
        <f>2336.65</f>
        <v>2336.65</v>
      </c>
      <c r="H49" s="170"/>
      <c r="I49" s="170">
        <f t="shared" si="16"/>
        <v>2336.65</v>
      </c>
      <c r="J49" s="472" t="str">
        <f t="shared" si="17"/>
        <v/>
      </c>
      <c r="K49" s="166"/>
      <c r="L49" s="170"/>
      <c r="M49" s="170">
        <f t="shared" si="18"/>
        <v>0</v>
      </c>
      <c r="N49" s="472" t="str">
        <f t="shared" si="19"/>
        <v/>
      </c>
      <c r="O49" s="166"/>
      <c r="P49" s="170"/>
      <c r="Q49" s="170">
        <f t="shared" si="20"/>
        <v>0</v>
      </c>
      <c r="R49" s="472" t="str">
        <f t="shared" si="21"/>
        <v/>
      </c>
      <c r="S49" s="166">
        <f>1370</f>
        <v>1370</v>
      </c>
      <c r="T49" s="170">
        <f>2000.01</f>
        <v>2000.01</v>
      </c>
      <c r="U49" s="170">
        <f t="shared" si="22"/>
        <v>-630.01</v>
      </c>
      <c r="V49" s="472">
        <f t="shared" si="23"/>
        <v>0.68499657501712496</v>
      </c>
      <c r="W49" s="166">
        <f t="shared" si="24"/>
        <v>7736.87</v>
      </c>
      <c r="X49" s="170">
        <f t="shared" si="24"/>
        <v>5187.51</v>
      </c>
      <c r="Y49" s="170">
        <f t="shared" si="25"/>
        <v>2549.3599999999997</v>
      </c>
      <c r="Z49" s="472">
        <f t="shared" si="26"/>
        <v>1.4914419442083002</v>
      </c>
    </row>
    <row r="50" spans="2:26" x14ac:dyDescent="0.25">
      <c r="B50" s="120" t="s">
        <v>221</v>
      </c>
      <c r="C50" s="211">
        <f>((((C45)+(C46))+(C47))+(C48))+(C49)</f>
        <v>26087.29</v>
      </c>
      <c r="D50" s="469">
        <f>((((D45)+(D46))+(D47))+(D48))+(D49)</f>
        <v>22332.48</v>
      </c>
      <c r="E50" s="469">
        <f t="shared" si="14"/>
        <v>3754.8100000000013</v>
      </c>
      <c r="F50" s="475">
        <f t="shared" si="15"/>
        <v>1.1681322450529454</v>
      </c>
      <c r="G50" s="211">
        <f>((((G45)+(G46))+(G47))+(G48))+(G49)</f>
        <v>4030.9300000000003</v>
      </c>
      <c r="H50" s="469">
        <f>((((H45)+(H46))+(H47))+(H48))+(H49)</f>
        <v>9000</v>
      </c>
      <c r="I50" s="469">
        <f t="shared" si="16"/>
        <v>-4969.07</v>
      </c>
      <c r="J50" s="475">
        <f t="shared" si="17"/>
        <v>0.44788111111111112</v>
      </c>
      <c r="K50" s="211">
        <f>((((K45)+(K46))+(K47))+(K48))+(K49)</f>
        <v>0</v>
      </c>
      <c r="L50" s="469">
        <f>((((L45)+(L46))+(L47))+(L48))+(L49)</f>
        <v>0</v>
      </c>
      <c r="M50" s="469">
        <f t="shared" si="18"/>
        <v>0</v>
      </c>
      <c r="N50" s="475" t="str">
        <f t="shared" si="19"/>
        <v/>
      </c>
      <c r="O50" s="211">
        <f>((((O45)+(O46))+(O47))+(O48))+(O49)</f>
        <v>923.75</v>
      </c>
      <c r="P50" s="469">
        <f>((((P45)+(P46))+(P47))+(P48))+(P49)</f>
        <v>0</v>
      </c>
      <c r="Q50" s="469">
        <f t="shared" si="20"/>
        <v>923.75</v>
      </c>
      <c r="R50" s="475" t="str">
        <f t="shared" si="21"/>
        <v/>
      </c>
      <c r="S50" s="211">
        <f>((((S45)+(S46))+(S47))+(S48))+(S49)</f>
        <v>4590.6499999999996</v>
      </c>
      <c r="T50" s="469">
        <f>((((T45)+(T46))+(T47))+(T48))+(T49)</f>
        <v>6000</v>
      </c>
      <c r="U50" s="469">
        <f t="shared" si="22"/>
        <v>-1409.3500000000004</v>
      </c>
      <c r="V50" s="475">
        <f t="shared" si="23"/>
        <v>0.76510833333333328</v>
      </c>
      <c r="W50" s="211">
        <f t="shared" si="24"/>
        <v>35632.620000000003</v>
      </c>
      <c r="X50" s="469">
        <f t="shared" si="24"/>
        <v>37332.479999999996</v>
      </c>
      <c r="Y50" s="469">
        <f t="shared" si="25"/>
        <v>-1699.8599999999933</v>
      </c>
      <c r="Z50" s="475">
        <f t="shared" si="26"/>
        <v>0.95446699495988496</v>
      </c>
    </row>
    <row r="51" spans="2:26" x14ac:dyDescent="0.25">
      <c r="B51" s="120" t="s">
        <v>222</v>
      </c>
      <c r="C51" s="166"/>
      <c r="D51" s="170"/>
      <c r="E51" s="170">
        <f t="shared" si="14"/>
        <v>0</v>
      </c>
      <c r="F51" s="472" t="str">
        <f t="shared" si="15"/>
        <v/>
      </c>
      <c r="G51" s="166"/>
      <c r="H51" s="170"/>
      <c r="I51" s="170">
        <f t="shared" si="16"/>
        <v>0</v>
      </c>
      <c r="J51" s="472" t="str">
        <f t="shared" si="17"/>
        <v/>
      </c>
      <c r="K51" s="166"/>
      <c r="L51" s="170"/>
      <c r="M51" s="170">
        <f t="shared" si="18"/>
        <v>0</v>
      </c>
      <c r="N51" s="472" t="str">
        <f t="shared" si="19"/>
        <v/>
      </c>
      <c r="O51" s="166"/>
      <c r="P51" s="170"/>
      <c r="Q51" s="170">
        <f t="shared" si="20"/>
        <v>0</v>
      </c>
      <c r="R51" s="472" t="str">
        <f t="shared" si="21"/>
        <v/>
      </c>
      <c r="S51" s="166"/>
      <c r="T51" s="170"/>
      <c r="U51" s="170">
        <f t="shared" si="22"/>
        <v>0</v>
      </c>
      <c r="V51" s="472" t="str">
        <f t="shared" si="23"/>
        <v/>
      </c>
      <c r="W51" s="166">
        <f t="shared" si="24"/>
        <v>0</v>
      </c>
      <c r="X51" s="170">
        <f t="shared" si="24"/>
        <v>0</v>
      </c>
      <c r="Y51" s="170">
        <f t="shared" si="25"/>
        <v>0</v>
      </c>
      <c r="Z51" s="472" t="str">
        <f t="shared" si="26"/>
        <v/>
      </c>
    </row>
    <row r="52" spans="2:26" x14ac:dyDescent="0.25">
      <c r="B52" s="120" t="s">
        <v>223</v>
      </c>
      <c r="C52" s="166">
        <f>47857.68</f>
        <v>47857.68</v>
      </c>
      <c r="D52" s="170">
        <f>50280.18</f>
        <v>50280.18</v>
      </c>
      <c r="E52" s="170">
        <f t="shared" si="14"/>
        <v>-2422.5</v>
      </c>
      <c r="F52" s="472">
        <f t="shared" si="15"/>
        <v>0.9518199815513787</v>
      </c>
      <c r="G52" s="166"/>
      <c r="H52" s="170"/>
      <c r="I52" s="170">
        <f t="shared" si="16"/>
        <v>0</v>
      </c>
      <c r="J52" s="472" t="str">
        <f t="shared" si="17"/>
        <v/>
      </c>
      <c r="K52" s="166"/>
      <c r="L52" s="170"/>
      <c r="M52" s="170">
        <f t="shared" si="18"/>
        <v>0</v>
      </c>
      <c r="N52" s="472" t="str">
        <f t="shared" si="19"/>
        <v/>
      </c>
      <c r="O52" s="166"/>
      <c r="P52" s="170"/>
      <c r="Q52" s="170">
        <f t="shared" si="20"/>
        <v>0</v>
      </c>
      <c r="R52" s="472" t="str">
        <f t="shared" si="21"/>
        <v/>
      </c>
      <c r="S52" s="166"/>
      <c r="T52" s="170"/>
      <c r="U52" s="170">
        <f t="shared" si="22"/>
        <v>0</v>
      </c>
      <c r="V52" s="472" t="str">
        <f t="shared" si="23"/>
        <v/>
      </c>
      <c r="W52" s="166">
        <f t="shared" si="24"/>
        <v>47857.68</v>
      </c>
      <c r="X52" s="170">
        <f t="shared" si="24"/>
        <v>50280.18</v>
      </c>
      <c r="Y52" s="170">
        <f t="shared" si="25"/>
        <v>-2422.5</v>
      </c>
      <c r="Z52" s="472">
        <f t="shared" si="26"/>
        <v>0.9518199815513787</v>
      </c>
    </row>
    <row r="53" spans="2:26" x14ac:dyDescent="0.25">
      <c r="B53" s="120" t="s">
        <v>224</v>
      </c>
      <c r="C53" s="166">
        <f>13564.32</f>
        <v>13564.32</v>
      </c>
      <c r="D53" s="170">
        <f>13024.44</f>
        <v>13024.44</v>
      </c>
      <c r="E53" s="170">
        <f t="shared" si="14"/>
        <v>539.8799999999992</v>
      </c>
      <c r="F53" s="472">
        <f t="shared" si="15"/>
        <v>1.0414513023208676</v>
      </c>
      <c r="G53" s="166"/>
      <c r="H53" s="170"/>
      <c r="I53" s="170">
        <f t="shared" si="16"/>
        <v>0</v>
      </c>
      <c r="J53" s="472" t="str">
        <f t="shared" si="17"/>
        <v/>
      </c>
      <c r="K53" s="166"/>
      <c r="L53" s="170"/>
      <c r="M53" s="170">
        <f t="shared" si="18"/>
        <v>0</v>
      </c>
      <c r="N53" s="472" t="str">
        <f t="shared" si="19"/>
        <v/>
      </c>
      <c r="O53" s="166"/>
      <c r="P53" s="170"/>
      <c r="Q53" s="170">
        <f t="shared" si="20"/>
        <v>0</v>
      </c>
      <c r="R53" s="472" t="str">
        <f t="shared" si="21"/>
        <v/>
      </c>
      <c r="S53" s="166"/>
      <c r="T53" s="170"/>
      <c r="U53" s="170">
        <f t="shared" si="22"/>
        <v>0</v>
      </c>
      <c r="V53" s="472" t="str">
        <f t="shared" si="23"/>
        <v/>
      </c>
      <c r="W53" s="166">
        <f t="shared" si="24"/>
        <v>13564.32</v>
      </c>
      <c r="X53" s="170">
        <f t="shared" si="24"/>
        <v>13024.44</v>
      </c>
      <c r="Y53" s="170">
        <f t="shared" si="25"/>
        <v>539.8799999999992</v>
      </c>
      <c r="Z53" s="472">
        <f t="shared" si="26"/>
        <v>1.0414513023208676</v>
      </c>
    </row>
    <row r="54" spans="2:26" x14ac:dyDescent="0.25">
      <c r="B54" s="120" t="s">
        <v>225</v>
      </c>
      <c r="C54" s="166">
        <f>17840.02</f>
        <v>17840.02</v>
      </c>
      <c r="D54" s="170">
        <f>20750.01</f>
        <v>20750.009999999998</v>
      </c>
      <c r="E54" s="170">
        <f t="shared" si="14"/>
        <v>-2909.989999999998</v>
      </c>
      <c r="F54" s="472">
        <f t="shared" si="15"/>
        <v>0.85975958565803112</v>
      </c>
      <c r="G54" s="166"/>
      <c r="H54" s="170"/>
      <c r="I54" s="170">
        <f t="shared" si="16"/>
        <v>0</v>
      </c>
      <c r="J54" s="472" t="str">
        <f t="shared" si="17"/>
        <v/>
      </c>
      <c r="K54" s="166"/>
      <c r="L54" s="170"/>
      <c r="M54" s="170">
        <f t="shared" si="18"/>
        <v>0</v>
      </c>
      <c r="N54" s="472" t="str">
        <f t="shared" si="19"/>
        <v/>
      </c>
      <c r="O54" s="166"/>
      <c r="P54" s="170"/>
      <c r="Q54" s="170">
        <f t="shared" si="20"/>
        <v>0</v>
      </c>
      <c r="R54" s="472" t="str">
        <f t="shared" si="21"/>
        <v/>
      </c>
      <c r="S54" s="166"/>
      <c r="T54" s="170"/>
      <c r="U54" s="170">
        <f t="shared" si="22"/>
        <v>0</v>
      </c>
      <c r="V54" s="472" t="str">
        <f t="shared" si="23"/>
        <v/>
      </c>
      <c r="W54" s="166">
        <f t="shared" si="24"/>
        <v>17840.02</v>
      </c>
      <c r="X54" s="170">
        <f t="shared" si="24"/>
        <v>20750.009999999998</v>
      </c>
      <c r="Y54" s="170">
        <f t="shared" si="25"/>
        <v>-2909.989999999998</v>
      </c>
      <c r="Z54" s="472">
        <f t="shared" si="26"/>
        <v>0.85975958565803112</v>
      </c>
    </row>
    <row r="55" spans="2:26" x14ac:dyDescent="0.25">
      <c r="B55" s="120" t="s">
        <v>226</v>
      </c>
      <c r="C55" s="166">
        <f>3743.21</f>
        <v>3743.21</v>
      </c>
      <c r="D55" s="170">
        <f>3696.33</f>
        <v>3696.33</v>
      </c>
      <c r="E55" s="170">
        <f t="shared" si="14"/>
        <v>46.880000000000109</v>
      </c>
      <c r="F55" s="472">
        <f t="shared" si="15"/>
        <v>1.0126828502866356</v>
      </c>
      <c r="G55" s="166"/>
      <c r="H55" s="170"/>
      <c r="I55" s="170">
        <f t="shared" si="16"/>
        <v>0</v>
      </c>
      <c r="J55" s="472" t="str">
        <f t="shared" si="17"/>
        <v/>
      </c>
      <c r="K55" s="166"/>
      <c r="L55" s="170"/>
      <c r="M55" s="170">
        <f t="shared" si="18"/>
        <v>0</v>
      </c>
      <c r="N55" s="472" t="str">
        <f t="shared" si="19"/>
        <v/>
      </c>
      <c r="O55" s="166"/>
      <c r="P55" s="170"/>
      <c r="Q55" s="170">
        <f t="shared" si="20"/>
        <v>0</v>
      </c>
      <c r="R55" s="472" t="str">
        <f t="shared" si="21"/>
        <v/>
      </c>
      <c r="S55" s="166"/>
      <c r="T55" s="170"/>
      <c r="U55" s="170">
        <f t="shared" si="22"/>
        <v>0</v>
      </c>
      <c r="V55" s="472" t="str">
        <f t="shared" si="23"/>
        <v/>
      </c>
      <c r="W55" s="166">
        <f t="shared" ref="W55:X78" si="27">((((C55)+(G55))+(K55))+(O55))+(S55)</f>
        <v>3743.21</v>
      </c>
      <c r="X55" s="170">
        <f t="shared" si="27"/>
        <v>3696.33</v>
      </c>
      <c r="Y55" s="170">
        <f t="shared" si="25"/>
        <v>46.880000000000109</v>
      </c>
      <c r="Z55" s="472">
        <f t="shared" si="26"/>
        <v>1.0126828502866356</v>
      </c>
    </row>
    <row r="56" spans="2:26" x14ac:dyDescent="0.25">
      <c r="B56" s="120" t="s">
        <v>227</v>
      </c>
      <c r="C56" s="166"/>
      <c r="D56" s="170"/>
      <c r="E56" s="170">
        <f t="shared" si="14"/>
        <v>0</v>
      </c>
      <c r="F56" s="472" t="str">
        <f t="shared" si="15"/>
        <v/>
      </c>
      <c r="G56" s="166">
        <f>8503.67</f>
        <v>8503.67</v>
      </c>
      <c r="H56" s="170">
        <f>22500</f>
        <v>22500</v>
      </c>
      <c r="I56" s="170">
        <f t="shared" si="16"/>
        <v>-13996.33</v>
      </c>
      <c r="J56" s="472">
        <f t="shared" si="17"/>
        <v>0.37794088888888888</v>
      </c>
      <c r="K56" s="166"/>
      <c r="L56" s="170"/>
      <c r="M56" s="170">
        <f t="shared" si="18"/>
        <v>0</v>
      </c>
      <c r="N56" s="472" t="str">
        <f t="shared" si="19"/>
        <v/>
      </c>
      <c r="O56" s="166"/>
      <c r="P56" s="170"/>
      <c r="Q56" s="170">
        <f t="shared" si="20"/>
        <v>0</v>
      </c>
      <c r="R56" s="472" t="str">
        <f t="shared" si="21"/>
        <v/>
      </c>
      <c r="S56" s="166"/>
      <c r="T56" s="170">
        <f>0</f>
        <v>0</v>
      </c>
      <c r="U56" s="170">
        <f t="shared" si="22"/>
        <v>0</v>
      </c>
      <c r="V56" s="472" t="str">
        <f t="shared" si="23"/>
        <v/>
      </c>
      <c r="W56" s="166">
        <f t="shared" si="27"/>
        <v>8503.67</v>
      </c>
      <c r="X56" s="170">
        <f t="shared" si="27"/>
        <v>22500</v>
      </c>
      <c r="Y56" s="170">
        <f t="shared" si="25"/>
        <v>-13996.33</v>
      </c>
      <c r="Z56" s="472">
        <f t="shared" si="26"/>
        <v>0.37794088888888888</v>
      </c>
    </row>
    <row r="57" spans="2:26" x14ac:dyDescent="0.25">
      <c r="B57" s="120" t="s">
        <v>228</v>
      </c>
      <c r="C57" s="211">
        <f>(((((C51)+(C52))+(C53))+(C54))+(C55))+(C56)</f>
        <v>83005.23000000001</v>
      </c>
      <c r="D57" s="469">
        <f>(((((D51)+(D52))+(D53))+(D54))+(D55))+(D56)</f>
        <v>87750.96</v>
      </c>
      <c r="E57" s="469">
        <f t="shared" si="14"/>
        <v>-4745.7299999999959</v>
      </c>
      <c r="F57" s="475">
        <f t="shared" si="15"/>
        <v>0.94591819850176007</v>
      </c>
      <c r="G57" s="211">
        <f>(((((G51)+(G52))+(G53))+(G54))+(G55))+(G56)</f>
        <v>8503.67</v>
      </c>
      <c r="H57" s="469">
        <f>(((((H51)+(H52))+(H53))+(H54))+(H55))+(H56)</f>
        <v>22500</v>
      </c>
      <c r="I57" s="469">
        <f t="shared" si="16"/>
        <v>-13996.33</v>
      </c>
      <c r="J57" s="475">
        <f t="shared" si="17"/>
        <v>0.37794088888888888</v>
      </c>
      <c r="K57" s="211">
        <f>(((((K51)+(K52))+(K53))+(K54))+(K55))+(K56)</f>
        <v>0</v>
      </c>
      <c r="L57" s="469">
        <f>(((((L51)+(L52))+(L53))+(L54))+(L55))+(L56)</f>
        <v>0</v>
      </c>
      <c r="M57" s="469">
        <f t="shared" si="18"/>
        <v>0</v>
      </c>
      <c r="N57" s="475" t="str">
        <f t="shared" si="19"/>
        <v/>
      </c>
      <c r="O57" s="211">
        <f>(((((O51)+(O52))+(O53))+(O54))+(O55))+(O56)</f>
        <v>0</v>
      </c>
      <c r="P57" s="469">
        <f>(((((P51)+(P52))+(P53))+(P54))+(P55))+(P56)</f>
        <v>0</v>
      </c>
      <c r="Q57" s="469">
        <f t="shared" si="20"/>
        <v>0</v>
      </c>
      <c r="R57" s="475" t="str">
        <f t="shared" si="21"/>
        <v/>
      </c>
      <c r="S57" s="211">
        <f>(((((S51)+(S52))+(S53))+(S54))+(S55))+(S56)</f>
        <v>0</v>
      </c>
      <c r="T57" s="469">
        <f>(((((T51)+(T52))+(T53))+(T54))+(T55))+(T56)</f>
        <v>0</v>
      </c>
      <c r="U57" s="469">
        <f t="shared" si="22"/>
        <v>0</v>
      </c>
      <c r="V57" s="475" t="str">
        <f t="shared" si="23"/>
        <v/>
      </c>
      <c r="W57" s="211">
        <f t="shared" si="27"/>
        <v>91508.900000000009</v>
      </c>
      <c r="X57" s="469">
        <f t="shared" si="27"/>
        <v>110250.96</v>
      </c>
      <c r="Y57" s="469">
        <f t="shared" si="25"/>
        <v>-18742.059999999998</v>
      </c>
      <c r="Z57" s="475">
        <f t="shared" si="26"/>
        <v>0.83000547115417411</v>
      </c>
    </row>
    <row r="58" spans="2:26" x14ac:dyDescent="0.25">
      <c r="B58" s="120" t="s">
        <v>229</v>
      </c>
      <c r="C58" s="166"/>
      <c r="D58" s="170"/>
      <c r="E58" s="170">
        <f t="shared" si="14"/>
        <v>0</v>
      </c>
      <c r="F58" s="472" t="str">
        <f t="shared" si="15"/>
        <v/>
      </c>
      <c r="G58" s="166"/>
      <c r="H58" s="170"/>
      <c r="I58" s="170">
        <f t="shared" si="16"/>
        <v>0</v>
      </c>
      <c r="J58" s="472" t="str">
        <f t="shared" si="17"/>
        <v/>
      </c>
      <c r="K58" s="166"/>
      <c r="L58" s="170"/>
      <c r="M58" s="170">
        <f t="shared" si="18"/>
        <v>0</v>
      </c>
      <c r="N58" s="472" t="str">
        <f t="shared" si="19"/>
        <v/>
      </c>
      <c r="O58" s="166"/>
      <c r="P58" s="170"/>
      <c r="Q58" s="170">
        <f t="shared" si="20"/>
        <v>0</v>
      </c>
      <c r="R58" s="472" t="str">
        <f t="shared" si="21"/>
        <v/>
      </c>
      <c r="S58" s="166"/>
      <c r="T58" s="170"/>
      <c r="U58" s="170">
        <f t="shared" si="22"/>
        <v>0</v>
      </c>
      <c r="V58" s="472" t="str">
        <f t="shared" si="23"/>
        <v/>
      </c>
      <c r="W58" s="166">
        <f t="shared" si="27"/>
        <v>0</v>
      </c>
      <c r="X58" s="170">
        <f t="shared" si="27"/>
        <v>0</v>
      </c>
      <c r="Y58" s="170">
        <f t="shared" si="25"/>
        <v>0</v>
      </c>
      <c r="Z58" s="472" t="str">
        <f t="shared" si="26"/>
        <v/>
      </c>
    </row>
    <row r="59" spans="2:26" x14ac:dyDescent="0.25">
      <c r="B59" s="120" t="s">
        <v>230</v>
      </c>
      <c r="C59" s="166">
        <f>9507.38</f>
        <v>9507.3799999999992</v>
      </c>
      <c r="D59" s="170">
        <f>15562.5</f>
        <v>15562.5</v>
      </c>
      <c r="E59" s="170">
        <f t="shared" si="14"/>
        <v>-6055.1200000000008</v>
      </c>
      <c r="F59" s="472">
        <f t="shared" si="15"/>
        <v>0.61091598393574287</v>
      </c>
      <c r="G59" s="166">
        <f>500</f>
        <v>500</v>
      </c>
      <c r="H59" s="170"/>
      <c r="I59" s="170">
        <f t="shared" si="16"/>
        <v>500</v>
      </c>
      <c r="J59" s="472" t="str">
        <f t="shared" si="17"/>
        <v/>
      </c>
      <c r="K59" s="166"/>
      <c r="L59" s="170"/>
      <c r="M59" s="170">
        <f t="shared" si="18"/>
        <v>0</v>
      </c>
      <c r="N59" s="472" t="str">
        <f t="shared" si="19"/>
        <v/>
      </c>
      <c r="O59" s="166"/>
      <c r="P59" s="170"/>
      <c r="Q59" s="170">
        <f t="shared" si="20"/>
        <v>0</v>
      </c>
      <c r="R59" s="472" t="str">
        <f t="shared" si="21"/>
        <v/>
      </c>
      <c r="S59" s="166">
        <f>500</f>
        <v>500</v>
      </c>
      <c r="T59" s="170"/>
      <c r="U59" s="170">
        <f t="shared" si="22"/>
        <v>500</v>
      </c>
      <c r="V59" s="472" t="str">
        <f t="shared" si="23"/>
        <v/>
      </c>
      <c r="W59" s="166">
        <f t="shared" si="27"/>
        <v>10507.38</v>
      </c>
      <c r="X59" s="170">
        <f t="shared" si="27"/>
        <v>15562.5</v>
      </c>
      <c r="Y59" s="170">
        <f t="shared" si="25"/>
        <v>-5055.1200000000008</v>
      </c>
      <c r="Z59" s="472">
        <f t="shared" si="26"/>
        <v>0.67517301204819269</v>
      </c>
    </row>
    <row r="60" spans="2:26" x14ac:dyDescent="0.25">
      <c r="B60" s="120" t="s">
        <v>231</v>
      </c>
      <c r="C60" s="166">
        <f>12085.25</f>
        <v>12085.25</v>
      </c>
      <c r="D60" s="170">
        <f>7005.78</f>
        <v>7005.78</v>
      </c>
      <c r="E60" s="170">
        <f t="shared" si="14"/>
        <v>5079.47</v>
      </c>
      <c r="F60" s="472">
        <f t="shared" si="15"/>
        <v>1.7250398956290378</v>
      </c>
      <c r="G60" s="166">
        <f>5</f>
        <v>5</v>
      </c>
      <c r="H60" s="170"/>
      <c r="I60" s="170">
        <f t="shared" si="16"/>
        <v>5</v>
      </c>
      <c r="J60" s="472" t="str">
        <f t="shared" si="17"/>
        <v/>
      </c>
      <c r="K60" s="166"/>
      <c r="L60" s="170"/>
      <c r="M60" s="170">
        <f t="shared" si="18"/>
        <v>0</v>
      </c>
      <c r="N60" s="472" t="str">
        <f t="shared" si="19"/>
        <v/>
      </c>
      <c r="O60" s="166">
        <f>185</f>
        <v>185</v>
      </c>
      <c r="P60" s="170">
        <f>3125.01</f>
        <v>3125.01</v>
      </c>
      <c r="Q60" s="170">
        <f t="shared" si="20"/>
        <v>-2940.01</v>
      </c>
      <c r="R60" s="472">
        <f t="shared" si="21"/>
        <v>5.9199810560606199E-2</v>
      </c>
      <c r="S60" s="166">
        <f>1004.76</f>
        <v>1004.76</v>
      </c>
      <c r="T60" s="170"/>
      <c r="U60" s="170">
        <f t="shared" si="22"/>
        <v>1004.76</v>
      </c>
      <c r="V60" s="472" t="str">
        <f t="shared" si="23"/>
        <v/>
      </c>
      <c r="W60" s="166">
        <f t="shared" si="27"/>
        <v>13280.01</v>
      </c>
      <c r="X60" s="170">
        <f t="shared" si="27"/>
        <v>10130.790000000001</v>
      </c>
      <c r="Y60" s="170">
        <f t="shared" si="25"/>
        <v>3149.2199999999993</v>
      </c>
      <c r="Z60" s="472">
        <f t="shared" si="26"/>
        <v>1.3108563103173592</v>
      </c>
    </row>
    <row r="61" spans="2:26" x14ac:dyDescent="0.25">
      <c r="B61" s="120" t="s">
        <v>232</v>
      </c>
      <c r="C61" s="166">
        <f>1561.45</f>
        <v>1561.45</v>
      </c>
      <c r="D61" s="170">
        <f>5187.51</f>
        <v>5187.51</v>
      </c>
      <c r="E61" s="170">
        <f t="shared" si="14"/>
        <v>-3626.0600000000004</v>
      </c>
      <c r="F61" s="472">
        <f t="shared" si="15"/>
        <v>0.30100182939406384</v>
      </c>
      <c r="G61" s="166"/>
      <c r="H61" s="170"/>
      <c r="I61" s="170">
        <f t="shared" si="16"/>
        <v>0</v>
      </c>
      <c r="J61" s="472" t="str">
        <f t="shared" si="17"/>
        <v/>
      </c>
      <c r="K61" s="166"/>
      <c r="L61" s="170"/>
      <c r="M61" s="170">
        <f t="shared" si="18"/>
        <v>0</v>
      </c>
      <c r="N61" s="472" t="str">
        <f t="shared" si="19"/>
        <v/>
      </c>
      <c r="O61" s="166">
        <v>75</v>
      </c>
      <c r="P61" s="170"/>
      <c r="Q61" s="170">
        <f t="shared" si="20"/>
        <v>75</v>
      </c>
      <c r="R61" s="472" t="str">
        <f t="shared" si="21"/>
        <v/>
      </c>
      <c r="S61" s="166"/>
      <c r="T61" s="170"/>
      <c r="U61" s="170">
        <f t="shared" si="22"/>
        <v>0</v>
      </c>
      <c r="V61" s="472" t="str">
        <f t="shared" si="23"/>
        <v/>
      </c>
      <c r="W61" s="166">
        <f t="shared" si="27"/>
        <v>1636.45</v>
      </c>
      <c r="X61" s="170">
        <f t="shared" si="27"/>
        <v>5187.51</v>
      </c>
      <c r="Y61" s="170">
        <f t="shared" si="25"/>
        <v>-3551.0600000000004</v>
      </c>
      <c r="Z61" s="472">
        <f t="shared" si="26"/>
        <v>0.31545963284890055</v>
      </c>
    </row>
    <row r="62" spans="2:26" x14ac:dyDescent="0.25">
      <c r="B62" s="120" t="s">
        <v>233</v>
      </c>
      <c r="C62" s="166">
        <f>6961.92</f>
        <v>6961.92</v>
      </c>
      <c r="D62" s="170">
        <f>6961.92</f>
        <v>6961.92</v>
      </c>
      <c r="E62" s="170">
        <f t="shared" si="14"/>
        <v>0</v>
      </c>
      <c r="F62" s="472">
        <f t="shared" si="15"/>
        <v>1</v>
      </c>
      <c r="G62" s="166"/>
      <c r="H62" s="170"/>
      <c r="I62" s="170">
        <f t="shared" si="16"/>
        <v>0</v>
      </c>
      <c r="J62" s="472" t="str">
        <f t="shared" si="17"/>
        <v/>
      </c>
      <c r="K62" s="166"/>
      <c r="L62" s="170"/>
      <c r="M62" s="170">
        <f t="shared" si="18"/>
        <v>0</v>
      </c>
      <c r="N62" s="472" t="str">
        <f t="shared" si="19"/>
        <v/>
      </c>
      <c r="O62" s="166"/>
      <c r="P62" s="170"/>
      <c r="Q62" s="170">
        <f t="shared" si="20"/>
        <v>0</v>
      </c>
      <c r="R62" s="472" t="str">
        <f t="shared" si="21"/>
        <v/>
      </c>
      <c r="S62" s="166"/>
      <c r="T62" s="170"/>
      <c r="U62" s="170">
        <f t="shared" si="22"/>
        <v>0</v>
      </c>
      <c r="V62" s="472" t="str">
        <f t="shared" si="23"/>
        <v/>
      </c>
      <c r="W62" s="166">
        <f t="shared" si="27"/>
        <v>6961.92</v>
      </c>
      <c r="X62" s="170">
        <f t="shared" si="27"/>
        <v>6961.92</v>
      </c>
      <c r="Y62" s="170">
        <f t="shared" si="25"/>
        <v>0</v>
      </c>
      <c r="Z62" s="472">
        <f t="shared" si="26"/>
        <v>1</v>
      </c>
    </row>
    <row r="63" spans="2:26" x14ac:dyDescent="0.25">
      <c r="B63" s="120" t="s">
        <v>234</v>
      </c>
      <c r="C63" s="166"/>
      <c r="D63" s="170">
        <f>1275</f>
        <v>1275</v>
      </c>
      <c r="E63" s="170">
        <f t="shared" si="14"/>
        <v>-1275</v>
      </c>
      <c r="F63" s="472">
        <f t="shared" si="15"/>
        <v>0</v>
      </c>
      <c r="G63" s="166"/>
      <c r="H63" s="170"/>
      <c r="I63" s="170">
        <f t="shared" si="16"/>
        <v>0</v>
      </c>
      <c r="J63" s="472" t="str">
        <f t="shared" si="17"/>
        <v/>
      </c>
      <c r="K63" s="166"/>
      <c r="L63" s="170"/>
      <c r="M63" s="170">
        <f t="shared" si="18"/>
        <v>0</v>
      </c>
      <c r="N63" s="472" t="str">
        <f t="shared" si="19"/>
        <v/>
      </c>
      <c r="O63" s="166"/>
      <c r="P63" s="170"/>
      <c r="Q63" s="170">
        <f t="shared" si="20"/>
        <v>0</v>
      </c>
      <c r="R63" s="472" t="str">
        <f t="shared" si="21"/>
        <v/>
      </c>
      <c r="S63" s="166"/>
      <c r="T63" s="170"/>
      <c r="U63" s="170">
        <f t="shared" si="22"/>
        <v>0</v>
      </c>
      <c r="V63" s="472" t="str">
        <f t="shared" si="23"/>
        <v/>
      </c>
      <c r="W63" s="166">
        <f t="shared" si="27"/>
        <v>0</v>
      </c>
      <c r="X63" s="170">
        <f t="shared" si="27"/>
        <v>1275</v>
      </c>
      <c r="Y63" s="170">
        <f t="shared" si="25"/>
        <v>-1275</v>
      </c>
      <c r="Z63" s="472">
        <f t="shared" si="26"/>
        <v>0</v>
      </c>
    </row>
    <row r="64" spans="2:26" x14ac:dyDescent="0.25">
      <c r="B64" s="120" t="s">
        <v>235</v>
      </c>
      <c r="C64" s="166">
        <f>3064.97</f>
        <v>3064.97</v>
      </c>
      <c r="D64" s="170">
        <f>2075.01</f>
        <v>2075.0100000000002</v>
      </c>
      <c r="E64" s="170">
        <f t="shared" si="14"/>
        <v>989.95999999999958</v>
      </c>
      <c r="F64" s="472">
        <f t="shared" si="15"/>
        <v>1.4770868574127352</v>
      </c>
      <c r="G64" s="166"/>
      <c r="H64" s="170"/>
      <c r="I64" s="170">
        <f t="shared" si="16"/>
        <v>0</v>
      </c>
      <c r="J64" s="472" t="str">
        <f t="shared" si="17"/>
        <v/>
      </c>
      <c r="K64" s="166"/>
      <c r="L64" s="170"/>
      <c r="M64" s="170">
        <f t="shared" si="18"/>
        <v>0</v>
      </c>
      <c r="N64" s="472" t="str">
        <f t="shared" si="19"/>
        <v/>
      </c>
      <c r="O64" s="166"/>
      <c r="P64" s="170"/>
      <c r="Q64" s="170">
        <f t="shared" si="20"/>
        <v>0</v>
      </c>
      <c r="R64" s="472" t="str">
        <f t="shared" si="21"/>
        <v/>
      </c>
      <c r="S64" s="166"/>
      <c r="T64" s="170"/>
      <c r="U64" s="170">
        <f t="shared" si="22"/>
        <v>0</v>
      </c>
      <c r="V64" s="472" t="str">
        <f t="shared" si="23"/>
        <v/>
      </c>
      <c r="W64" s="166">
        <f t="shared" si="27"/>
        <v>3064.97</v>
      </c>
      <c r="X64" s="170">
        <f t="shared" si="27"/>
        <v>2075.0100000000002</v>
      </c>
      <c r="Y64" s="170">
        <f t="shared" si="25"/>
        <v>989.95999999999958</v>
      </c>
      <c r="Z64" s="472">
        <f t="shared" si="26"/>
        <v>1.4770868574127352</v>
      </c>
    </row>
    <row r="65" spans="2:26" x14ac:dyDescent="0.25">
      <c r="B65" s="120" t="s">
        <v>236</v>
      </c>
      <c r="C65" s="166">
        <f>5788.43</f>
        <v>5788.43</v>
      </c>
      <c r="D65" s="170">
        <f>1550.01</f>
        <v>1550.01</v>
      </c>
      <c r="E65" s="170">
        <f t="shared" si="14"/>
        <v>4238.42</v>
      </c>
      <c r="F65" s="472">
        <f t="shared" si="15"/>
        <v>3.7344468745362933</v>
      </c>
      <c r="G65" s="166">
        <f>491.81</f>
        <v>491.81</v>
      </c>
      <c r="H65" s="170"/>
      <c r="I65" s="170">
        <f t="shared" si="16"/>
        <v>491.81</v>
      </c>
      <c r="J65" s="472" t="str">
        <f t="shared" si="17"/>
        <v/>
      </c>
      <c r="K65" s="166"/>
      <c r="L65" s="170"/>
      <c r="M65" s="170">
        <f t="shared" si="18"/>
        <v>0</v>
      </c>
      <c r="N65" s="472" t="str">
        <f t="shared" si="19"/>
        <v/>
      </c>
      <c r="O65" s="166">
        <f>193.18</f>
        <v>193.18</v>
      </c>
      <c r="P65" s="170">
        <f>1562.49</f>
        <v>1562.49</v>
      </c>
      <c r="Q65" s="170">
        <f t="shared" si="20"/>
        <v>-1369.31</v>
      </c>
      <c r="R65" s="472">
        <f t="shared" si="21"/>
        <v>0.12363599127034414</v>
      </c>
      <c r="S65" s="166"/>
      <c r="T65" s="170"/>
      <c r="U65" s="170">
        <f t="shared" si="22"/>
        <v>0</v>
      </c>
      <c r="V65" s="472" t="str">
        <f t="shared" si="23"/>
        <v/>
      </c>
      <c r="W65" s="166">
        <f t="shared" si="27"/>
        <v>6473.420000000001</v>
      </c>
      <c r="X65" s="170">
        <f t="shared" si="27"/>
        <v>3112.5</v>
      </c>
      <c r="Y65" s="170">
        <f t="shared" si="25"/>
        <v>3360.920000000001</v>
      </c>
      <c r="Z65" s="472">
        <f t="shared" si="26"/>
        <v>2.0798136546184742</v>
      </c>
    </row>
    <row r="66" spans="2:26" x14ac:dyDescent="0.25">
      <c r="B66" s="120" t="s">
        <v>237</v>
      </c>
      <c r="C66" s="166">
        <f>734.74</f>
        <v>734.74</v>
      </c>
      <c r="D66" s="170">
        <f>1037.49</f>
        <v>1037.49</v>
      </c>
      <c r="E66" s="170">
        <f t="shared" si="14"/>
        <v>-302.75</v>
      </c>
      <c r="F66" s="472">
        <f t="shared" si="15"/>
        <v>0.70818995845743093</v>
      </c>
      <c r="G66" s="166">
        <f>4155.72</f>
        <v>4155.72</v>
      </c>
      <c r="H66" s="170"/>
      <c r="I66" s="170">
        <f t="shared" si="16"/>
        <v>4155.72</v>
      </c>
      <c r="J66" s="472" t="str">
        <f t="shared" si="17"/>
        <v/>
      </c>
      <c r="K66" s="166"/>
      <c r="L66" s="170"/>
      <c r="M66" s="170">
        <f t="shared" si="18"/>
        <v>0</v>
      </c>
      <c r="N66" s="472" t="str">
        <f t="shared" si="19"/>
        <v/>
      </c>
      <c r="O66" s="166"/>
      <c r="P66" s="170"/>
      <c r="Q66" s="170">
        <f t="shared" si="20"/>
        <v>0</v>
      </c>
      <c r="R66" s="472" t="str">
        <f t="shared" si="21"/>
        <v/>
      </c>
      <c r="S66" s="166">
        <f>23.1</f>
        <v>23.1</v>
      </c>
      <c r="T66" s="170"/>
      <c r="U66" s="170">
        <f t="shared" si="22"/>
        <v>23.1</v>
      </c>
      <c r="V66" s="472" t="str">
        <f t="shared" si="23"/>
        <v/>
      </c>
      <c r="W66" s="166">
        <f t="shared" si="27"/>
        <v>4913.5600000000004</v>
      </c>
      <c r="X66" s="170">
        <f t="shared" si="27"/>
        <v>1037.49</v>
      </c>
      <c r="Y66" s="170">
        <f t="shared" si="25"/>
        <v>3876.0700000000006</v>
      </c>
      <c r="Z66" s="472">
        <f t="shared" si="26"/>
        <v>4.7360070940442807</v>
      </c>
    </row>
    <row r="67" spans="2:26" x14ac:dyDescent="0.25">
      <c r="B67" s="120" t="s">
        <v>238</v>
      </c>
      <c r="C67" s="166">
        <f>514.62</f>
        <v>514.62</v>
      </c>
      <c r="D67" s="170">
        <f>514.62</f>
        <v>514.62</v>
      </c>
      <c r="E67" s="170">
        <f t="shared" si="14"/>
        <v>0</v>
      </c>
      <c r="F67" s="472">
        <f t="shared" si="15"/>
        <v>1</v>
      </c>
      <c r="G67" s="166"/>
      <c r="H67" s="170"/>
      <c r="I67" s="170">
        <f t="shared" si="16"/>
        <v>0</v>
      </c>
      <c r="J67" s="472" t="str">
        <f t="shared" si="17"/>
        <v/>
      </c>
      <c r="K67" s="166"/>
      <c r="L67" s="170"/>
      <c r="M67" s="170">
        <f t="shared" si="18"/>
        <v>0</v>
      </c>
      <c r="N67" s="472" t="str">
        <f t="shared" si="19"/>
        <v/>
      </c>
      <c r="O67" s="166"/>
      <c r="P67" s="170"/>
      <c r="Q67" s="170">
        <f t="shared" si="20"/>
        <v>0</v>
      </c>
      <c r="R67" s="472" t="str">
        <f t="shared" si="21"/>
        <v/>
      </c>
      <c r="S67" s="166"/>
      <c r="T67" s="170"/>
      <c r="U67" s="170">
        <f t="shared" si="22"/>
        <v>0</v>
      </c>
      <c r="V67" s="472" t="str">
        <f t="shared" si="23"/>
        <v/>
      </c>
      <c r="W67" s="166">
        <f t="shared" si="27"/>
        <v>514.62</v>
      </c>
      <c r="X67" s="170">
        <f t="shared" si="27"/>
        <v>514.62</v>
      </c>
      <c r="Y67" s="170">
        <f t="shared" si="25"/>
        <v>0</v>
      </c>
      <c r="Z67" s="472">
        <f t="shared" si="26"/>
        <v>1</v>
      </c>
    </row>
    <row r="68" spans="2:26" x14ac:dyDescent="0.25">
      <c r="B68" s="120" t="s">
        <v>239</v>
      </c>
      <c r="C68" s="166"/>
      <c r="D68" s="170">
        <f>1037.49</f>
        <v>1037.49</v>
      </c>
      <c r="E68" s="170">
        <f t="shared" si="14"/>
        <v>-1037.49</v>
      </c>
      <c r="F68" s="472">
        <f t="shared" si="15"/>
        <v>0</v>
      </c>
      <c r="G68" s="166"/>
      <c r="H68" s="170"/>
      <c r="I68" s="170">
        <f t="shared" si="16"/>
        <v>0</v>
      </c>
      <c r="J68" s="472" t="str">
        <f t="shared" si="17"/>
        <v/>
      </c>
      <c r="K68" s="166"/>
      <c r="L68" s="170"/>
      <c r="M68" s="170">
        <f t="shared" si="18"/>
        <v>0</v>
      </c>
      <c r="N68" s="472" t="str">
        <f t="shared" si="19"/>
        <v/>
      </c>
      <c r="O68" s="166"/>
      <c r="P68" s="170"/>
      <c r="Q68" s="170">
        <f t="shared" si="20"/>
        <v>0</v>
      </c>
      <c r="R68" s="472" t="str">
        <f t="shared" si="21"/>
        <v/>
      </c>
      <c r="S68" s="166"/>
      <c r="T68" s="170"/>
      <c r="U68" s="170">
        <f t="shared" si="22"/>
        <v>0</v>
      </c>
      <c r="V68" s="472" t="str">
        <f t="shared" si="23"/>
        <v/>
      </c>
      <c r="W68" s="166">
        <f t="shared" si="27"/>
        <v>0</v>
      </c>
      <c r="X68" s="170">
        <f t="shared" si="27"/>
        <v>1037.49</v>
      </c>
      <c r="Y68" s="170">
        <f t="shared" si="25"/>
        <v>-1037.49</v>
      </c>
      <c r="Z68" s="472">
        <f t="shared" si="26"/>
        <v>0</v>
      </c>
    </row>
    <row r="69" spans="2:26" x14ac:dyDescent="0.25">
      <c r="B69" s="120" t="s">
        <v>240</v>
      </c>
      <c r="C69" s="166">
        <f>2037.2</f>
        <v>2037.2</v>
      </c>
      <c r="D69" s="170">
        <f>5187.51</f>
        <v>5187.51</v>
      </c>
      <c r="E69" s="170">
        <f t="shared" si="14"/>
        <v>-3150.3100000000004</v>
      </c>
      <c r="F69" s="472">
        <f t="shared" si="15"/>
        <v>0.39271249597591135</v>
      </c>
      <c r="G69" s="166"/>
      <c r="H69" s="170"/>
      <c r="I69" s="170">
        <f t="shared" si="16"/>
        <v>0</v>
      </c>
      <c r="J69" s="472" t="str">
        <f t="shared" si="17"/>
        <v/>
      </c>
      <c r="K69" s="166"/>
      <c r="L69" s="170"/>
      <c r="M69" s="170">
        <f t="shared" si="18"/>
        <v>0</v>
      </c>
      <c r="N69" s="472" t="str">
        <f t="shared" si="19"/>
        <v/>
      </c>
      <c r="O69" s="166">
        <f>1347.83</f>
        <v>1347.83</v>
      </c>
      <c r="P69" s="170"/>
      <c r="Q69" s="170">
        <f t="shared" si="20"/>
        <v>1347.83</v>
      </c>
      <c r="R69" s="472" t="str">
        <f t="shared" si="21"/>
        <v/>
      </c>
      <c r="S69" s="166"/>
      <c r="T69" s="170"/>
      <c r="U69" s="170">
        <f t="shared" si="22"/>
        <v>0</v>
      </c>
      <c r="V69" s="472" t="str">
        <f t="shared" si="23"/>
        <v/>
      </c>
      <c r="W69" s="166">
        <f t="shared" si="27"/>
        <v>3385.0299999999997</v>
      </c>
      <c r="X69" s="170">
        <f t="shared" si="27"/>
        <v>5187.51</v>
      </c>
      <c r="Y69" s="170">
        <f t="shared" si="25"/>
        <v>-1802.4800000000005</v>
      </c>
      <c r="Z69" s="472">
        <f t="shared" si="26"/>
        <v>0.65253464571634556</v>
      </c>
    </row>
    <row r="70" spans="2:26" x14ac:dyDescent="0.25">
      <c r="B70" s="120" t="s">
        <v>241</v>
      </c>
      <c r="C70" s="166">
        <f>1577.97</f>
        <v>1577.97</v>
      </c>
      <c r="D70" s="170">
        <f>936.96</f>
        <v>936.96</v>
      </c>
      <c r="E70" s="170">
        <f t="shared" si="14"/>
        <v>641.01</v>
      </c>
      <c r="F70" s="472">
        <f t="shared" si="15"/>
        <v>1.6841380635245902</v>
      </c>
      <c r="G70" s="166">
        <f>500.25</f>
        <v>500.25</v>
      </c>
      <c r="H70" s="170"/>
      <c r="I70" s="170">
        <f t="shared" si="16"/>
        <v>500.25</v>
      </c>
      <c r="J70" s="472" t="str">
        <f t="shared" si="17"/>
        <v/>
      </c>
      <c r="K70" s="166"/>
      <c r="L70" s="170"/>
      <c r="M70" s="170">
        <f t="shared" si="18"/>
        <v>0</v>
      </c>
      <c r="N70" s="472" t="str">
        <f t="shared" si="19"/>
        <v/>
      </c>
      <c r="O70" s="166"/>
      <c r="P70" s="170"/>
      <c r="Q70" s="170">
        <f t="shared" si="20"/>
        <v>0</v>
      </c>
      <c r="R70" s="472" t="str">
        <f t="shared" si="21"/>
        <v/>
      </c>
      <c r="S70" s="166"/>
      <c r="T70" s="170"/>
      <c r="U70" s="170">
        <f t="shared" si="22"/>
        <v>0</v>
      </c>
      <c r="V70" s="472" t="str">
        <f t="shared" si="23"/>
        <v/>
      </c>
      <c r="W70" s="166">
        <f t="shared" si="27"/>
        <v>2078.2200000000003</v>
      </c>
      <c r="X70" s="170">
        <f t="shared" si="27"/>
        <v>936.96</v>
      </c>
      <c r="Y70" s="170">
        <f t="shared" si="25"/>
        <v>1141.2600000000002</v>
      </c>
      <c r="Z70" s="472">
        <f t="shared" si="26"/>
        <v>2.2180455942622954</v>
      </c>
    </row>
    <row r="71" spans="2:26" x14ac:dyDescent="0.25">
      <c r="B71" s="120" t="s">
        <v>242</v>
      </c>
      <c r="C71" s="166">
        <f>736.07</f>
        <v>736.07</v>
      </c>
      <c r="D71" s="170">
        <f>518.76</f>
        <v>518.76</v>
      </c>
      <c r="E71" s="170">
        <f t="shared" si="14"/>
        <v>217.31000000000006</v>
      </c>
      <c r="F71" s="472">
        <f t="shared" si="15"/>
        <v>1.4189027681394095</v>
      </c>
      <c r="G71" s="166"/>
      <c r="H71" s="170"/>
      <c r="I71" s="170">
        <f t="shared" si="16"/>
        <v>0</v>
      </c>
      <c r="J71" s="472" t="str">
        <f t="shared" si="17"/>
        <v/>
      </c>
      <c r="K71" s="166"/>
      <c r="L71" s="170"/>
      <c r="M71" s="170">
        <f t="shared" si="18"/>
        <v>0</v>
      </c>
      <c r="N71" s="472" t="str">
        <f t="shared" si="19"/>
        <v/>
      </c>
      <c r="O71" s="166"/>
      <c r="P71" s="170"/>
      <c r="Q71" s="170">
        <f t="shared" si="20"/>
        <v>0</v>
      </c>
      <c r="R71" s="472" t="str">
        <f t="shared" si="21"/>
        <v/>
      </c>
      <c r="S71" s="166"/>
      <c r="T71" s="170"/>
      <c r="U71" s="170">
        <f t="shared" si="22"/>
        <v>0</v>
      </c>
      <c r="V71" s="472" t="str">
        <f t="shared" si="23"/>
        <v/>
      </c>
      <c r="W71" s="166">
        <f t="shared" si="27"/>
        <v>736.07</v>
      </c>
      <c r="X71" s="170">
        <f t="shared" si="27"/>
        <v>518.76</v>
      </c>
      <c r="Y71" s="170">
        <f t="shared" si="25"/>
        <v>217.31000000000006</v>
      </c>
      <c r="Z71" s="472">
        <f t="shared" si="26"/>
        <v>1.4189027681394095</v>
      </c>
    </row>
    <row r="72" spans="2:26" x14ac:dyDescent="0.25">
      <c r="B72" s="120" t="s">
        <v>243</v>
      </c>
      <c r="C72" s="166">
        <f>1464.66</f>
        <v>1464.66</v>
      </c>
      <c r="D72" s="170">
        <f>1608</f>
        <v>1608</v>
      </c>
      <c r="E72" s="170">
        <f t="shared" si="14"/>
        <v>-143.33999999999992</v>
      </c>
      <c r="F72" s="472">
        <f t="shared" si="15"/>
        <v>0.91085820895522396</v>
      </c>
      <c r="G72" s="166"/>
      <c r="H72" s="170"/>
      <c r="I72" s="170">
        <f t="shared" si="16"/>
        <v>0</v>
      </c>
      <c r="J72" s="472" t="str">
        <f t="shared" si="17"/>
        <v/>
      </c>
      <c r="K72" s="166"/>
      <c r="L72" s="170"/>
      <c r="M72" s="170">
        <f t="shared" si="18"/>
        <v>0</v>
      </c>
      <c r="N72" s="472" t="str">
        <f t="shared" si="19"/>
        <v/>
      </c>
      <c r="O72" s="166"/>
      <c r="P72" s="170"/>
      <c r="Q72" s="170">
        <f t="shared" si="20"/>
        <v>0</v>
      </c>
      <c r="R72" s="472" t="str">
        <f t="shared" si="21"/>
        <v/>
      </c>
      <c r="S72" s="166"/>
      <c r="T72" s="170"/>
      <c r="U72" s="170">
        <f t="shared" si="22"/>
        <v>0</v>
      </c>
      <c r="V72" s="472" t="str">
        <f t="shared" si="23"/>
        <v/>
      </c>
      <c r="W72" s="166">
        <f t="shared" si="27"/>
        <v>1464.66</v>
      </c>
      <c r="X72" s="170">
        <f t="shared" si="27"/>
        <v>1608</v>
      </c>
      <c r="Y72" s="170">
        <f t="shared" si="25"/>
        <v>-143.33999999999992</v>
      </c>
      <c r="Z72" s="472">
        <f t="shared" si="26"/>
        <v>0.91085820895522396</v>
      </c>
    </row>
    <row r="73" spans="2:26" x14ac:dyDescent="0.25">
      <c r="B73" s="120" t="s">
        <v>244</v>
      </c>
      <c r="C73" s="166"/>
      <c r="D73" s="170">
        <f>518.76</f>
        <v>518.76</v>
      </c>
      <c r="E73" s="170">
        <f t="shared" si="14"/>
        <v>-518.76</v>
      </c>
      <c r="F73" s="472">
        <f t="shared" si="15"/>
        <v>0</v>
      </c>
      <c r="G73" s="166"/>
      <c r="H73" s="170"/>
      <c r="I73" s="170">
        <f t="shared" si="16"/>
        <v>0</v>
      </c>
      <c r="J73" s="472" t="str">
        <f t="shared" si="17"/>
        <v/>
      </c>
      <c r="K73" s="166"/>
      <c r="L73" s="170"/>
      <c r="M73" s="170">
        <f t="shared" si="18"/>
        <v>0</v>
      </c>
      <c r="N73" s="472" t="str">
        <f t="shared" si="19"/>
        <v/>
      </c>
      <c r="O73" s="166"/>
      <c r="P73" s="170"/>
      <c r="Q73" s="170">
        <f t="shared" si="20"/>
        <v>0</v>
      </c>
      <c r="R73" s="472" t="str">
        <f t="shared" si="21"/>
        <v/>
      </c>
      <c r="S73" s="166"/>
      <c r="T73" s="170"/>
      <c r="U73" s="170">
        <f t="shared" si="22"/>
        <v>0</v>
      </c>
      <c r="V73" s="472" t="str">
        <f t="shared" si="23"/>
        <v/>
      </c>
      <c r="W73" s="166">
        <f t="shared" si="27"/>
        <v>0</v>
      </c>
      <c r="X73" s="170">
        <f t="shared" si="27"/>
        <v>518.76</v>
      </c>
      <c r="Y73" s="170">
        <f t="shared" si="25"/>
        <v>-518.76</v>
      </c>
      <c r="Z73" s="472">
        <f t="shared" si="26"/>
        <v>0</v>
      </c>
    </row>
    <row r="74" spans="2:26" x14ac:dyDescent="0.25">
      <c r="B74" s="120" t="s">
        <v>245</v>
      </c>
      <c r="C74" s="166"/>
      <c r="D74" s="170">
        <f>5187.51</f>
        <v>5187.51</v>
      </c>
      <c r="E74" s="170">
        <f t="shared" si="14"/>
        <v>-5187.51</v>
      </c>
      <c r="F74" s="472">
        <f t="shared" si="15"/>
        <v>0</v>
      </c>
      <c r="G74" s="166"/>
      <c r="H74" s="170"/>
      <c r="I74" s="170">
        <f t="shared" si="16"/>
        <v>0</v>
      </c>
      <c r="J74" s="472" t="str">
        <f t="shared" si="17"/>
        <v/>
      </c>
      <c r="K74" s="166"/>
      <c r="L74" s="170"/>
      <c r="M74" s="170">
        <f t="shared" si="18"/>
        <v>0</v>
      </c>
      <c r="N74" s="472" t="str">
        <f t="shared" si="19"/>
        <v/>
      </c>
      <c r="O74" s="166"/>
      <c r="P74" s="170"/>
      <c r="Q74" s="170">
        <f t="shared" si="20"/>
        <v>0</v>
      </c>
      <c r="R74" s="472" t="str">
        <f t="shared" si="21"/>
        <v/>
      </c>
      <c r="S74" s="166"/>
      <c r="T74" s="170"/>
      <c r="U74" s="170">
        <f t="shared" si="22"/>
        <v>0</v>
      </c>
      <c r="V74" s="472" t="str">
        <f t="shared" si="23"/>
        <v/>
      </c>
      <c r="W74" s="166">
        <f t="shared" si="27"/>
        <v>0</v>
      </c>
      <c r="X74" s="170">
        <f t="shared" si="27"/>
        <v>5187.51</v>
      </c>
      <c r="Y74" s="170">
        <f t="shared" si="25"/>
        <v>-5187.51</v>
      </c>
      <c r="Z74" s="472">
        <f t="shared" si="26"/>
        <v>0</v>
      </c>
    </row>
    <row r="75" spans="2:26" x14ac:dyDescent="0.25">
      <c r="B75" s="120" t="s">
        <v>246</v>
      </c>
      <c r="C75" s="166">
        <f>4867.35</f>
        <v>4867.3500000000004</v>
      </c>
      <c r="D75" s="170">
        <f>103.74</f>
        <v>103.74</v>
      </c>
      <c r="E75" s="170">
        <f t="shared" si="14"/>
        <v>4763.6100000000006</v>
      </c>
      <c r="F75" s="472">
        <f t="shared" si="15"/>
        <v>46.918739155581264</v>
      </c>
      <c r="G75" s="166"/>
      <c r="H75" s="170"/>
      <c r="I75" s="170">
        <f t="shared" si="16"/>
        <v>0</v>
      </c>
      <c r="J75" s="472" t="str">
        <f t="shared" si="17"/>
        <v/>
      </c>
      <c r="K75" s="166">
        <f>-334.75</f>
        <v>-334.75</v>
      </c>
      <c r="L75" s="170"/>
      <c r="M75" s="170">
        <f t="shared" si="18"/>
        <v>-334.75</v>
      </c>
      <c r="N75" s="472" t="str">
        <f t="shared" si="19"/>
        <v/>
      </c>
      <c r="O75" s="166"/>
      <c r="P75" s="170"/>
      <c r="Q75" s="170">
        <f t="shared" si="20"/>
        <v>0</v>
      </c>
      <c r="R75" s="472" t="str">
        <f t="shared" si="21"/>
        <v/>
      </c>
      <c r="S75" s="166"/>
      <c r="T75" s="170"/>
      <c r="U75" s="170">
        <f t="shared" si="22"/>
        <v>0</v>
      </c>
      <c r="V75" s="472" t="str">
        <f t="shared" si="23"/>
        <v/>
      </c>
      <c r="W75" s="166">
        <f t="shared" si="27"/>
        <v>4532.6000000000004</v>
      </c>
      <c r="X75" s="170">
        <f t="shared" si="27"/>
        <v>103.74</v>
      </c>
      <c r="Y75" s="170">
        <f t="shared" si="25"/>
        <v>4428.8600000000006</v>
      </c>
      <c r="Z75" s="472">
        <f t="shared" si="26"/>
        <v>43.691922112974751</v>
      </c>
    </row>
    <row r="76" spans="2:26" x14ac:dyDescent="0.25">
      <c r="B76" s="167" t="s">
        <v>247</v>
      </c>
      <c r="C76" s="210">
        <f>(((((((((((((((((C58)+(C59))+(C60))+(C61))+(C62))+(C63))+(C64))+(C65))+(C66))+(C67))+(C68))+(C69))+(C70))+(C71))+(C72))+(C73))+(C74))+(C75)</f>
        <v>50902.01</v>
      </c>
      <c r="D76" s="468">
        <f>(((((((((((((((((D58)+(D59))+(D60))+(D61))+(D62))+(D63))+(D64))+(D65))+(D66))+(D67))+(D68))+(D69))+(D70))+(D71))+(D72))+(D73))+(D74))+(D75)</f>
        <v>56268.570000000007</v>
      </c>
      <c r="E76" s="468">
        <f t="shared" si="14"/>
        <v>-5366.5600000000049</v>
      </c>
      <c r="F76" s="474">
        <f t="shared" si="15"/>
        <v>0.90462597503366438</v>
      </c>
      <c r="G76" s="210">
        <f>(((((((((((((((((G58)+(G59))+(G60))+(G61))+(G62))+(G63))+(G64))+(G65))+(G66))+(G67))+(G68))+(G69))+(G70))+(G71))+(G72))+(G73))+(G74))+(G75)</f>
        <v>5652.7800000000007</v>
      </c>
      <c r="H76" s="468">
        <f>(((((((((((((((((H58)+(H59))+(H60))+(H61))+(H62))+(H63))+(H64))+(H65))+(H66))+(H67))+(H68))+(H69))+(H70))+(H71))+(H72))+(H73))+(H74))+(H75)</f>
        <v>0</v>
      </c>
      <c r="I76" s="468">
        <f t="shared" si="16"/>
        <v>5652.7800000000007</v>
      </c>
      <c r="J76" s="474" t="str">
        <f t="shared" si="17"/>
        <v/>
      </c>
      <c r="K76" s="210">
        <f>(((((((((((((((((K58)+(K59))+(K60))+(K61))+(K62))+(K63))+(K64))+(K65))+(K66))+(K67))+(K68))+(K69))+(K70))+(K71))+(K72))+(K73))+(K74))+(K75)</f>
        <v>-334.75</v>
      </c>
      <c r="L76" s="468">
        <f>(((((((((((((((((L58)+(L59))+(L60))+(L61))+(L62))+(L63))+(L64))+(L65))+(L66))+(L67))+(L68))+(L69))+(L70))+(L71))+(L72))+(L73))+(L74))+(L75)</f>
        <v>0</v>
      </c>
      <c r="M76" s="468">
        <f t="shared" si="18"/>
        <v>-334.75</v>
      </c>
      <c r="N76" s="474" t="str">
        <f t="shared" si="19"/>
        <v/>
      </c>
      <c r="O76" s="210">
        <f>(((((((((((((((((O58)+(O59))+(O60))+(O61))+(O62))+(O63))+(O64))+(O65))+(O66))+(O67))+(O68))+(O69))+(O70))+(O71))+(O72))+(O73))+(O74))+(O75)</f>
        <v>1801.01</v>
      </c>
      <c r="P76" s="468">
        <f>(((((((((((((((((P58)+(P59))+(P60))+(P61))+(P62))+(P63))+(P64))+(P65))+(P66))+(P67))+(P68))+(P69))+(P70))+(P71))+(P72))+(P73))+(P74))+(P75)</f>
        <v>4687.5</v>
      </c>
      <c r="Q76" s="468">
        <f t="shared" si="20"/>
        <v>-2886.49</v>
      </c>
      <c r="R76" s="474">
        <f t="shared" si="21"/>
        <v>0.38421546666666667</v>
      </c>
      <c r="S76" s="210">
        <f>(((((((((((((((((S58)+(S59))+(S60))+(S61))+(S62))+(S63))+(S64))+(S65))+(S66))+(S67))+(S68))+(S69))+(S70))+(S71))+(S72))+(S73))+(S74))+(S75)</f>
        <v>1527.86</v>
      </c>
      <c r="T76" s="468">
        <f>(((((((((((((((((T58)+(T59))+(T60))+(T61))+(T62))+(T63))+(T64))+(T65))+(T66))+(T67))+(T68))+(T69))+(T70))+(T71))+(T72))+(T73))+(T74))+(T75)</f>
        <v>0</v>
      </c>
      <c r="U76" s="468">
        <f t="shared" si="22"/>
        <v>1527.86</v>
      </c>
      <c r="V76" s="474" t="str">
        <f t="shared" si="23"/>
        <v/>
      </c>
      <c r="W76" s="210">
        <f t="shared" si="27"/>
        <v>59548.91</v>
      </c>
      <c r="X76" s="468">
        <f t="shared" si="27"/>
        <v>60956.070000000007</v>
      </c>
      <c r="Y76" s="468">
        <f t="shared" si="25"/>
        <v>-1407.1600000000035</v>
      </c>
      <c r="Z76" s="474">
        <f t="shared" si="26"/>
        <v>0.97691517842275588</v>
      </c>
    </row>
    <row r="77" spans="2:26" ht="15.75" thickBot="1" x14ac:dyDescent="0.3">
      <c r="B77" s="167" t="s">
        <v>248</v>
      </c>
      <c r="C77" s="210">
        <f>(((((((((C28)+(C29))+(C30))+(C31))+(C32))+(C38))+(C44))+(C50))+(C57))+(C76)</f>
        <v>231087.97000000003</v>
      </c>
      <c r="D77" s="468">
        <f>(((((((((D28)+(D29))+(D30))+(D31))+(D32))+(D38))+(D44))+(D50))+(D57))+(D76)</f>
        <v>226827.60000000003</v>
      </c>
      <c r="E77" s="468">
        <f t="shared" si="14"/>
        <v>4260.3699999999953</v>
      </c>
      <c r="F77" s="474">
        <f t="shared" si="15"/>
        <v>1.0187824144857152</v>
      </c>
      <c r="G77" s="210">
        <f>(((((((((G28)+(G29))+(G30))+(G31))+(G32))+(G38))+(G44))+(G50))+(G57))+(G76)</f>
        <v>66462.58</v>
      </c>
      <c r="H77" s="468">
        <f>(((((((((H28)+(H29))+(H30))+(H31))+(H32))+(H38))+(H44))+(H50))+(H57))+(H76)</f>
        <v>79601.670000000013</v>
      </c>
      <c r="I77" s="468">
        <f t="shared" si="16"/>
        <v>-13139.090000000011</v>
      </c>
      <c r="J77" s="474">
        <f t="shared" si="17"/>
        <v>0.83493951822870038</v>
      </c>
      <c r="K77" s="210">
        <f>(((((((((K28)+(K29))+(K30))+(K31))+(K32))+(K38))+(K44))+(K50))+(K57))+(K76)</f>
        <v>4397.8999999999996</v>
      </c>
      <c r="L77" s="468">
        <f>(((((((((L28)+(L29))+(L30))+(L31))+(L32))+(L38))+(L44))+(L50))+(L57))+(L76)</f>
        <v>3435.81</v>
      </c>
      <c r="M77" s="468">
        <f t="shared" si="18"/>
        <v>962.08999999999969</v>
      </c>
      <c r="N77" s="474">
        <f t="shared" si="19"/>
        <v>1.2800183944979495</v>
      </c>
      <c r="O77" s="210">
        <f>(((((((((O28)+(O29))+(O30))+(O31))+(O32))+(O38))+(O44))+(O50))+(O57))+(O76)</f>
        <v>25011.010000000002</v>
      </c>
      <c r="P77" s="468">
        <f>(((((((((P28)+(P29))+(P30))+(P31))+(P32))+(P38))+(P44))+(P50))+(P57))+(P76)</f>
        <v>25302.510000000002</v>
      </c>
      <c r="Q77" s="468">
        <f t="shared" si="20"/>
        <v>-291.5</v>
      </c>
      <c r="R77" s="474">
        <f t="shared" si="21"/>
        <v>0.9884794038219924</v>
      </c>
      <c r="S77" s="210">
        <f>(((((((((S28)+(S29))+(S30))+(S31))+(S32))+(S38))+(S44))+(S50))+(S57))+(S76)</f>
        <v>8209.08</v>
      </c>
      <c r="T77" s="468">
        <f>(((((((((T28)+(T29))+(T30))+(T31))+(T32))+(T38))+(T44))+(T50))+(T57))+(T76)</f>
        <v>8977.7999999999993</v>
      </c>
      <c r="U77" s="468">
        <f t="shared" si="22"/>
        <v>-768.71999999999935</v>
      </c>
      <c r="V77" s="474">
        <f t="shared" si="23"/>
        <v>0.91437545946668453</v>
      </c>
      <c r="W77" s="210">
        <f t="shared" si="27"/>
        <v>335168.5400000001</v>
      </c>
      <c r="X77" s="468">
        <f t="shared" si="27"/>
        <v>344145.39</v>
      </c>
      <c r="Y77" s="468">
        <f t="shared" si="25"/>
        <v>-8976.8499999999185</v>
      </c>
      <c r="Z77" s="474">
        <f t="shared" si="26"/>
        <v>0.973915530293752</v>
      </c>
    </row>
    <row r="78" spans="2:26" ht="15.75" thickBot="1" x14ac:dyDescent="0.3">
      <c r="B78" s="219" t="s">
        <v>249</v>
      </c>
      <c r="C78" s="220">
        <f>(C21)-(C77)</f>
        <v>-231381.51000000004</v>
      </c>
      <c r="D78" s="467">
        <f>(D21)-(D77)</f>
        <v>-226827.60000000003</v>
      </c>
      <c r="E78" s="467">
        <f t="shared" si="14"/>
        <v>-4553.9100000000035</v>
      </c>
      <c r="F78" s="473">
        <f t="shared" si="15"/>
        <v>1.0200765250789587</v>
      </c>
      <c r="G78" s="220">
        <f>(G21)-(G77)</f>
        <v>197253.59000000003</v>
      </c>
      <c r="H78" s="467">
        <f>(H21)-(H77)</f>
        <v>177705.15</v>
      </c>
      <c r="I78" s="467">
        <f t="shared" si="16"/>
        <v>19548.440000000031</v>
      </c>
      <c r="J78" s="473">
        <f t="shared" si="17"/>
        <v>1.1100049154456133</v>
      </c>
      <c r="K78" s="220">
        <f>(K21)-(K77)</f>
        <v>-3208.7099999999996</v>
      </c>
      <c r="L78" s="467">
        <f>(L21)-(L77)</f>
        <v>18314.189999999999</v>
      </c>
      <c r="M78" s="467">
        <f t="shared" si="18"/>
        <v>-21522.899999999998</v>
      </c>
      <c r="N78" s="473">
        <f t="shared" si="19"/>
        <v>-0.17520348975302755</v>
      </c>
      <c r="O78" s="220">
        <f>(O21)-(O77)</f>
        <v>71899.959999999992</v>
      </c>
      <c r="P78" s="467">
        <f>(P21)-(P77)</f>
        <v>150865.97999999998</v>
      </c>
      <c r="Q78" s="467">
        <f t="shared" si="20"/>
        <v>-78966.01999999999</v>
      </c>
      <c r="R78" s="473">
        <f t="shared" si="21"/>
        <v>0.4765816653960025</v>
      </c>
      <c r="S78" s="220">
        <f>(S21)-(S77)</f>
        <v>-54016.37000000001</v>
      </c>
      <c r="T78" s="467">
        <f>(T21)-(T77)</f>
        <v>181497.54</v>
      </c>
      <c r="U78" s="467">
        <f t="shared" si="22"/>
        <v>-235513.91000000003</v>
      </c>
      <c r="V78" s="473">
        <f t="shared" si="23"/>
        <v>-0.29761488778305206</v>
      </c>
      <c r="W78" s="220">
        <f t="shared" si="27"/>
        <v>-19453.04000000003</v>
      </c>
      <c r="X78" s="467">
        <f t="shared" si="27"/>
        <v>301555.25999999995</v>
      </c>
      <c r="Y78" s="467">
        <f t="shared" si="25"/>
        <v>-321008.3</v>
      </c>
      <c r="Z78" s="473">
        <f t="shared" si="26"/>
        <v>-6.4509038907164251E-2</v>
      </c>
    </row>
    <row r="79" spans="2:26" x14ac:dyDescent="0.25">
      <c r="B79" s="167" t="s">
        <v>250</v>
      </c>
      <c r="C79" s="308"/>
      <c r="D79" s="470"/>
      <c r="E79" s="470"/>
      <c r="F79" s="476"/>
      <c r="G79" s="308"/>
      <c r="H79" s="470"/>
      <c r="I79" s="470"/>
      <c r="J79" s="476"/>
      <c r="K79" s="308"/>
      <c r="L79" s="470"/>
      <c r="M79" s="470"/>
      <c r="N79" s="476"/>
      <c r="O79" s="308"/>
      <c r="P79" s="470"/>
      <c r="Q79" s="470"/>
      <c r="R79" s="476"/>
      <c r="S79" s="308"/>
      <c r="T79" s="470"/>
      <c r="U79" s="470"/>
      <c r="V79" s="476"/>
      <c r="W79" s="308"/>
      <c r="X79" s="470"/>
      <c r="Y79" s="470"/>
      <c r="Z79" s="476"/>
    </row>
    <row r="80" spans="2:26" x14ac:dyDescent="0.25">
      <c r="B80" s="120" t="s">
        <v>251</v>
      </c>
      <c r="C80" s="710">
        <f>15689.99</f>
        <v>15689.99</v>
      </c>
      <c r="D80" s="711"/>
      <c r="E80" s="711">
        <f>(C80)-(D80)</f>
        <v>15689.99</v>
      </c>
      <c r="F80" s="712" t="str">
        <f>IF(D80=0,"",(C80)/(D80))</f>
        <v/>
      </c>
      <c r="G80" s="710"/>
      <c r="H80" s="711"/>
      <c r="I80" s="711">
        <f>(G80)-(H80)</f>
        <v>0</v>
      </c>
      <c r="J80" s="712" t="str">
        <f>IF(H80=0,"",(G80)/(H80))</f>
        <v/>
      </c>
      <c r="K80" s="710"/>
      <c r="L80" s="711"/>
      <c r="M80" s="711">
        <f>(K80)-(L80)</f>
        <v>0</v>
      </c>
      <c r="N80" s="712" t="str">
        <f>IF(L80=0,"",(K80)/(L80))</f>
        <v/>
      </c>
      <c r="O80" s="710"/>
      <c r="P80" s="711"/>
      <c r="Q80" s="711">
        <f>(O80)-(P80)</f>
        <v>0</v>
      </c>
      <c r="R80" s="712" t="str">
        <f>IF(P80=0,"",(O80)/(P80))</f>
        <v/>
      </c>
      <c r="S80" s="710"/>
      <c r="T80" s="711"/>
      <c r="U80" s="711">
        <f>(S80)-(T80)</f>
        <v>0</v>
      </c>
      <c r="V80" s="712" t="str">
        <f>IF(T80=0,"",(S80)/(T80))</f>
        <v/>
      </c>
      <c r="W80" s="710">
        <f t="shared" ref="W80:X82" si="28">((((C80)+(G80))+(K80))+(O80))+(S80)</f>
        <v>15689.99</v>
      </c>
      <c r="X80" s="711">
        <f t="shared" si="28"/>
        <v>0</v>
      </c>
      <c r="Y80" s="711">
        <f>(W80)-(X80)</f>
        <v>15689.99</v>
      </c>
      <c r="Z80" s="712" t="str">
        <f>IF(X80=0,"",(W80)/(X80))</f>
        <v/>
      </c>
    </row>
    <row r="81" spans="2:26" x14ac:dyDescent="0.25">
      <c r="B81" s="120" t="s">
        <v>1277</v>
      </c>
      <c r="C81" s="710">
        <f>12897.29</f>
        <v>12897.29</v>
      </c>
      <c r="D81" s="711"/>
      <c r="E81" s="711">
        <f>(C81)-(D81)</f>
        <v>12897.29</v>
      </c>
      <c r="F81" s="712" t="str">
        <f>IF(D81=0,"",(C81)/(D81))</f>
        <v/>
      </c>
      <c r="G81" s="710"/>
      <c r="H81" s="711"/>
      <c r="I81" s="711">
        <f>(G81)-(H81)</f>
        <v>0</v>
      </c>
      <c r="J81" s="712" t="str">
        <f>IF(H81=0,"",(G81)/(H81))</f>
        <v/>
      </c>
      <c r="K81" s="710"/>
      <c r="L81" s="711"/>
      <c r="M81" s="711">
        <f>(K81)-(L81)</f>
        <v>0</v>
      </c>
      <c r="N81" s="712" t="str">
        <f>IF(L81=0,"",(K81)/(L81))</f>
        <v/>
      </c>
      <c r="O81" s="710"/>
      <c r="P81" s="711"/>
      <c r="Q81" s="711">
        <f>(O81)-(P81)</f>
        <v>0</v>
      </c>
      <c r="R81" s="712" t="str">
        <f>IF(P81=0,"",(O81)/(P81))</f>
        <v/>
      </c>
      <c r="S81" s="710"/>
      <c r="T81" s="711"/>
      <c r="U81" s="711">
        <f>(S81)-(T81)</f>
        <v>0</v>
      </c>
      <c r="V81" s="712" t="str">
        <f>IF(T81=0,"",(S81)/(T81))</f>
        <v/>
      </c>
      <c r="W81" s="710">
        <f t="shared" si="28"/>
        <v>12897.29</v>
      </c>
      <c r="X81" s="711">
        <f t="shared" si="28"/>
        <v>0</v>
      </c>
      <c r="Y81" s="711">
        <f>(W81)-(X81)</f>
        <v>12897.29</v>
      </c>
      <c r="Z81" s="712" t="str">
        <f>IF(X81=0,"",(W81)/(X81))</f>
        <v/>
      </c>
    </row>
    <row r="82" spans="2:26" x14ac:dyDescent="0.25">
      <c r="B82" s="167" t="s">
        <v>253</v>
      </c>
      <c r="C82" s="210">
        <f>(C80)+(C81)</f>
        <v>28587.279999999999</v>
      </c>
      <c r="D82" s="468">
        <f>(D80)+(D81)</f>
        <v>0</v>
      </c>
      <c r="E82" s="468">
        <f>(C82)-(D82)</f>
        <v>28587.279999999999</v>
      </c>
      <c r="F82" s="474" t="str">
        <f>IF(D82=0,"",(C82)/(D82))</f>
        <v/>
      </c>
      <c r="G82" s="210">
        <f>(G80)+(G81)</f>
        <v>0</v>
      </c>
      <c r="H82" s="468">
        <f>(H80)+(H81)</f>
        <v>0</v>
      </c>
      <c r="I82" s="468">
        <f>(G82)-(H82)</f>
        <v>0</v>
      </c>
      <c r="J82" s="474" t="str">
        <f>IF(H82=0,"",(G82)/(H82))</f>
        <v/>
      </c>
      <c r="K82" s="210">
        <f>(K80)+(K81)</f>
        <v>0</v>
      </c>
      <c r="L82" s="468">
        <f>(L80)+(L81)</f>
        <v>0</v>
      </c>
      <c r="M82" s="468">
        <f>(K82)-(L82)</f>
        <v>0</v>
      </c>
      <c r="N82" s="474" t="str">
        <f>IF(L82=0,"",(K82)/(L82))</f>
        <v/>
      </c>
      <c r="O82" s="210">
        <f>(O80)+(O81)</f>
        <v>0</v>
      </c>
      <c r="P82" s="468">
        <f>(P80)+(P81)</f>
        <v>0</v>
      </c>
      <c r="Q82" s="468">
        <f>(O82)-(P82)</f>
        <v>0</v>
      </c>
      <c r="R82" s="474" t="str">
        <f>IF(P82=0,"",(O82)/(P82))</f>
        <v/>
      </c>
      <c r="S82" s="210">
        <f>(S80)+(S81)</f>
        <v>0</v>
      </c>
      <c r="T82" s="468">
        <f>(T80)+(T81)</f>
        <v>0</v>
      </c>
      <c r="U82" s="468">
        <f>(S82)-(T82)</f>
        <v>0</v>
      </c>
      <c r="V82" s="474" t="str">
        <f>IF(T82=0,"",(S82)/(T82))</f>
        <v/>
      </c>
      <c r="W82" s="210">
        <f t="shared" si="28"/>
        <v>28587.279999999999</v>
      </c>
      <c r="X82" s="468">
        <f t="shared" si="28"/>
        <v>0</v>
      </c>
      <c r="Y82" s="468">
        <f>(W82)-(X82)</f>
        <v>28587.279999999999</v>
      </c>
      <c r="Z82" s="474" t="str">
        <f>IF(X82=0,"",(W82)/(X82))</f>
        <v/>
      </c>
    </row>
    <row r="83" spans="2:26" x14ac:dyDescent="0.25">
      <c r="B83" s="120" t="s">
        <v>254</v>
      </c>
      <c r="C83" s="166"/>
      <c r="D83" s="170"/>
      <c r="E83" s="170"/>
      <c r="F83" s="472"/>
      <c r="G83" s="166"/>
      <c r="H83" s="170"/>
      <c r="I83" s="170"/>
      <c r="J83" s="472"/>
      <c r="K83" s="166"/>
      <c r="L83" s="170"/>
      <c r="M83" s="170"/>
      <c r="N83" s="472"/>
      <c r="O83" s="166"/>
      <c r="P83" s="170"/>
      <c r="Q83" s="170"/>
      <c r="R83" s="472"/>
      <c r="S83" s="166"/>
      <c r="T83" s="170"/>
      <c r="U83" s="170"/>
      <c r="V83" s="472"/>
      <c r="W83" s="166"/>
      <c r="X83" s="170"/>
      <c r="Y83" s="170"/>
      <c r="Z83" s="472"/>
    </row>
    <row r="84" spans="2:26" x14ac:dyDescent="0.25">
      <c r="B84" s="120" t="s">
        <v>1059</v>
      </c>
      <c r="C84" s="166">
        <f>1800.15</f>
        <v>1800.15</v>
      </c>
      <c r="D84" s="170"/>
      <c r="E84" s="170">
        <f t="shared" ref="E84:E91" si="29">(C84)-(D84)</f>
        <v>1800.15</v>
      </c>
      <c r="F84" s="472" t="str">
        <f t="shared" ref="F84:F91" si="30">IF(D84=0,"",(C84)/(D84))</f>
        <v/>
      </c>
      <c r="G84" s="166">
        <f>33.68</f>
        <v>33.68</v>
      </c>
      <c r="H84" s="170"/>
      <c r="I84" s="170">
        <f t="shared" ref="I84:I91" si="31">(G84)-(H84)</f>
        <v>33.68</v>
      </c>
      <c r="J84" s="472" t="str">
        <f t="shared" ref="J84:J91" si="32">IF(H84=0,"",(G84)/(H84))</f>
        <v/>
      </c>
      <c r="K84" s="166"/>
      <c r="L84" s="170"/>
      <c r="M84" s="170">
        <f t="shared" ref="M84:M91" si="33">(K84)-(L84)</f>
        <v>0</v>
      </c>
      <c r="N84" s="472" t="str">
        <f t="shared" ref="N84:N91" si="34">IF(L84=0,"",(K84)/(L84))</f>
        <v/>
      </c>
      <c r="O84" s="166"/>
      <c r="P84" s="170"/>
      <c r="Q84" s="170">
        <f t="shared" ref="Q84:Q91" si="35">(O84)-(P84)</f>
        <v>0</v>
      </c>
      <c r="R84" s="472" t="str">
        <f t="shared" ref="R84:R91" si="36">IF(P84=0,"",(O84)/(P84))</f>
        <v/>
      </c>
      <c r="S84" s="166"/>
      <c r="T84" s="170"/>
      <c r="U84" s="170">
        <f t="shared" ref="U84:U91" si="37">(S84)-(T84)</f>
        <v>0</v>
      </c>
      <c r="V84" s="472" t="str">
        <f t="shared" ref="V84:V91" si="38">IF(T84=0,"",(S84)/(T84))</f>
        <v/>
      </c>
      <c r="W84" s="166">
        <f t="shared" ref="W84:X91" si="39">((((C84)+(G84))+(K84))+(O84))+(S84)</f>
        <v>1833.8300000000002</v>
      </c>
      <c r="X84" s="170">
        <f t="shared" si="39"/>
        <v>0</v>
      </c>
      <c r="Y84" s="170">
        <f t="shared" ref="Y84:Y91" si="40">(W84)-(X84)</f>
        <v>1833.8300000000002</v>
      </c>
      <c r="Z84" s="472" t="str">
        <f t="shared" ref="Z84:Z91" si="41">IF(X84=0,"",(W84)/(X84))</f>
        <v/>
      </c>
    </row>
    <row r="85" spans="2:26" x14ac:dyDescent="0.25">
      <c r="B85" s="120" t="s">
        <v>255</v>
      </c>
      <c r="C85" s="166">
        <f>69309.22</f>
        <v>69309.22</v>
      </c>
      <c r="D85" s="170">
        <f>50645.96</f>
        <v>50645.96</v>
      </c>
      <c r="E85" s="170">
        <f t="shared" si="29"/>
        <v>18663.260000000002</v>
      </c>
      <c r="F85" s="472">
        <f t="shared" si="30"/>
        <v>1.3685044177265078</v>
      </c>
      <c r="G85" s="166"/>
      <c r="H85" s="170"/>
      <c r="I85" s="170">
        <f t="shared" si="31"/>
        <v>0</v>
      </c>
      <c r="J85" s="472" t="str">
        <f t="shared" si="32"/>
        <v/>
      </c>
      <c r="K85" s="166"/>
      <c r="L85" s="170"/>
      <c r="M85" s="170">
        <f t="shared" si="33"/>
        <v>0</v>
      </c>
      <c r="N85" s="472" t="str">
        <f t="shared" si="34"/>
        <v/>
      </c>
      <c r="O85" s="166"/>
      <c r="P85" s="170"/>
      <c r="Q85" s="170">
        <f t="shared" si="35"/>
        <v>0</v>
      </c>
      <c r="R85" s="472" t="str">
        <f t="shared" si="36"/>
        <v/>
      </c>
      <c r="S85" s="166"/>
      <c r="T85" s="170"/>
      <c r="U85" s="170">
        <f t="shared" si="37"/>
        <v>0</v>
      </c>
      <c r="V85" s="472" t="str">
        <f t="shared" si="38"/>
        <v/>
      </c>
      <c r="W85" s="166">
        <f t="shared" si="39"/>
        <v>69309.22</v>
      </c>
      <c r="X85" s="170">
        <f t="shared" si="39"/>
        <v>50645.96</v>
      </c>
      <c r="Y85" s="170">
        <f t="shared" si="40"/>
        <v>18663.260000000002</v>
      </c>
      <c r="Z85" s="472">
        <f t="shared" si="41"/>
        <v>1.3685044177265078</v>
      </c>
    </row>
    <row r="86" spans="2:26" x14ac:dyDescent="0.25">
      <c r="B86" s="120" t="s">
        <v>256</v>
      </c>
      <c r="C86" s="166">
        <f>28776.71</f>
        <v>28776.71</v>
      </c>
      <c r="D86" s="170">
        <v>26924.73</v>
      </c>
      <c r="E86" s="170">
        <f t="shared" si="29"/>
        <v>1851.9799999999996</v>
      </c>
      <c r="F86" s="472">
        <f t="shared" si="30"/>
        <v>1.0687836052580657</v>
      </c>
      <c r="G86" s="166"/>
      <c r="H86" s="170"/>
      <c r="I86" s="170">
        <f t="shared" si="31"/>
        <v>0</v>
      </c>
      <c r="J86" s="472" t="str">
        <f t="shared" si="32"/>
        <v/>
      </c>
      <c r="K86" s="166"/>
      <c r="L86" s="170"/>
      <c r="M86" s="170">
        <f t="shared" si="33"/>
        <v>0</v>
      </c>
      <c r="N86" s="472" t="str">
        <f t="shared" si="34"/>
        <v/>
      </c>
      <c r="O86" s="166"/>
      <c r="P86" s="170"/>
      <c r="Q86" s="170">
        <f t="shared" si="35"/>
        <v>0</v>
      </c>
      <c r="R86" s="472" t="str">
        <f t="shared" si="36"/>
        <v/>
      </c>
      <c r="S86" s="166"/>
      <c r="T86" s="170"/>
      <c r="U86" s="170">
        <f t="shared" si="37"/>
        <v>0</v>
      </c>
      <c r="V86" s="472" t="str">
        <f t="shared" si="38"/>
        <v/>
      </c>
      <c r="W86" s="166">
        <f t="shared" si="39"/>
        <v>28776.71</v>
      </c>
      <c r="X86" s="170">
        <f t="shared" si="39"/>
        <v>26924.73</v>
      </c>
      <c r="Y86" s="170">
        <f t="shared" si="40"/>
        <v>1851.9799999999996</v>
      </c>
      <c r="Z86" s="472">
        <f t="shared" si="41"/>
        <v>1.0687836052580657</v>
      </c>
    </row>
    <row r="87" spans="2:26" x14ac:dyDescent="0.25">
      <c r="B87" s="120" t="s">
        <v>257</v>
      </c>
      <c r="C87" s="166">
        <f>13992.6</f>
        <v>13992.6</v>
      </c>
      <c r="D87" s="170">
        <f>10865.7</f>
        <v>10865.7</v>
      </c>
      <c r="E87" s="170">
        <f t="shared" si="29"/>
        <v>3126.8999999999996</v>
      </c>
      <c r="F87" s="472">
        <f t="shared" si="30"/>
        <v>1.2877771335486898</v>
      </c>
      <c r="G87" s="166"/>
      <c r="H87" s="170"/>
      <c r="I87" s="170">
        <f t="shared" si="31"/>
        <v>0</v>
      </c>
      <c r="J87" s="472" t="str">
        <f t="shared" si="32"/>
        <v/>
      </c>
      <c r="K87" s="166"/>
      <c r="L87" s="170"/>
      <c r="M87" s="170">
        <f t="shared" si="33"/>
        <v>0</v>
      </c>
      <c r="N87" s="472" t="str">
        <f t="shared" si="34"/>
        <v/>
      </c>
      <c r="O87" s="166"/>
      <c r="P87" s="170"/>
      <c r="Q87" s="170">
        <f t="shared" si="35"/>
        <v>0</v>
      </c>
      <c r="R87" s="472" t="str">
        <f t="shared" si="36"/>
        <v/>
      </c>
      <c r="S87" s="166"/>
      <c r="T87" s="170"/>
      <c r="U87" s="170">
        <f t="shared" si="37"/>
        <v>0</v>
      </c>
      <c r="V87" s="472" t="str">
        <f t="shared" si="38"/>
        <v/>
      </c>
      <c r="W87" s="166">
        <f t="shared" si="39"/>
        <v>13992.6</v>
      </c>
      <c r="X87" s="170">
        <f t="shared" si="39"/>
        <v>10865.7</v>
      </c>
      <c r="Y87" s="170">
        <f t="shared" si="40"/>
        <v>3126.8999999999996</v>
      </c>
      <c r="Z87" s="472">
        <f t="shared" si="41"/>
        <v>1.2877771335486898</v>
      </c>
    </row>
    <row r="88" spans="2:26" x14ac:dyDescent="0.25">
      <c r="B88" s="120" t="s">
        <v>258</v>
      </c>
      <c r="C88" s="166">
        <f>38966.4</f>
        <v>38966.400000000001</v>
      </c>
      <c r="D88" s="170">
        <f>38966.4</f>
        <v>38966.400000000001</v>
      </c>
      <c r="E88" s="170">
        <f t="shared" si="29"/>
        <v>0</v>
      </c>
      <c r="F88" s="472">
        <f t="shared" si="30"/>
        <v>1</v>
      </c>
      <c r="G88" s="166"/>
      <c r="H88" s="170"/>
      <c r="I88" s="170">
        <f t="shared" si="31"/>
        <v>0</v>
      </c>
      <c r="J88" s="472" t="str">
        <f t="shared" si="32"/>
        <v/>
      </c>
      <c r="K88" s="166"/>
      <c r="L88" s="170"/>
      <c r="M88" s="170">
        <f t="shared" si="33"/>
        <v>0</v>
      </c>
      <c r="N88" s="472" t="str">
        <f t="shared" si="34"/>
        <v/>
      </c>
      <c r="O88" s="166"/>
      <c r="P88" s="170"/>
      <c r="Q88" s="170">
        <f t="shared" si="35"/>
        <v>0</v>
      </c>
      <c r="R88" s="472" t="str">
        <f t="shared" si="36"/>
        <v/>
      </c>
      <c r="S88" s="166"/>
      <c r="T88" s="170"/>
      <c r="U88" s="170">
        <f t="shared" si="37"/>
        <v>0</v>
      </c>
      <c r="V88" s="472" t="str">
        <f t="shared" si="38"/>
        <v/>
      </c>
      <c r="W88" s="166">
        <f t="shared" si="39"/>
        <v>38966.400000000001</v>
      </c>
      <c r="X88" s="170">
        <f t="shared" si="39"/>
        <v>38966.400000000001</v>
      </c>
      <c r="Y88" s="170">
        <f t="shared" si="40"/>
        <v>0</v>
      </c>
      <c r="Z88" s="472">
        <f t="shared" si="41"/>
        <v>1</v>
      </c>
    </row>
    <row r="89" spans="2:26" x14ac:dyDescent="0.25">
      <c r="B89" s="167" t="s">
        <v>259</v>
      </c>
      <c r="C89" s="210">
        <f>((((C84)+(C85))+(C86))+(C87))+(C88)</f>
        <v>152845.07999999999</v>
      </c>
      <c r="D89" s="468">
        <f>((((D84)+(D85))+(D86))+(D87))+(D88)</f>
        <v>127402.79000000001</v>
      </c>
      <c r="E89" s="468">
        <f t="shared" si="29"/>
        <v>25442.289999999979</v>
      </c>
      <c r="F89" s="474">
        <f t="shared" si="30"/>
        <v>1.1996996298118745</v>
      </c>
      <c r="G89" s="210">
        <f>((((G84)+(G85))+(G86))+(G87))+(G88)</f>
        <v>33.68</v>
      </c>
      <c r="H89" s="468">
        <f>((((H84)+(H85))+(H86))+(H87))+(H88)</f>
        <v>0</v>
      </c>
      <c r="I89" s="468">
        <f t="shared" si="31"/>
        <v>33.68</v>
      </c>
      <c r="J89" s="474" t="str">
        <f t="shared" si="32"/>
        <v/>
      </c>
      <c r="K89" s="210">
        <f>((((K84)+(K85))+(K86))+(K87))+(K88)</f>
        <v>0</v>
      </c>
      <c r="L89" s="468">
        <f>((((L84)+(L85))+(L86))+(L87))+(L88)</f>
        <v>0</v>
      </c>
      <c r="M89" s="468">
        <f t="shared" si="33"/>
        <v>0</v>
      </c>
      <c r="N89" s="474" t="str">
        <f t="shared" si="34"/>
        <v/>
      </c>
      <c r="O89" s="210">
        <f>((((O84)+(O85))+(O86))+(O87))+(O88)</f>
        <v>0</v>
      </c>
      <c r="P89" s="468">
        <f>((((P84)+(P85))+(P86))+(P87))+(P88)</f>
        <v>0</v>
      </c>
      <c r="Q89" s="468">
        <f t="shared" si="35"/>
        <v>0</v>
      </c>
      <c r="R89" s="474" t="str">
        <f t="shared" si="36"/>
        <v/>
      </c>
      <c r="S89" s="210">
        <f>((((S84)+(S85))+(S86))+(S87))+(S88)</f>
        <v>0</v>
      </c>
      <c r="T89" s="468">
        <f>((((T84)+(T85))+(T86))+(T87))+(T88)</f>
        <v>0</v>
      </c>
      <c r="U89" s="468">
        <f t="shared" si="37"/>
        <v>0</v>
      </c>
      <c r="V89" s="474" t="str">
        <f t="shared" si="38"/>
        <v/>
      </c>
      <c r="W89" s="210">
        <f t="shared" si="39"/>
        <v>152878.75999999998</v>
      </c>
      <c r="X89" s="468">
        <f t="shared" si="39"/>
        <v>127402.79000000001</v>
      </c>
      <c r="Y89" s="468">
        <f t="shared" si="40"/>
        <v>25475.969999999972</v>
      </c>
      <c r="Z89" s="474">
        <f t="shared" si="41"/>
        <v>1.1999639882297708</v>
      </c>
    </row>
    <row r="90" spans="2:26" ht="15.75" thickBot="1" x14ac:dyDescent="0.3">
      <c r="B90" s="167" t="s">
        <v>260</v>
      </c>
      <c r="C90" s="210">
        <f>(C82)-(C89)</f>
        <v>-124257.79999999999</v>
      </c>
      <c r="D90" s="468">
        <f>(D82)-(D89)</f>
        <v>-127402.79000000001</v>
      </c>
      <c r="E90" s="468">
        <f t="shared" si="29"/>
        <v>3144.9900000000198</v>
      </c>
      <c r="F90" s="474">
        <f t="shared" si="30"/>
        <v>0.9753145908343136</v>
      </c>
      <c r="G90" s="210">
        <f>(G82)-(G89)</f>
        <v>-33.68</v>
      </c>
      <c r="H90" s="468">
        <f>(H82)-(H89)</f>
        <v>0</v>
      </c>
      <c r="I90" s="468">
        <f t="shared" si="31"/>
        <v>-33.68</v>
      </c>
      <c r="J90" s="474" t="str">
        <f t="shared" si="32"/>
        <v/>
      </c>
      <c r="K90" s="210">
        <f>(K82)-(K89)</f>
        <v>0</v>
      </c>
      <c r="L90" s="468">
        <f>(L82)-(L89)</f>
        <v>0</v>
      </c>
      <c r="M90" s="468">
        <f t="shared" si="33"/>
        <v>0</v>
      </c>
      <c r="N90" s="474" t="str">
        <f t="shared" si="34"/>
        <v/>
      </c>
      <c r="O90" s="210">
        <f>(O82)-(O89)</f>
        <v>0</v>
      </c>
      <c r="P90" s="468">
        <f>(P82)-(P89)</f>
        <v>0</v>
      </c>
      <c r="Q90" s="468">
        <f t="shared" si="35"/>
        <v>0</v>
      </c>
      <c r="R90" s="474" t="str">
        <f t="shared" si="36"/>
        <v/>
      </c>
      <c r="S90" s="210">
        <f>(S82)-(S89)</f>
        <v>0</v>
      </c>
      <c r="T90" s="468">
        <f>(T82)-(T89)</f>
        <v>0</v>
      </c>
      <c r="U90" s="468">
        <f t="shared" si="37"/>
        <v>0</v>
      </c>
      <c r="V90" s="474" t="str">
        <f t="shared" si="38"/>
        <v/>
      </c>
      <c r="W90" s="210">
        <f t="shared" si="39"/>
        <v>-124291.47999999998</v>
      </c>
      <c r="X90" s="468">
        <f t="shared" si="39"/>
        <v>-127402.79000000001</v>
      </c>
      <c r="Y90" s="468">
        <f t="shared" si="40"/>
        <v>3111.3100000000268</v>
      </c>
      <c r="Z90" s="474">
        <f t="shared" si="41"/>
        <v>0.97557894925221</v>
      </c>
    </row>
    <row r="91" spans="2:26" ht="15.75" thickBot="1" x14ac:dyDescent="0.3">
      <c r="B91" s="219" t="s">
        <v>132</v>
      </c>
      <c r="C91" s="220">
        <f>(C78)+(C90)</f>
        <v>-355639.31000000006</v>
      </c>
      <c r="D91" s="467">
        <f>(D78)+(D90)</f>
        <v>-354230.39</v>
      </c>
      <c r="E91" s="467">
        <f t="shared" si="29"/>
        <v>-1408.9200000000419</v>
      </c>
      <c r="F91" s="473">
        <f t="shared" si="30"/>
        <v>1.003977411424243</v>
      </c>
      <c r="G91" s="220">
        <f>(G78)+(G90)</f>
        <v>197219.91000000003</v>
      </c>
      <c r="H91" s="467">
        <f>(H78)+(H90)</f>
        <v>177705.15</v>
      </c>
      <c r="I91" s="467">
        <f t="shared" si="31"/>
        <v>19514.760000000038</v>
      </c>
      <c r="J91" s="473">
        <f t="shared" si="32"/>
        <v>1.1098153880177364</v>
      </c>
      <c r="K91" s="220">
        <f>(K78)+(K90)</f>
        <v>-3208.7099999999996</v>
      </c>
      <c r="L91" s="467">
        <f>(L78)+(L90)</f>
        <v>18314.189999999999</v>
      </c>
      <c r="M91" s="467">
        <f t="shared" si="33"/>
        <v>-21522.899999999998</v>
      </c>
      <c r="N91" s="473">
        <f t="shared" si="34"/>
        <v>-0.17520348975302755</v>
      </c>
      <c r="O91" s="220">
        <f>(O78)+(O90)</f>
        <v>71899.959999999992</v>
      </c>
      <c r="P91" s="467">
        <f>(P78)+(P90)</f>
        <v>150865.97999999998</v>
      </c>
      <c r="Q91" s="467">
        <f t="shared" si="35"/>
        <v>-78966.01999999999</v>
      </c>
      <c r="R91" s="473">
        <f t="shared" si="36"/>
        <v>0.4765816653960025</v>
      </c>
      <c r="S91" s="220">
        <f>(S78)+(S90)</f>
        <v>-54016.37000000001</v>
      </c>
      <c r="T91" s="467">
        <f>(T78)+(T90)</f>
        <v>181497.54</v>
      </c>
      <c r="U91" s="467">
        <f t="shared" si="37"/>
        <v>-235513.91000000003</v>
      </c>
      <c r="V91" s="473">
        <f t="shared" si="38"/>
        <v>-0.29761488778305206</v>
      </c>
      <c r="W91" s="220">
        <f t="shared" si="39"/>
        <v>-143744.52000000002</v>
      </c>
      <c r="X91" s="467">
        <f t="shared" si="39"/>
        <v>174152.46999999997</v>
      </c>
      <c r="Y91" s="467">
        <f t="shared" si="40"/>
        <v>-317896.99</v>
      </c>
      <c r="Z91" s="473">
        <f t="shared" si="41"/>
        <v>-0.82539466709831932</v>
      </c>
    </row>
    <row r="92" spans="2:26" ht="15.75" thickBot="1" x14ac:dyDescent="0.3">
      <c r="B92" s="122"/>
      <c r="C92" s="168"/>
      <c r="D92" s="471"/>
      <c r="E92" s="471"/>
      <c r="F92" s="169"/>
      <c r="G92" s="168"/>
      <c r="H92" s="471"/>
      <c r="I92" s="471"/>
      <c r="J92" s="477"/>
      <c r="K92" s="307"/>
      <c r="L92" s="307"/>
      <c r="M92" s="307"/>
      <c r="N92" s="479"/>
      <c r="O92" s="168"/>
      <c r="P92" s="471"/>
      <c r="Q92" s="471"/>
      <c r="R92" s="477"/>
      <c r="S92" s="168"/>
      <c r="T92" s="471"/>
      <c r="U92" s="471"/>
      <c r="V92" s="477"/>
      <c r="W92" s="168"/>
      <c r="X92" s="471"/>
      <c r="Y92" s="471"/>
      <c r="Z92" s="477"/>
    </row>
    <row r="93" spans="2:26" s="94" customFormat="1" ht="15.75" outlineLevel="1" thickBot="1" x14ac:dyDescent="0.3">
      <c r="B93" s="513" t="s">
        <v>261</v>
      </c>
      <c r="C93" s="464">
        <f>+C78+C82</f>
        <v>-202794.23000000004</v>
      </c>
      <c r="D93" s="486">
        <f>+D78+D82</f>
        <v>-226827.60000000003</v>
      </c>
      <c r="E93" s="486">
        <f>+E78+E82</f>
        <v>24033.369999999995</v>
      </c>
      <c r="F93" s="526">
        <f>C93/D93</f>
        <v>0.89404565405620839</v>
      </c>
      <c r="G93" s="464">
        <f>+G78+G82</f>
        <v>197253.59000000003</v>
      </c>
      <c r="H93" s="486">
        <f>+H78+H82</f>
        <v>177705.15</v>
      </c>
      <c r="I93" s="486">
        <f>+I78+I82</f>
        <v>19548.440000000031</v>
      </c>
      <c r="J93" s="526">
        <f>G93/H93</f>
        <v>1.1100049154456133</v>
      </c>
      <c r="K93" s="464">
        <f>+K78+K82</f>
        <v>-3208.7099999999996</v>
      </c>
      <c r="L93" s="486">
        <f>+L78+L82</f>
        <v>18314.189999999999</v>
      </c>
      <c r="M93" s="486">
        <f>+M78+M82</f>
        <v>-21522.899999999998</v>
      </c>
      <c r="N93" s="526">
        <f>K93/L93</f>
        <v>-0.17520348975302755</v>
      </c>
      <c r="O93" s="464">
        <f>+O78+O82</f>
        <v>71899.959999999992</v>
      </c>
      <c r="P93" s="486">
        <f>+P78+P82</f>
        <v>150865.97999999998</v>
      </c>
      <c r="Q93" s="486">
        <f>+Q78+Q82</f>
        <v>-78966.01999999999</v>
      </c>
      <c r="R93" s="526">
        <f>O93/P93</f>
        <v>0.4765816653960025</v>
      </c>
      <c r="S93" s="464">
        <f>+S78+S82</f>
        <v>-54016.37000000001</v>
      </c>
      <c r="T93" s="486">
        <f>+T78+T82</f>
        <v>181497.54</v>
      </c>
      <c r="U93" s="486">
        <f>+U78+U82</f>
        <v>-235513.91000000003</v>
      </c>
      <c r="V93" s="526">
        <f>S93/T93</f>
        <v>-0.29761488778305206</v>
      </c>
      <c r="W93" s="464">
        <f>+W78+W82</f>
        <v>9134.2399999999689</v>
      </c>
      <c r="X93" s="486">
        <f>+X78+X82</f>
        <v>301555.25999999995</v>
      </c>
      <c r="Y93" s="486">
        <f>+Y78+Y82</f>
        <v>-292421.02</v>
      </c>
      <c r="Z93" s="526">
        <f>W93/X93</f>
        <v>3.0290434993572889E-2</v>
      </c>
    </row>
    <row r="94" spans="2:26" s="94" customFormat="1" outlineLevel="1" x14ac:dyDescent="0.25">
      <c r="B94" s="514"/>
      <c r="C94" s="272"/>
      <c r="D94" s="462"/>
      <c r="E94" s="462"/>
      <c r="F94" s="522"/>
      <c r="G94" s="272"/>
      <c r="H94" s="462"/>
      <c r="I94" s="462"/>
      <c r="J94" s="522"/>
      <c r="K94" s="272"/>
      <c r="L94" s="462"/>
      <c r="M94" s="462"/>
      <c r="N94" s="518"/>
      <c r="O94" s="272"/>
      <c r="P94" s="462"/>
      <c r="Q94" s="462"/>
      <c r="R94" s="518"/>
      <c r="S94" s="272"/>
      <c r="T94" s="462"/>
      <c r="U94" s="462"/>
      <c r="V94" s="518"/>
      <c r="W94" s="272"/>
      <c r="X94" s="462"/>
      <c r="Y94" s="462"/>
      <c r="Z94" s="518"/>
    </row>
    <row r="95" spans="2:26" s="94" customFormat="1" ht="15.75" outlineLevel="1" thickBot="1" x14ac:dyDescent="0.3">
      <c r="B95" s="514" t="s">
        <v>262</v>
      </c>
      <c r="C95" s="272">
        <f>C87+C88</f>
        <v>52959</v>
      </c>
      <c r="D95" s="462">
        <f>D87+D88</f>
        <v>49832.100000000006</v>
      </c>
      <c r="E95" s="462">
        <f>E87+E88</f>
        <v>3126.8999999999996</v>
      </c>
      <c r="F95" s="522">
        <f t="shared" ref="F95:F102" si="42">C95/D95</f>
        <v>1.0627487101687465</v>
      </c>
      <c r="G95" s="272">
        <f>G87+G88</f>
        <v>0</v>
      </c>
      <c r="H95" s="462">
        <f>H87+H88</f>
        <v>0</v>
      </c>
      <c r="I95" s="462">
        <f>I87+I88</f>
        <v>0</v>
      </c>
      <c r="J95" s="522">
        <v>0</v>
      </c>
      <c r="K95" s="272">
        <f>K87+K88</f>
        <v>0</v>
      </c>
      <c r="L95" s="462">
        <f>L87+L88</f>
        <v>0</v>
      </c>
      <c r="M95" s="462">
        <f>M87+M88</f>
        <v>0</v>
      </c>
      <c r="N95" s="518">
        <v>0</v>
      </c>
      <c r="O95" s="272">
        <f>O87+O88</f>
        <v>0</v>
      </c>
      <c r="P95" s="462">
        <f>P87+P88</f>
        <v>0</v>
      </c>
      <c r="Q95" s="462">
        <f>Q87+Q88</f>
        <v>0</v>
      </c>
      <c r="R95" s="518">
        <v>0</v>
      </c>
      <c r="S95" s="272">
        <f>S87+S88</f>
        <v>0</v>
      </c>
      <c r="T95" s="462">
        <f>T87+T88</f>
        <v>0</v>
      </c>
      <c r="U95" s="462">
        <f>U87+U88</f>
        <v>0</v>
      </c>
      <c r="V95" s="518">
        <v>0</v>
      </c>
      <c r="W95" s="272">
        <f>W87+W88</f>
        <v>52959</v>
      </c>
      <c r="X95" s="462">
        <f>X87+X88</f>
        <v>49832.100000000006</v>
      </c>
      <c r="Y95" s="462">
        <f>Y87+Y88</f>
        <v>3126.8999999999996</v>
      </c>
      <c r="Z95" s="518">
        <v>0</v>
      </c>
    </row>
    <row r="96" spans="2:26" s="94" customFormat="1" ht="15.75" outlineLevel="1" thickBot="1" x14ac:dyDescent="0.3">
      <c r="B96" s="513" t="s">
        <v>263</v>
      </c>
      <c r="C96" s="464">
        <f>++C93-C95</f>
        <v>-255753.23000000004</v>
      </c>
      <c r="D96" s="486">
        <f>++D93-D95</f>
        <v>-276659.70000000007</v>
      </c>
      <c r="E96" s="486">
        <f>++E93-E95</f>
        <v>20906.469999999994</v>
      </c>
      <c r="F96" s="526">
        <f t="shared" si="42"/>
        <v>0.9244325429399366</v>
      </c>
      <c r="G96" s="464">
        <f>++G93-G95</f>
        <v>197253.59000000003</v>
      </c>
      <c r="H96" s="486">
        <f>++H93-H95</f>
        <v>177705.15</v>
      </c>
      <c r="I96" s="486">
        <f>++I93-I95</f>
        <v>19548.440000000031</v>
      </c>
      <c r="J96" s="526">
        <f t="shared" ref="J96:J102" si="43">G96/H96</f>
        <v>1.1100049154456133</v>
      </c>
      <c r="K96" s="464">
        <f>++K93-K95</f>
        <v>-3208.7099999999996</v>
      </c>
      <c r="L96" s="486">
        <f>++L93-L95</f>
        <v>18314.189999999999</v>
      </c>
      <c r="M96" s="486">
        <f>++M93-M95</f>
        <v>-21522.899999999998</v>
      </c>
      <c r="N96" s="526">
        <f t="shared" ref="N96:N102" si="44">K96/L96</f>
        <v>-0.17520348975302755</v>
      </c>
      <c r="O96" s="464">
        <f>++O93-O95</f>
        <v>71899.959999999992</v>
      </c>
      <c r="P96" s="486">
        <f>++P93-P95</f>
        <v>150865.97999999998</v>
      </c>
      <c r="Q96" s="486">
        <f>++Q93-Q95</f>
        <v>-78966.01999999999</v>
      </c>
      <c r="R96" s="526">
        <f t="shared" ref="R96:R102" si="45">O96/P96</f>
        <v>0.4765816653960025</v>
      </c>
      <c r="S96" s="464">
        <f>++S93-S95</f>
        <v>-54016.37000000001</v>
      </c>
      <c r="T96" s="486">
        <f>++T93-T95</f>
        <v>181497.54</v>
      </c>
      <c r="U96" s="486">
        <f>++U93-U95</f>
        <v>-235513.91000000003</v>
      </c>
      <c r="V96" s="526">
        <f t="shared" ref="V96:V102" si="46">S96/T96</f>
        <v>-0.29761488778305206</v>
      </c>
      <c r="W96" s="464">
        <f>++W93-W95</f>
        <v>-43824.760000000031</v>
      </c>
      <c r="X96" s="486">
        <f>++X93-X95</f>
        <v>251723.15999999995</v>
      </c>
      <c r="Y96" s="486">
        <f>++Y93-Y95</f>
        <v>-295547.92000000004</v>
      </c>
      <c r="Z96" s="526">
        <f t="shared" ref="Z96:Z102" si="47">W96/X96</f>
        <v>-0.17409903800667384</v>
      </c>
    </row>
    <row r="97" spans="2:26" s="94" customFormat="1" outlineLevel="1" x14ac:dyDescent="0.25">
      <c r="B97" s="515"/>
      <c r="C97" s="273"/>
      <c r="D97" s="463"/>
      <c r="E97" s="463"/>
      <c r="F97" s="523"/>
      <c r="G97" s="273"/>
      <c r="H97" s="463"/>
      <c r="I97" s="463"/>
      <c r="J97" s="523"/>
      <c r="K97" s="273"/>
      <c r="L97" s="463"/>
      <c r="M97" s="463"/>
      <c r="N97" s="520"/>
      <c r="O97" s="273"/>
      <c r="P97" s="463"/>
      <c r="Q97" s="463"/>
      <c r="R97" s="520"/>
      <c r="S97" s="273"/>
      <c r="T97" s="463"/>
      <c r="U97" s="463"/>
      <c r="V97" s="520"/>
      <c r="W97" s="273"/>
      <c r="X97" s="463"/>
      <c r="Y97" s="463"/>
      <c r="Z97" s="520"/>
    </row>
    <row r="98" spans="2:26" s="94" customFormat="1" ht="15.75" outlineLevel="1" thickBot="1" x14ac:dyDescent="0.3">
      <c r="B98" s="514" t="s">
        <v>1078</v>
      </c>
      <c r="C98" s="272">
        <f>++C85+C86+C84</f>
        <v>99886.079999999987</v>
      </c>
      <c r="D98" s="462">
        <f t="shared" ref="D98:E98" si="48">++D85+D86+D84</f>
        <v>77570.69</v>
      </c>
      <c r="E98" s="462">
        <f t="shared" si="48"/>
        <v>22315.390000000003</v>
      </c>
      <c r="F98" s="522">
        <f t="shared" si="42"/>
        <v>1.287678116566966</v>
      </c>
      <c r="G98" s="272">
        <f>++G85+G86+G84</f>
        <v>33.68</v>
      </c>
      <c r="H98" s="462">
        <f t="shared" ref="H98:I98" si="49">++H85+H86+H84</f>
        <v>0</v>
      </c>
      <c r="I98" s="462">
        <f t="shared" si="49"/>
        <v>33.68</v>
      </c>
      <c r="J98" s="522">
        <v>0</v>
      </c>
      <c r="K98" s="272">
        <f>++K85+K86+K84</f>
        <v>0</v>
      </c>
      <c r="L98" s="462">
        <f t="shared" ref="L98:M98" si="50">++L85+L86+L84</f>
        <v>0</v>
      </c>
      <c r="M98" s="462">
        <f t="shared" si="50"/>
        <v>0</v>
      </c>
      <c r="N98" s="518">
        <v>0</v>
      </c>
      <c r="O98" s="272">
        <f>++O85+O86+O84</f>
        <v>0</v>
      </c>
      <c r="P98" s="462">
        <f t="shared" ref="P98:Q98" si="51">++P85+P86+P84</f>
        <v>0</v>
      </c>
      <c r="Q98" s="462">
        <f t="shared" si="51"/>
        <v>0</v>
      </c>
      <c r="R98" s="518">
        <v>0</v>
      </c>
      <c r="S98" s="272">
        <f>++S85+S86+S84</f>
        <v>0</v>
      </c>
      <c r="T98" s="462">
        <f t="shared" ref="T98:U98" si="52">++T85+T86+T84</f>
        <v>0</v>
      </c>
      <c r="U98" s="462">
        <f t="shared" si="52"/>
        <v>0</v>
      </c>
      <c r="V98" s="518">
        <v>0</v>
      </c>
      <c r="W98" s="272">
        <f>++W85+W86+W84</f>
        <v>99919.76</v>
      </c>
      <c r="X98" s="462">
        <f t="shared" ref="X98:Y98" si="53">++X85+X86+X84</f>
        <v>77570.69</v>
      </c>
      <c r="Y98" s="462">
        <f t="shared" si="53"/>
        <v>22349.070000000003</v>
      </c>
      <c r="Z98" s="518">
        <v>0</v>
      </c>
    </row>
    <row r="99" spans="2:26" s="94" customFormat="1" ht="15.75" outlineLevel="1" thickBot="1" x14ac:dyDescent="0.3">
      <c r="B99" s="513" t="s">
        <v>264</v>
      </c>
      <c r="C99" s="464">
        <f>++C96-C98</f>
        <v>-355639.31000000006</v>
      </c>
      <c r="D99" s="486">
        <f>++D96-D98</f>
        <v>-354230.39000000007</v>
      </c>
      <c r="E99" s="486">
        <f>++E96-E98</f>
        <v>-1408.9200000000092</v>
      </c>
      <c r="F99" s="526">
        <f t="shared" si="42"/>
        <v>1.0039774114242428</v>
      </c>
      <c r="G99" s="464">
        <f>++G96-G98</f>
        <v>197219.91000000003</v>
      </c>
      <c r="H99" s="486">
        <f>++H96-H98</f>
        <v>177705.15</v>
      </c>
      <c r="I99" s="486">
        <f>++I96-I98</f>
        <v>19514.760000000031</v>
      </c>
      <c r="J99" s="526">
        <f t="shared" si="43"/>
        <v>1.1098153880177364</v>
      </c>
      <c r="K99" s="464">
        <f>++K96-K98</f>
        <v>-3208.7099999999996</v>
      </c>
      <c r="L99" s="486">
        <f>++L96-L98</f>
        <v>18314.189999999999</v>
      </c>
      <c r="M99" s="486">
        <f>++M96-M98</f>
        <v>-21522.899999999998</v>
      </c>
      <c r="N99" s="526">
        <f t="shared" si="44"/>
        <v>-0.17520348975302755</v>
      </c>
      <c r="O99" s="464">
        <f>++O96-O98</f>
        <v>71899.959999999992</v>
      </c>
      <c r="P99" s="486">
        <f>++P96-P98</f>
        <v>150865.97999999998</v>
      </c>
      <c r="Q99" s="486">
        <f>++Q96-Q98</f>
        <v>-78966.01999999999</v>
      </c>
      <c r="R99" s="526">
        <f t="shared" si="45"/>
        <v>0.4765816653960025</v>
      </c>
      <c r="S99" s="464">
        <f>++S96-S98</f>
        <v>-54016.37000000001</v>
      </c>
      <c r="T99" s="486">
        <f>++T96-T98</f>
        <v>181497.54</v>
      </c>
      <c r="U99" s="486">
        <f>++U96-U98</f>
        <v>-235513.91000000003</v>
      </c>
      <c r="V99" s="526">
        <f t="shared" si="46"/>
        <v>-0.29761488778305206</v>
      </c>
      <c r="W99" s="464">
        <f>++W96-W98</f>
        <v>-143744.52000000002</v>
      </c>
      <c r="X99" s="486">
        <f>++X96-X98</f>
        <v>174152.46999999994</v>
      </c>
      <c r="Y99" s="486">
        <f>++Y96-Y98</f>
        <v>-317896.99000000005</v>
      </c>
      <c r="Z99" s="526">
        <f t="shared" si="47"/>
        <v>-0.82539466709831943</v>
      </c>
    </row>
    <row r="100" spans="2:26" s="94" customFormat="1" outlineLevel="1" x14ac:dyDescent="0.25">
      <c r="B100" s="515"/>
      <c r="C100" s="273"/>
      <c r="D100" s="463"/>
      <c r="E100" s="463"/>
      <c r="F100" s="523"/>
      <c r="G100" s="273"/>
      <c r="H100" s="463"/>
      <c r="I100" s="463"/>
      <c r="J100" s="523"/>
      <c r="K100" s="273"/>
      <c r="L100" s="463"/>
      <c r="M100" s="463"/>
      <c r="N100" s="520"/>
      <c r="O100" s="273"/>
      <c r="P100" s="463"/>
      <c r="Q100" s="463"/>
      <c r="R100" s="520"/>
      <c r="S100" s="273"/>
      <c r="T100" s="463"/>
      <c r="U100" s="463"/>
      <c r="V100" s="520"/>
      <c r="W100" s="273"/>
      <c r="X100" s="463"/>
      <c r="Y100" s="463"/>
      <c r="Z100" s="520"/>
    </row>
    <row r="101" spans="2:26" s="94" customFormat="1" ht="15.75" outlineLevel="1" thickBot="1" x14ac:dyDescent="0.3">
      <c r="B101" s="514" t="s">
        <v>265</v>
      </c>
      <c r="C101" s="272"/>
      <c r="D101" s="462"/>
      <c r="E101" s="462"/>
      <c r="F101" s="522"/>
      <c r="G101" s="272"/>
      <c r="H101" s="462"/>
      <c r="I101" s="462"/>
      <c r="J101" s="522"/>
      <c r="K101" s="272"/>
      <c r="L101" s="462"/>
      <c r="M101" s="462"/>
      <c r="N101" s="518"/>
      <c r="O101" s="272"/>
      <c r="P101" s="462"/>
      <c r="Q101" s="462"/>
      <c r="R101" s="518"/>
      <c r="S101" s="272"/>
      <c r="T101" s="462"/>
      <c r="U101" s="462"/>
      <c r="V101" s="518"/>
      <c r="W101" s="272"/>
      <c r="X101" s="462"/>
      <c r="Y101" s="462"/>
      <c r="Z101" s="518"/>
    </row>
    <row r="102" spans="2:26" s="94" customFormat="1" ht="15.75" outlineLevel="1" thickBot="1" x14ac:dyDescent="0.3">
      <c r="B102" s="513" t="s">
        <v>266</v>
      </c>
      <c r="C102" s="464">
        <f>++C99-C101</f>
        <v>-355639.31000000006</v>
      </c>
      <c r="D102" s="486">
        <f>++D99-D101</f>
        <v>-354230.39000000007</v>
      </c>
      <c r="E102" s="486">
        <f>++E99-E101</f>
        <v>-1408.9200000000092</v>
      </c>
      <c r="F102" s="526">
        <f t="shared" si="42"/>
        <v>1.0039774114242428</v>
      </c>
      <c r="G102" s="464">
        <f>++G99-G101</f>
        <v>197219.91000000003</v>
      </c>
      <c r="H102" s="486">
        <f>++H99-H101</f>
        <v>177705.15</v>
      </c>
      <c r="I102" s="486">
        <f>++I99-I101</f>
        <v>19514.760000000031</v>
      </c>
      <c r="J102" s="526">
        <f t="shared" si="43"/>
        <v>1.1098153880177364</v>
      </c>
      <c r="K102" s="464">
        <f>++K99-K101</f>
        <v>-3208.7099999999996</v>
      </c>
      <c r="L102" s="486">
        <f>++L99-L101</f>
        <v>18314.189999999999</v>
      </c>
      <c r="M102" s="486">
        <f>++M99-M101</f>
        <v>-21522.899999999998</v>
      </c>
      <c r="N102" s="526">
        <f t="shared" si="44"/>
        <v>-0.17520348975302755</v>
      </c>
      <c r="O102" s="464">
        <f>++O99-O101</f>
        <v>71899.959999999992</v>
      </c>
      <c r="P102" s="486">
        <f>++P99-P101</f>
        <v>150865.97999999998</v>
      </c>
      <c r="Q102" s="486">
        <f>++Q99-Q101</f>
        <v>-78966.01999999999</v>
      </c>
      <c r="R102" s="526">
        <f t="shared" si="45"/>
        <v>0.4765816653960025</v>
      </c>
      <c r="S102" s="464">
        <f>++S99-S101</f>
        <v>-54016.37000000001</v>
      </c>
      <c r="T102" s="486">
        <f>++T99-T101</f>
        <v>181497.54</v>
      </c>
      <c r="U102" s="486">
        <f>++U99-U101</f>
        <v>-235513.91000000003</v>
      </c>
      <c r="V102" s="526">
        <f t="shared" si="46"/>
        <v>-0.29761488778305206</v>
      </c>
      <c r="W102" s="464">
        <f>++W99-W101</f>
        <v>-143744.52000000002</v>
      </c>
      <c r="X102" s="486">
        <f>++X99-X101</f>
        <v>174152.46999999994</v>
      </c>
      <c r="Y102" s="486">
        <f>++Y99-Y101</f>
        <v>-317896.99000000005</v>
      </c>
      <c r="Z102" s="526">
        <f t="shared" si="47"/>
        <v>-0.82539466709831943</v>
      </c>
    </row>
    <row r="103" spans="2:26" s="94" customFormat="1" outlineLevel="1" x14ac:dyDescent="0.25">
      <c r="B103" s="515"/>
      <c r="C103" s="273"/>
      <c r="D103" s="463"/>
      <c r="E103" s="463"/>
      <c r="F103" s="523"/>
      <c r="G103" s="273"/>
      <c r="H103" s="463"/>
      <c r="I103" s="463"/>
      <c r="J103" s="520"/>
      <c r="K103" s="273"/>
      <c r="L103" s="463"/>
      <c r="M103" s="463"/>
      <c r="N103" s="520"/>
      <c r="O103" s="273"/>
      <c r="P103" s="463"/>
      <c r="Q103" s="463"/>
      <c r="R103" s="520"/>
      <c r="S103" s="273"/>
      <c r="T103" s="463"/>
      <c r="U103" s="463"/>
      <c r="V103" s="520"/>
      <c r="W103" s="273"/>
      <c r="X103" s="463"/>
      <c r="Y103" s="463"/>
      <c r="Z103" s="520"/>
    </row>
    <row r="104" spans="2:26" s="94" customFormat="1" ht="15.75" outlineLevel="1" thickBot="1" x14ac:dyDescent="0.3">
      <c r="B104" s="515"/>
      <c r="C104" s="273"/>
      <c r="D104" s="463"/>
      <c r="E104" s="463"/>
      <c r="F104" s="523"/>
      <c r="G104" s="273"/>
      <c r="H104" s="463"/>
      <c r="I104" s="463"/>
      <c r="J104" s="520"/>
      <c r="K104" s="273"/>
      <c r="L104" s="463"/>
      <c r="M104" s="463"/>
      <c r="N104" s="520"/>
      <c r="O104" s="273"/>
      <c r="P104" s="463"/>
      <c r="Q104" s="463"/>
      <c r="R104" s="520"/>
      <c r="S104" s="273"/>
      <c r="T104" s="463"/>
      <c r="U104" s="463"/>
      <c r="V104" s="520"/>
      <c r="W104" s="273"/>
      <c r="X104" s="463"/>
      <c r="Y104" s="463"/>
      <c r="Z104" s="520"/>
    </row>
    <row r="105" spans="2:26" s="94" customFormat="1" ht="15.75" outlineLevel="1" thickBot="1" x14ac:dyDescent="0.3">
      <c r="B105" s="516" t="s">
        <v>267</v>
      </c>
      <c r="C105" s="274">
        <f t="shared" ref="C105:Z105" si="54">++C102-C91</f>
        <v>0</v>
      </c>
      <c r="D105" s="275">
        <f t="shared" si="54"/>
        <v>0</v>
      </c>
      <c r="E105" s="275">
        <f t="shared" si="54"/>
        <v>3.2741809263825417E-11</v>
      </c>
      <c r="F105" s="275">
        <f t="shared" si="54"/>
        <v>0</v>
      </c>
      <c r="G105" s="274">
        <f t="shared" si="54"/>
        <v>0</v>
      </c>
      <c r="H105" s="275">
        <f t="shared" si="54"/>
        <v>0</v>
      </c>
      <c r="I105" s="275">
        <f t="shared" si="54"/>
        <v>0</v>
      </c>
      <c r="J105" s="275">
        <f t="shared" si="54"/>
        <v>0</v>
      </c>
      <c r="K105" s="274">
        <f t="shared" si="54"/>
        <v>0</v>
      </c>
      <c r="L105" s="275">
        <f t="shared" si="54"/>
        <v>0</v>
      </c>
      <c r="M105" s="275">
        <f t="shared" si="54"/>
        <v>0</v>
      </c>
      <c r="N105" s="275">
        <f t="shared" si="54"/>
        <v>0</v>
      </c>
      <c r="O105" s="274">
        <f t="shared" si="54"/>
        <v>0</v>
      </c>
      <c r="P105" s="275">
        <f t="shared" si="54"/>
        <v>0</v>
      </c>
      <c r="Q105" s="275">
        <f t="shared" si="54"/>
        <v>0</v>
      </c>
      <c r="R105" s="275">
        <f t="shared" si="54"/>
        <v>0</v>
      </c>
      <c r="S105" s="274">
        <f t="shared" si="54"/>
        <v>0</v>
      </c>
      <c r="T105" s="275">
        <f t="shared" si="54"/>
        <v>0</v>
      </c>
      <c r="U105" s="275">
        <f t="shared" si="54"/>
        <v>0</v>
      </c>
      <c r="V105" s="275">
        <f t="shared" si="54"/>
        <v>0</v>
      </c>
      <c r="W105" s="274">
        <f t="shared" si="54"/>
        <v>0</v>
      </c>
      <c r="X105" s="275">
        <f t="shared" si="54"/>
        <v>0</v>
      </c>
      <c r="Y105" s="275">
        <f t="shared" si="54"/>
        <v>0</v>
      </c>
      <c r="Z105" s="521">
        <f t="shared" si="54"/>
        <v>0</v>
      </c>
    </row>
  </sheetData>
  <mergeCells count="6">
    <mergeCell ref="W8:Z8"/>
    <mergeCell ref="C8:F8"/>
    <mergeCell ref="G8:J8"/>
    <mergeCell ref="K8:N8"/>
    <mergeCell ref="O8:R8"/>
    <mergeCell ref="S8:V8"/>
  </mergeCells>
  <conditionalFormatting sqref="B8:B92">
    <cfRule type="duplicateValues" dxfId="16" priority="2"/>
  </conditionalFormatting>
  <conditionalFormatting sqref="B93:B105">
    <cfRule type="duplicateValues" dxfId="15" priority="1"/>
  </conditionalFormatting>
  <hyperlinks>
    <hyperlink ref="P2" location="Index!A1" display="Home" xr:uid="{D902A947-6B61-4752-BC39-678ED5DBE643}"/>
    <hyperlink ref="P4" location="'Profit and Loss by Month'!A1" display="Profit &amp; Loss" xr:uid="{8C63B1F6-803D-4CD5-8D89-84537FA9AF7D}"/>
    <hyperlink ref="P3" location="BS!A1" display="Balance Sheet" xr:uid="{FB4AD04E-B479-4B30-BCAF-0948702C46DF}"/>
    <hyperlink ref="P5" location="'Profit &amp; Loss - Division(Month)'!A1" display="Profit &amp; Loss (Division) Month" xr:uid="{364A0F5E-1B9F-4D8E-9999-3A2F6592474F}"/>
  </hyperlink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5C67-95F5-46B3-9D27-7B2C0EC12C57}">
  <sheetPr codeName="Sheet10">
    <tabColor rgb="FFFFFF00"/>
  </sheetPr>
  <dimension ref="B1:G42"/>
  <sheetViews>
    <sheetView showGridLines="0" zoomScale="90" zoomScaleNormal="90" workbookViewId="0">
      <pane xSplit="2" ySplit="6" topLeftCell="C17" activePane="bottomRight" state="frozen"/>
      <selection activeCell="A8" sqref="A8"/>
      <selection pane="topRight" activeCell="A8" sqref="A8"/>
      <selection pane="bottomLeft" activeCell="A8" sqref="A8"/>
      <selection pane="bottomRight" activeCell="M37" sqref="M37"/>
    </sheetView>
  </sheetViews>
  <sheetFormatPr defaultColWidth="9.140625" defaultRowHeight="15" x14ac:dyDescent="0.25"/>
  <cols>
    <col min="1" max="1" width="2.7109375" style="69" customWidth="1"/>
    <col min="2" max="2" width="79.5703125" style="69" bestFit="1" customWidth="1"/>
    <col min="3" max="5" width="12.7109375" style="70" customWidth="1"/>
    <col min="6" max="6" width="14.7109375" style="70" customWidth="1"/>
    <col min="7" max="16384" width="9.140625" style="69"/>
  </cols>
  <sheetData>
    <row r="1" spans="2:7" ht="15.75" thickBot="1" x14ac:dyDescent="0.3"/>
    <row r="2" spans="2:7" ht="18.75" x14ac:dyDescent="0.3">
      <c r="B2" s="228" t="str">
        <f>Cover!A3</f>
        <v>Pacific Nexus</v>
      </c>
      <c r="C2" s="224"/>
      <c r="D2" s="224"/>
      <c r="E2" s="224"/>
      <c r="F2" s="224"/>
      <c r="G2" s="151" t="s">
        <v>45</v>
      </c>
    </row>
    <row r="3" spans="2:7" ht="18.75" x14ac:dyDescent="0.3">
      <c r="B3" s="229" t="s">
        <v>272</v>
      </c>
      <c r="C3" s="224"/>
      <c r="D3" s="224"/>
      <c r="E3" s="224"/>
      <c r="F3" s="224"/>
      <c r="G3" s="238" t="s">
        <v>47</v>
      </c>
    </row>
    <row r="4" spans="2:7" ht="19.5" thickBot="1" x14ac:dyDescent="0.35">
      <c r="B4" s="230" t="str">
        <f>Index!A2</f>
        <v>Period Ending 03/31/2026</v>
      </c>
      <c r="C4" s="224"/>
      <c r="D4" s="224"/>
      <c r="E4" s="224"/>
      <c r="F4" s="224"/>
      <c r="G4" s="238" t="s">
        <v>46</v>
      </c>
    </row>
    <row r="5" spans="2:7" ht="19.5" thickBot="1" x14ac:dyDescent="0.35">
      <c r="B5" s="231"/>
      <c r="C5" s="88"/>
      <c r="D5" s="88"/>
      <c r="E5" s="88"/>
      <c r="F5" s="88"/>
      <c r="G5" s="238" t="s">
        <v>34</v>
      </c>
    </row>
    <row r="6" spans="2:7" ht="15.75" thickBot="1" x14ac:dyDescent="0.3">
      <c r="B6" s="185"/>
      <c r="C6" s="484" t="s">
        <v>273</v>
      </c>
      <c r="D6" s="484" t="s">
        <v>1080</v>
      </c>
      <c r="E6" s="484" t="s">
        <v>1263</v>
      </c>
      <c r="F6" s="186" t="s">
        <v>274</v>
      </c>
      <c r="G6" s="238" t="s">
        <v>36</v>
      </c>
    </row>
    <row r="7" spans="2:7" x14ac:dyDescent="0.25">
      <c r="B7" s="380" t="s">
        <v>275</v>
      </c>
      <c r="C7" s="170"/>
      <c r="D7" s="170"/>
      <c r="E7" s="170"/>
      <c r="F7" s="158"/>
    </row>
    <row r="8" spans="2:7" x14ac:dyDescent="0.25">
      <c r="B8" s="381" t="s">
        <v>132</v>
      </c>
      <c r="C8" s="225">
        <v>-58177.409999999989</v>
      </c>
      <c r="D8" s="225">
        <v>-60887.48000000001</v>
      </c>
      <c r="E8" s="225">
        <v>-24679.630000000034</v>
      </c>
      <c r="F8" s="159">
        <f>C8+D8+E8</f>
        <v>-143744.52000000002</v>
      </c>
    </row>
    <row r="9" spans="2:7" x14ac:dyDescent="0.25">
      <c r="B9" s="381" t="s">
        <v>276</v>
      </c>
      <c r="C9" s="170"/>
      <c r="D9" s="170"/>
      <c r="E9" s="170"/>
      <c r="F9" s="159"/>
    </row>
    <row r="10" spans="2:7" x14ac:dyDescent="0.25">
      <c r="B10" s="382" t="s">
        <v>57</v>
      </c>
      <c r="C10" s="225">
        <v>-33488.69</v>
      </c>
      <c r="D10" s="225">
        <v>47128.97</v>
      </c>
      <c r="E10" s="225">
        <v>-10283.040000000001</v>
      </c>
      <c r="F10" s="159">
        <f t="shared" ref="F10:F31" si="0">C10+D10+E10</f>
        <v>3357.239999999998</v>
      </c>
    </row>
    <row r="11" spans="2:7" x14ac:dyDescent="0.25">
      <c r="B11" s="382" t="s">
        <v>62</v>
      </c>
      <c r="C11" s="225">
        <v>-2161.08</v>
      </c>
      <c r="D11" s="225">
        <v>-4393.25</v>
      </c>
      <c r="E11" s="225">
        <v>-1830.66</v>
      </c>
      <c r="F11" s="159">
        <f t="shared" si="0"/>
        <v>-8384.99</v>
      </c>
    </row>
    <row r="12" spans="2:7" x14ac:dyDescent="0.25">
      <c r="B12" s="382" t="s">
        <v>64</v>
      </c>
      <c r="C12" s="170">
        <v>62127.79</v>
      </c>
      <c r="D12" s="170">
        <v>-42283.58</v>
      </c>
      <c r="E12" s="170">
        <v>-12535.36</v>
      </c>
      <c r="F12" s="159">
        <f t="shared" si="0"/>
        <v>7308.8499999999985</v>
      </c>
    </row>
    <row r="13" spans="2:7" ht="30" x14ac:dyDescent="0.25">
      <c r="B13" s="382" t="s">
        <v>277</v>
      </c>
      <c r="C13" s="225">
        <v>2464.7399999999998</v>
      </c>
      <c r="D13" s="225">
        <v>2464.7399999999998</v>
      </c>
      <c r="E13" s="225">
        <v>2588.34</v>
      </c>
      <c r="F13" s="159">
        <f t="shared" si="0"/>
        <v>7517.82</v>
      </c>
    </row>
    <row r="14" spans="2:7" ht="30" x14ac:dyDescent="0.25">
      <c r="B14" s="382" t="s">
        <v>278</v>
      </c>
      <c r="C14" s="225">
        <v>302.12</v>
      </c>
      <c r="D14" s="225">
        <v>302.12</v>
      </c>
      <c r="E14" s="225">
        <v>302.12</v>
      </c>
      <c r="F14" s="159">
        <f t="shared" si="0"/>
        <v>906.36</v>
      </c>
    </row>
    <row r="15" spans="2:7" x14ac:dyDescent="0.25">
      <c r="B15" s="382" t="s">
        <v>279</v>
      </c>
      <c r="C15" s="225">
        <v>12425.23</v>
      </c>
      <c r="D15" s="225">
        <v>12425.23</v>
      </c>
      <c r="E15" s="225">
        <v>12425.23</v>
      </c>
      <c r="F15" s="159">
        <f t="shared" si="0"/>
        <v>37275.69</v>
      </c>
    </row>
    <row r="16" spans="2:7" x14ac:dyDescent="0.25">
      <c r="B16" s="382" t="s">
        <v>280</v>
      </c>
      <c r="C16" s="225">
        <v>563.57000000000005</v>
      </c>
      <c r="D16" s="225">
        <v>563.57000000000005</v>
      </c>
      <c r="E16" s="225">
        <v>563.57000000000005</v>
      </c>
      <c r="F16" s="159">
        <f t="shared" si="0"/>
        <v>1690.71</v>
      </c>
    </row>
    <row r="17" spans="2:6" ht="30" x14ac:dyDescent="0.25">
      <c r="B17" s="382" t="s">
        <v>1282</v>
      </c>
      <c r="C17" s="225">
        <v>1856.14</v>
      </c>
      <c r="D17" s="225">
        <v>1856.14</v>
      </c>
      <c r="E17" s="225">
        <v>1856.14</v>
      </c>
      <c r="F17" s="159">
        <f t="shared" si="0"/>
        <v>5568.42</v>
      </c>
    </row>
    <row r="18" spans="2:6" x14ac:dyDescent="0.25">
      <c r="B18" s="382" t="s">
        <v>93</v>
      </c>
      <c r="C18" s="225">
        <v>-16501.2</v>
      </c>
      <c r="D18" s="225">
        <v>-1577.56</v>
      </c>
      <c r="E18" s="225">
        <v>10613.91</v>
      </c>
      <c r="F18" s="159">
        <f t="shared" si="0"/>
        <v>-7464.8500000000022</v>
      </c>
    </row>
    <row r="19" spans="2:6" x14ac:dyDescent="0.25">
      <c r="B19" s="382" t="s">
        <v>98</v>
      </c>
      <c r="C19" s="225">
        <v>-17176.96</v>
      </c>
      <c r="D19" s="225">
        <v>27655.279999999999</v>
      </c>
      <c r="E19" s="225">
        <v>27660.36</v>
      </c>
      <c r="F19" s="159">
        <f t="shared" si="0"/>
        <v>38138.68</v>
      </c>
    </row>
    <row r="20" spans="2:6" x14ac:dyDescent="0.25">
      <c r="B20" s="382" t="s">
        <v>100</v>
      </c>
      <c r="C20" s="225">
        <v>-63.25</v>
      </c>
      <c r="D20" s="225"/>
      <c r="E20" s="225"/>
      <c r="F20" s="159">
        <f t="shared" si="0"/>
        <v>-63.25</v>
      </c>
    </row>
    <row r="21" spans="2:6" x14ac:dyDescent="0.25">
      <c r="B21" s="382" t="s">
        <v>99</v>
      </c>
      <c r="C21" s="225">
        <v>6300.78</v>
      </c>
      <c r="D21" s="225">
        <v>1117.79</v>
      </c>
      <c r="E21" s="225">
        <v>-6640.28</v>
      </c>
      <c r="F21" s="159">
        <f t="shared" si="0"/>
        <v>778.29</v>
      </c>
    </row>
    <row r="22" spans="2:6" x14ac:dyDescent="0.25">
      <c r="B22" s="382" t="s">
        <v>103</v>
      </c>
      <c r="C22" s="225">
        <v>30429.21</v>
      </c>
      <c r="D22" s="225">
        <v>16320.59</v>
      </c>
      <c r="E22" s="225">
        <v>13777.62</v>
      </c>
      <c r="F22" s="159">
        <f t="shared" si="0"/>
        <v>60527.420000000006</v>
      </c>
    </row>
    <row r="23" spans="2:6" x14ac:dyDescent="0.25">
      <c r="B23" s="382" t="s">
        <v>105</v>
      </c>
      <c r="C23" s="225">
        <v>9720.17</v>
      </c>
      <c r="D23" s="225">
        <v>8887.16</v>
      </c>
      <c r="E23" s="225">
        <v>10169.379999999999</v>
      </c>
      <c r="F23" s="159">
        <f t="shared" si="0"/>
        <v>28776.71</v>
      </c>
    </row>
    <row r="24" spans="2:6" x14ac:dyDescent="0.25">
      <c r="B24" s="382" t="s">
        <v>1283</v>
      </c>
      <c r="C24" s="225">
        <v>0</v>
      </c>
      <c r="D24" s="225">
        <v>0</v>
      </c>
      <c r="E24" s="225">
        <v>2494.31</v>
      </c>
      <c r="F24" s="159">
        <f t="shared" si="0"/>
        <v>2494.31</v>
      </c>
    </row>
    <row r="25" spans="2:6" x14ac:dyDescent="0.25">
      <c r="B25" s="382" t="s">
        <v>282</v>
      </c>
      <c r="C25" s="225">
        <v>-2590.17</v>
      </c>
      <c r="D25" s="225">
        <v>-2349.5100000000002</v>
      </c>
      <c r="E25" s="225">
        <v>-1031.77</v>
      </c>
      <c r="F25" s="159">
        <f t="shared" si="0"/>
        <v>-5971.4500000000007</v>
      </c>
    </row>
    <row r="26" spans="2:6" x14ac:dyDescent="0.25">
      <c r="B26" s="382" t="s">
        <v>283</v>
      </c>
      <c r="C26" s="225">
        <v>-4704.51</v>
      </c>
      <c r="D26" s="225">
        <v>778.96</v>
      </c>
      <c r="E26" s="225">
        <v>-3070.4</v>
      </c>
      <c r="F26" s="159">
        <f t="shared" si="0"/>
        <v>-6995.9500000000007</v>
      </c>
    </row>
    <row r="27" spans="2:6" x14ac:dyDescent="0.25">
      <c r="B27" s="382" t="s">
        <v>114</v>
      </c>
      <c r="C27" s="225">
        <v>2773.08</v>
      </c>
      <c r="D27" s="225"/>
      <c r="E27" s="225"/>
      <c r="F27" s="159">
        <f t="shared" si="0"/>
        <v>2773.08</v>
      </c>
    </row>
    <row r="28" spans="2:6" x14ac:dyDescent="0.25">
      <c r="B28" s="382" t="s">
        <v>116</v>
      </c>
      <c r="C28" s="170">
        <v>7073.81</v>
      </c>
      <c r="D28" s="170">
        <v>-837.86</v>
      </c>
      <c r="E28" s="170">
        <v>10872.27</v>
      </c>
      <c r="F28" s="159">
        <f t="shared" si="0"/>
        <v>17108.22</v>
      </c>
    </row>
    <row r="29" spans="2:6" x14ac:dyDescent="0.25">
      <c r="B29" s="382" t="s">
        <v>284</v>
      </c>
      <c r="C29" s="170">
        <v>-3000</v>
      </c>
      <c r="D29" s="170"/>
      <c r="E29" s="170"/>
      <c r="F29" s="159">
        <f t="shared" si="0"/>
        <v>-3000</v>
      </c>
    </row>
    <row r="30" spans="2:6" x14ac:dyDescent="0.25">
      <c r="B30" s="381" t="s">
        <v>285</v>
      </c>
      <c r="C30" s="124">
        <f>C9+C10+C11+C12+C13+C14+C15+C16+C17+C18+C19+C20+C21+C22+C23+C24+C25+C26+C27+C28+C29</f>
        <v>56350.779999999992</v>
      </c>
      <c r="D30" s="124">
        <f t="shared" ref="D30:E30" si="1">D9+D10+D11+D12+D13+D14+D15+D16+D17+D18+D19+D20+D21+D22+D23+D24+D25+D26+D27+D28+D29</f>
        <v>68058.790000000008</v>
      </c>
      <c r="E30" s="124">
        <f t="shared" si="1"/>
        <v>57931.739999999991</v>
      </c>
      <c r="F30" s="160">
        <f t="shared" si="0"/>
        <v>182341.31</v>
      </c>
    </row>
    <row r="31" spans="2:6" x14ac:dyDescent="0.25">
      <c r="B31" s="384" t="s">
        <v>286</v>
      </c>
      <c r="C31" s="181">
        <f>C8+C30</f>
        <v>-1826.6299999999974</v>
      </c>
      <c r="D31" s="181">
        <f>D8+D30</f>
        <v>7171.3099999999977</v>
      </c>
      <c r="E31" s="181">
        <f>E8+E30</f>
        <v>33252.109999999957</v>
      </c>
      <c r="F31" s="182">
        <f t="shared" si="0"/>
        <v>38596.789999999957</v>
      </c>
    </row>
    <row r="32" spans="2:6" x14ac:dyDescent="0.25">
      <c r="B32" s="384" t="s">
        <v>287</v>
      </c>
      <c r="C32" s="170"/>
      <c r="D32" s="170"/>
      <c r="E32" s="170"/>
      <c r="F32" s="158"/>
    </row>
    <row r="33" spans="2:6" x14ac:dyDescent="0.25">
      <c r="B33" s="381" t="s">
        <v>69</v>
      </c>
      <c r="C33" s="170"/>
      <c r="D33" s="170">
        <v>-7417.45</v>
      </c>
      <c r="E33" s="170">
        <v>-8725</v>
      </c>
      <c r="F33" s="158">
        <f>C33+D33+E33</f>
        <v>-16142.45</v>
      </c>
    </row>
    <row r="34" spans="2:6" x14ac:dyDescent="0.25">
      <c r="B34" s="381" t="s">
        <v>1269</v>
      </c>
      <c r="C34" s="170">
        <v>-16250</v>
      </c>
      <c r="D34" s="170"/>
      <c r="E34" s="170"/>
      <c r="F34" s="159">
        <f>C34+D34+E34</f>
        <v>-16250</v>
      </c>
    </row>
    <row r="35" spans="2:6" x14ac:dyDescent="0.25">
      <c r="B35" s="381" t="s">
        <v>1272</v>
      </c>
      <c r="C35" s="170">
        <v>-3229.82</v>
      </c>
      <c r="D35" s="170"/>
      <c r="E35" s="170"/>
      <c r="F35" s="159">
        <f>C35+D35+E35</f>
        <v>-3229.82</v>
      </c>
    </row>
    <row r="36" spans="2:6" x14ac:dyDescent="0.25">
      <c r="B36" s="384" t="s">
        <v>288</v>
      </c>
      <c r="C36" s="181">
        <f>C33+C34+C35</f>
        <v>-19479.82</v>
      </c>
      <c r="D36" s="181">
        <f>D33+D34+D35</f>
        <v>-7417.45</v>
      </c>
      <c r="E36" s="181">
        <f>E33+E34+E35</f>
        <v>-8725</v>
      </c>
      <c r="F36" s="182">
        <f>C36+D36+E36</f>
        <v>-35622.270000000004</v>
      </c>
    </row>
    <row r="37" spans="2:6" x14ac:dyDescent="0.25">
      <c r="B37" s="384" t="s">
        <v>289</v>
      </c>
      <c r="C37" s="170"/>
      <c r="D37" s="170"/>
      <c r="E37" s="170"/>
      <c r="F37" s="158"/>
    </row>
    <row r="38" spans="2:6" x14ac:dyDescent="0.25">
      <c r="B38" s="381" t="s">
        <v>121</v>
      </c>
      <c r="C38" s="225">
        <v>-5833.34</v>
      </c>
      <c r="D38" s="225">
        <v>-5833.34</v>
      </c>
      <c r="E38" s="225">
        <v>-5833.34</v>
      </c>
      <c r="F38" s="159">
        <f>C38+D38+E38</f>
        <v>-17500.02</v>
      </c>
    </row>
    <row r="39" spans="2:6" x14ac:dyDescent="0.25">
      <c r="B39" s="381" t="s">
        <v>123</v>
      </c>
      <c r="C39" s="170">
        <v>-1250</v>
      </c>
      <c r="D39" s="170">
        <v>-1250</v>
      </c>
      <c r="E39" s="170">
        <v>-1250</v>
      </c>
      <c r="F39" s="159">
        <f>C39+D39+E39</f>
        <v>-3750</v>
      </c>
    </row>
    <row r="40" spans="2:6" x14ac:dyDescent="0.25">
      <c r="B40" s="381" t="s">
        <v>125</v>
      </c>
      <c r="C40" s="225">
        <v>50350</v>
      </c>
      <c r="D40" s="225">
        <v>-15273.12</v>
      </c>
      <c r="E40" s="225">
        <v>57425.26</v>
      </c>
      <c r="F40" s="159">
        <f>C40+D40+E40</f>
        <v>92502.14</v>
      </c>
    </row>
    <row r="41" spans="2:6" x14ac:dyDescent="0.25">
      <c r="B41" s="384" t="s">
        <v>290</v>
      </c>
      <c r="C41" s="181">
        <f>C38+C39+C40</f>
        <v>43266.66</v>
      </c>
      <c r="D41" s="181">
        <f>D38+D39+D40</f>
        <v>-22356.46</v>
      </c>
      <c r="E41" s="181">
        <f>E38+E39+E40</f>
        <v>50341.919999999998</v>
      </c>
      <c r="F41" s="182">
        <f>C41+D41+E41</f>
        <v>71252.12</v>
      </c>
    </row>
    <row r="42" spans="2:6" ht="15.75" thickBot="1" x14ac:dyDescent="0.3">
      <c r="B42" s="387" t="s">
        <v>291</v>
      </c>
      <c r="C42" s="183">
        <f>C31+C36+C41</f>
        <v>21960.210000000006</v>
      </c>
      <c r="D42" s="183">
        <f>D31+D36+D41</f>
        <v>-22602.600000000002</v>
      </c>
      <c r="E42" s="183">
        <f>E31+E36+E41</f>
        <v>74869.029999999955</v>
      </c>
      <c r="F42" s="184">
        <f>C42+D42+E42</f>
        <v>74226.639999999956</v>
      </c>
    </row>
  </sheetData>
  <conditionalFormatting sqref="B1:B1048576">
    <cfRule type="duplicateValues" dxfId="14" priority="1"/>
  </conditionalFormatting>
  <hyperlinks>
    <hyperlink ref="G2" location="Index!A1" display="Home" xr:uid="{CD3E781F-8F5A-440F-A5DF-FA0F84E78FE8}"/>
    <hyperlink ref="G4" location="P_L" display="Profit &amp; Loss" xr:uid="{B7106DCB-5E11-4719-AC7C-414FACDD61BB}"/>
    <hyperlink ref="G3" location="B_S" display="Balance Sheet" xr:uid="{B6246102-8D05-47F9-B692-AC2A370E3E22}"/>
    <hyperlink ref="G5" location="PL_YTD" display="PL-Division (YTD)" xr:uid="{DB48D871-6F56-444B-99F4-FA77021E7216}"/>
    <hyperlink ref="G6" location="PL_DM" display="PL-Division (Month)" xr:uid="{B80D0F50-6851-4DD7-BCA1-82F65D81B272}"/>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689E-6F78-47ED-90B6-76E7C84D9E17}">
  <sheetPr>
    <tabColor theme="5" tint="0.39997558519241921"/>
  </sheetPr>
  <dimension ref="B1:L26"/>
  <sheetViews>
    <sheetView showGridLines="0" workbookViewId="0">
      <selection activeCell="M28" sqref="M28"/>
    </sheetView>
  </sheetViews>
  <sheetFormatPr defaultRowHeight="15" outlineLevelCol="1" x14ac:dyDescent="0.25"/>
  <cols>
    <col min="2" max="2" width="10.85546875" bestFit="1" customWidth="1"/>
    <col min="3" max="3" width="13.28515625" bestFit="1" customWidth="1" outlineLevel="1"/>
    <col min="4" max="4" width="11.5703125" style="503" bestFit="1" customWidth="1" outlineLevel="1"/>
    <col min="5" max="5" width="13.28515625" bestFit="1" customWidth="1"/>
    <col min="6" max="6" width="11.5703125" style="503" bestFit="1" customWidth="1"/>
    <col min="7" max="7" width="17.5703125" bestFit="1" customWidth="1"/>
    <col min="8" max="9" width="11.5703125" style="503" bestFit="1" customWidth="1"/>
    <col min="10" max="10" width="9.5703125" style="503" bestFit="1" customWidth="1"/>
    <col min="11" max="11" width="10.5703125" style="503" bestFit="1" customWidth="1"/>
    <col min="12" max="12" width="9.5703125" bestFit="1" customWidth="1"/>
    <col min="13" max="14" width="10.140625" bestFit="1" customWidth="1"/>
    <col min="15" max="15" width="11.7109375" bestFit="1" customWidth="1"/>
    <col min="16" max="17" width="10" bestFit="1" customWidth="1"/>
  </cols>
  <sheetData>
    <row r="1" spans="2:12" ht="15.75" thickBot="1" x14ac:dyDescent="0.3"/>
    <row r="2" spans="2:12" x14ac:dyDescent="0.25">
      <c r="B2" s="877" t="str">
        <f>Cover!A3</f>
        <v>Pacific Nexus</v>
      </c>
      <c r="C2" s="878"/>
      <c r="D2" s="878"/>
      <c r="E2" s="878"/>
      <c r="F2" s="878"/>
      <c r="G2" s="878"/>
      <c r="H2" s="878"/>
      <c r="I2" s="878"/>
      <c r="J2" s="878"/>
      <c r="K2" s="878"/>
      <c r="L2" s="879"/>
    </row>
    <row r="3" spans="2:12" ht="15.75" thickBot="1" x14ac:dyDescent="0.3">
      <c r="B3" s="880" t="s">
        <v>292</v>
      </c>
      <c r="C3" s="881"/>
      <c r="D3" s="881"/>
      <c r="E3" s="881"/>
      <c r="F3" s="881"/>
      <c r="G3" s="881"/>
      <c r="H3" s="881"/>
      <c r="I3" s="881"/>
      <c r="J3" s="881"/>
      <c r="K3" s="881"/>
      <c r="L3" s="882"/>
    </row>
    <row r="4" spans="2:12" ht="29.25" customHeight="1" thickBot="1" x14ac:dyDescent="0.3">
      <c r="B4" s="760"/>
      <c r="C4" s="883">
        <v>2024</v>
      </c>
      <c r="D4" s="884"/>
      <c r="E4" s="883">
        <v>2025</v>
      </c>
      <c r="F4" s="884"/>
      <c r="G4" s="883">
        <v>2026</v>
      </c>
      <c r="H4" s="885"/>
      <c r="I4" s="875" t="s">
        <v>293</v>
      </c>
      <c r="J4" s="876"/>
      <c r="K4" s="886" t="s">
        <v>293</v>
      </c>
      <c r="L4" s="876"/>
    </row>
    <row r="5" spans="2:12" ht="15.75" thickBot="1" x14ac:dyDescent="0.3">
      <c r="B5" s="761" t="s">
        <v>294</v>
      </c>
      <c r="C5" s="762" t="s">
        <v>295</v>
      </c>
      <c r="D5" s="763" t="s">
        <v>1077</v>
      </c>
      <c r="E5" s="762" t="s">
        <v>295</v>
      </c>
      <c r="F5" s="763" t="s">
        <v>1077</v>
      </c>
      <c r="G5" s="762" t="s">
        <v>295</v>
      </c>
      <c r="H5" s="763" t="s">
        <v>1077</v>
      </c>
      <c r="I5" s="761" t="s">
        <v>295</v>
      </c>
      <c r="J5" s="764" t="s">
        <v>296</v>
      </c>
      <c r="K5" s="763" t="s">
        <v>1077</v>
      </c>
      <c r="L5" s="764" t="s">
        <v>296</v>
      </c>
    </row>
    <row r="6" spans="2:12" x14ac:dyDescent="0.25">
      <c r="B6" s="753" t="s">
        <v>297</v>
      </c>
      <c r="C6" s="754">
        <f>'Profit and Loss-MOM'!B$9</f>
        <v>0</v>
      </c>
      <c r="D6" s="755">
        <f>'Profit and Loss-MOM'!B$96</f>
        <v>0</v>
      </c>
      <c r="E6" s="754">
        <f>'Profit and Loss-MOM'!N$9</f>
        <v>206276.98</v>
      </c>
      <c r="F6" s="755">
        <f>'Profit and Loss-MOM'!N$96</f>
        <v>-97938.459999999977</v>
      </c>
      <c r="G6" s="754">
        <f>'Profit and Loss-MOM'!Z$9</f>
        <v>204784.56</v>
      </c>
      <c r="H6" s="755">
        <f>+-58177.41</f>
        <v>-58177.41</v>
      </c>
      <c r="I6" s="756">
        <f>G6-E6</f>
        <v>-1492.4200000000128</v>
      </c>
      <c r="J6" s="757">
        <f>I6/E6</f>
        <v>-7.2350293280423862E-3</v>
      </c>
      <c r="K6" s="758">
        <f>H6-F6</f>
        <v>39761.049999999974</v>
      </c>
      <c r="L6" s="759">
        <f>F6/H6</f>
        <v>1.6834448284995838</v>
      </c>
    </row>
    <row r="7" spans="2:12" x14ac:dyDescent="0.25">
      <c r="B7" s="504" t="s">
        <v>298</v>
      </c>
      <c r="C7" s="487">
        <f>'Profit and Loss-MOM'!C$9</f>
        <v>0</v>
      </c>
      <c r="D7" s="502">
        <f>'Profit and Loss-MOM'!C$96</f>
        <v>0</v>
      </c>
      <c r="E7" s="487">
        <f>'Profit and Loss-MOM'!O$9</f>
        <v>176404.39</v>
      </c>
      <c r="F7" s="502">
        <f>'Profit and Loss-MOM'!O$96</f>
        <v>-99539.449999999953</v>
      </c>
      <c r="G7" s="487">
        <v>220946</v>
      </c>
      <c r="H7" s="743">
        <f>+-60887.48</f>
        <v>-60887.48</v>
      </c>
      <c r="I7" s="741">
        <f>G7-E7</f>
        <v>44541.609999999986</v>
      </c>
      <c r="J7" s="744">
        <f>I7/E7</f>
        <v>0.25249717424832785</v>
      </c>
      <c r="K7" s="742">
        <f>H7-F7</f>
        <v>38651.96999999995</v>
      </c>
      <c r="L7" s="749">
        <f>F7/H7</f>
        <v>1.6348098164023204</v>
      </c>
    </row>
    <row r="8" spans="2:12" x14ac:dyDescent="0.25">
      <c r="B8" s="504" t="s">
        <v>299</v>
      </c>
      <c r="C8" s="487">
        <f>'Profit and Loss-MOM'!D$9</f>
        <v>160800</v>
      </c>
      <c r="D8" s="502">
        <f>'Profit and Loss-MOM'!D$96</f>
        <v>-15181.77999999997</v>
      </c>
      <c r="E8" s="487">
        <f>'Profit and Loss-MOM'!P$9</f>
        <v>132652.14000000001</v>
      </c>
      <c r="F8" s="502">
        <f>'Profit and Loss-MOM'!P$96</f>
        <v>-169715.00000000003</v>
      </c>
      <c r="G8" s="487">
        <v>288667.86</v>
      </c>
      <c r="H8" s="743">
        <f>+-24679.53</f>
        <v>-24679.53</v>
      </c>
      <c r="I8" s="741">
        <f>G8-E8</f>
        <v>156015.71999999997</v>
      </c>
      <c r="J8" s="744">
        <f>I8/E8</f>
        <v>1.1761266723627675</v>
      </c>
      <c r="K8" s="742">
        <f>H8-F8</f>
        <v>145035.47000000003</v>
      </c>
      <c r="L8" s="749">
        <f>F8/H8</f>
        <v>6.8767517047528877</v>
      </c>
    </row>
    <row r="9" spans="2:12" x14ac:dyDescent="0.25">
      <c r="B9" s="504" t="s">
        <v>300</v>
      </c>
      <c r="C9" s="487">
        <f>'Profit and Loss-MOM'!E$9</f>
        <v>86405.81</v>
      </c>
      <c r="D9" s="502">
        <f>'Profit and Loss-MOM'!E$96</f>
        <v>-231915.75</v>
      </c>
      <c r="E9" s="487">
        <f>'Profit and Loss-MOM'!Q$9</f>
        <v>334731.69999999995</v>
      </c>
      <c r="F9" s="502">
        <f>'Profit and Loss-MOM'!Q$96</f>
        <v>10818.47999999993</v>
      </c>
      <c r="G9" s="487"/>
      <c r="H9" s="502"/>
      <c r="I9" s="741"/>
      <c r="J9" s="748"/>
      <c r="K9" s="742"/>
      <c r="L9" s="546"/>
    </row>
    <row r="10" spans="2:12" x14ac:dyDescent="0.25">
      <c r="B10" s="504" t="s">
        <v>301</v>
      </c>
      <c r="C10" s="487">
        <f>'Profit and Loss-MOM'!F$9</f>
        <v>281575.40999999997</v>
      </c>
      <c r="D10" s="502">
        <f>'Profit and Loss-MOM'!F$96</f>
        <v>55988.309999999983</v>
      </c>
      <c r="E10" s="487">
        <f>'Profit and Loss-MOM'!R$9</f>
        <v>157416.54999999999</v>
      </c>
      <c r="F10" s="502">
        <f>'Profit and Loss-MOM'!R$96</f>
        <v>-120325.33</v>
      </c>
      <c r="G10" s="488"/>
      <c r="H10" s="743"/>
      <c r="I10" s="745"/>
      <c r="J10" s="746"/>
      <c r="K10" s="747"/>
      <c r="L10" s="546"/>
    </row>
    <row r="11" spans="2:12" x14ac:dyDescent="0.25">
      <c r="B11" s="504" t="s">
        <v>302</v>
      </c>
      <c r="C11" s="487">
        <f>'Profit and Loss-MOM'!G$9</f>
        <v>205524.58</v>
      </c>
      <c r="D11" s="502">
        <f>'Profit and Loss-MOM'!G$96</f>
        <v>-76409.539999999979</v>
      </c>
      <c r="E11" s="487">
        <f>'Profit and Loss-MOM'!S$9</f>
        <v>285232.65999999997</v>
      </c>
      <c r="F11" s="502">
        <f>'Profit and Loss-MOM'!S$96</f>
        <v>59415.299999999981</v>
      </c>
      <c r="G11" s="489"/>
      <c r="H11" s="502"/>
      <c r="I11" s="741"/>
      <c r="J11" s="748"/>
      <c r="K11" s="742"/>
      <c r="L11" s="546"/>
    </row>
    <row r="12" spans="2:12" x14ac:dyDescent="0.25">
      <c r="B12" s="504" t="s">
        <v>303</v>
      </c>
      <c r="C12" s="487">
        <f>'Profit and Loss-MOM'!H$9</f>
        <v>52713.5</v>
      </c>
      <c r="D12" s="502">
        <f>'Profit and Loss-MOM'!H$96</f>
        <v>-193012.04</v>
      </c>
      <c r="E12" s="487">
        <f>'Profit and Loss-MOM'!T$9</f>
        <v>233288.8</v>
      </c>
      <c r="F12" s="502">
        <f>'Profit and Loss-MOM'!T$96</f>
        <v>-73144.63</v>
      </c>
      <c r="G12" s="488"/>
      <c r="H12" s="743"/>
      <c r="I12" s="745"/>
      <c r="J12" s="746"/>
      <c r="K12" s="747"/>
      <c r="L12" s="546"/>
    </row>
    <row r="13" spans="2:12" x14ac:dyDescent="0.25">
      <c r="B13" s="504" t="s">
        <v>304</v>
      </c>
      <c r="C13" s="487">
        <f>'Profit and Loss-MOM'!I$9</f>
        <v>268575.34000000003</v>
      </c>
      <c r="D13" s="502">
        <f>'Profit and Loss-MOM'!I$96</f>
        <v>21063.550000000032</v>
      </c>
      <c r="E13" s="487">
        <f>'Profit and Loss-MOM'!U$9</f>
        <v>203671.25</v>
      </c>
      <c r="F13" s="502">
        <f>'Profit and Loss-MOM'!U$96</f>
        <v>-28977.160000000003</v>
      </c>
      <c r="G13" s="489"/>
      <c r="H13" s="502"/>
      <c r="I13" s="741"/>
      <c r="J13" s="748"/>
      <c r="K13" s="742"/>
      <c r="L13" s="546"/>
    </row>
    <row r="14" spans="2:12" x14ac:dyDescent="0.25">
      <c r="B14" s="504" t="s">
        <v>305</v>
      </c>
      <c r="C14" s="487">
        <f>'Profit and Loss-MOM'!J$9</f>
        <v>273942.93000000005</v>
      </c>
      <c r="D14" s="502">
        <f>'Profit and Loss-MOM'!J$96</f>
        <v>40140.09000000004</v>
      </c>
      <c r="E14" s="487">
        <f>'Profit and Loss-MOM'!V$9</f>
        <v>264826.99</v>
      </c>
      <c r="F14" s="502">
        <f>'Profit and Loss-MOM'!V$96</f>
        <v>49447.839999999975</v>
      </c>
      <c r="G14" s="489"/>
      <c r="H14" s="502"/>
      <c r="I14" s="741"/>
      <c r="J14" s="748"/>
      <c r="K14" s="742"/>
      <c r="L14" s="546"/>
    </row>
    <row r="15" spans="2:12" x14ac:dyDescent="0.25">
      <c r="B15" s="504" t="s">
        <v>306</v>
      </c>
      <c r="C15" s="487">
        <f>'Profit and Loss-MOM'!K$9</f>
        <v>92722.64</v>
      </c>
      <c r="D15" s="502">
        <f>'Profit and Loss-MOM'!K$96</f>
        <v>-118294.76000000001</v>
      </c>
      <c r="E15" s="487">
        <f>'Profit and Loss-MOM'!W$9</f>
        <v>185366.07</v>
      </c>
      <c r="F15" s="502">
        <f>'Profit and Loss-MOM'!W$96</f>
        <v>-61277.229999999981</v>
      </c>
      <c r="G15" s="489"/>
      <c r="H15" s="502"/>
      <c r="I15" s="741"/>
      <c r="J15" s="748"/>
      <c r="K15" s="742"/>
      <c r="L15" s="546"/>
    </row>
    <row r="16" spans="2:12" x14ac:dyDescent="0.25">
      <c r="B16" s="504" t="s">
        <v>307</v>
      </c>
      <c r="C16" s="487">
        <f>'Profit and Loss-MOM'!L$9</f>
        <v>200189.59</v>
      </c>
      <c r="D16" s="502">
        <f>'Profit and Loss-MOM'!L$96</f>
        <v>-19908.129999999994</v>
      </c>
      <c r="E16" s="487">
        <f>'Profit and Loss-MOM'!X$9</f>
        <v>179961.35</v>
      </c>
      <c r="F16" s="502">
        <f>'Profit and Loss-MOM'!X$96</f>
        <v>-11673.959999999975</v>
      </c>
      <c r="G16" s="489"/>
      <c r="H16" s="502"/>
      <c r="I16" s="741"/>
      <c r="J16" s="748"/>
      <c r="K16" s="742"/>
      <c r="L16" s="546"/>
    </row>
    <row r="17" spans="2:12" ht="15.75" thickBot="1" x14ac:dyDescent="0.3">
      <c r="B17" s="505" t="s">
        <v>308</v>
      </c>
      <c r="C17" s="506">
        <f>'Profit and Loss-MOM'!M$9</f>
        <v>259565.22</v>
      </c>
      <c r="D17" s="507">
        <f>'Profit and Loss-MOM'!M$96</f>
        <v>-151618.81000000003</v>
      </c>
      <c r="E17" s="506">
        <f>'Profit and Loss-MOM'!Y$9</f>
        <v>352608.23000000004</v>
      </c>
      <c r="F17" s="507">
        <v>91518.46</v>
      </c>
      <c r="G17" s="508"/>
      <c r="H17" s="507"/>
      <c r="I17" s="750"/>
      <c r="J17" s="751"/>
      <c r="K17" s="752"/>
      <c r="L17" s="547"/>
    </row>
    <row r="18" spans="2:12" ht="15.75" thickBot="1" x14ac:dyDescent="0.3">
      <c r="B18" s="75"/>
      <c r="C18" s="16"/>
      <c r="D18" s="16"/>
      <c r="E18" s="16"/>
      <c r="F18" s="16"/>
      <c r="G18" s="16"/>
      <c r="H18" s="16"/>
      <c r="I18" s="16"/>
      <c r="J18" s="16"/>
      <c r="K18" s="16"/>
      <c r="L18" s="121"/>
    </row>
    <row r="19" spans="2:12" ht="15.75" thickBot="1" x14ac:dyDescent="0.3">
      <c r="B19" s="509" t="s">
        <v>274</v>
      </c>
      <c r="C19" s="510">
        <f t="shared" ref="C19:L19" si="0">SUM(C6:C17)</f>
        <v>1882015.0199999998</v>
      </c>
      <c r="D19" s="511">
        <f t="shared" si="0"/>
        <v>-689148.85999999987</v>
      </c>
      <c r="E19" s="510">
        <f t="shared" si="0"/>
        <v>2712437.11</v>
      </c>
      <c r="F19" s="511">
        <f t="shared" si="0"/>
        <v>-451391.13999999996</v>
      </c>
      <c r="G19" s="510">
        <f t="shared" si="0"/>
        <v>714398.41999999993</v>
      </c>
      <c r="H19" s="511">
        <f t="shared" si="0"/>
        <v>-143744.42000000001</v>
      </c>
      <c r="I19" s="510">
        <f t="shared" si="0"/>
        <v>199064.90999999995</v>
      </c>
      <c r="J19" s="740">
        <f t="shared" si="0"/>
        <v>1.4213888172830529</v>
      </c>
      <c r="K19" s="512">
        <f t="shared" si="0"/>
        <v>223448.48999999996</v>
      </c>
      <c r="L19" s="739">
        <f t="shared" si="0"/>
        <v>10.195006349654792</v>
      </c>
    </row>
    <row r="25" spans="2:12" x14ac:dyDescent="0.25">
      <c r="D25"/>
    </row>
    <row r="26" spans="2:12" x14ac:dyDescent="0.25">
      <c r="E26" s="847"/>
      <c r="G26" s="847"/>
    </row>
  </sheetData>
  <mergeCells count="7">
    <mergeCell ref="I4:J4"/>
    <mergeCell ref="B2:L2"/>
    <mergeCell ref="B3:L3"/>
    <mergeCell ref="C4:D4"/>
    <mergeCell ref="E4:F4"/>
    <mergeCell ref="G4:H4"/>
    <mergeCell ref="K4:L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0FB59-FFAD-4F6C-8996-822E20079AE8}">
  <sheetPr>
    <tabColor rgb="FFFFFF00"/>
  </sheetPr>
  <dimension ref="A1:Q104"/>
  <sheetViews>
    <sheetView showGridLines="0" workbookViewId="0">
      <pane ySplit="6" topLeftCell="A7" activePane="bottomLeft" state="frozen"/>
      <selection activeCell="K6" sqref="K6"/>
      <selection pane="bottomLeft" activeCell="A7" sqref="A7"/>
    </sheetView>
  </sheetViews>
  <sheetFormatPr defaultColWidth="12.85546875" defaultRowHeight="15" outlineLevelRow="1" x14ac:dyDescent="0.25"/>
  <cols>
    <col min="1" max="1" width="43.85546875" style="689" bestFit="1" customWidth="1"/>
    <col min="2" max="4" width="12.7109375" style="690" customWidth="1"/>
    <col min="5" max="5" width="12.7109375" style="691" customWidth="1"/>
    <col min="6" max="8" width="12.7109375" style="690" customWidth="1"/>
    <col min="9" max="13" width="12.7109375" style="691" customWidth="1"/>
    <col min="14" max="17" width="12.7109375" style="688" customWidth="1"/>
    <col min="18" max="16384" width="12.85546875" style="688"/>
  </cols>
  <sheetData>
    <row r="1" spans="1:17" ht="15" customHeight="1" x14ac:dyDescent="0.25">
      <c r="A1" s="889" t="s">
        <v>175</v>
      </c>
      <c r="B1" s="890"/>
      <c r="C1" s="890"/>
      <c r="D1" s="890"/>
      <c r="E1" s="890"/>
      <c r="F1" s="890"/>
      <c r="G1" s="890"/>
      <c r="H1" s="890"/>
      <c r="I1" s="890"/>
      <c r="J1" s="890"/>
      <c r="K1" s="890"/>
      <c r="L1" s="890"/>
      <c r="M1" s="890"/>
      <c r="N1" s="890"/>
      <c r="O1" s="890"/>
      <c r="P1" s="890"/>
      <c r="Q1" s="890"/>
    </row>
    <row r="2" spans="1:17" ht="15" customHeight="1" x14ac:dyDescent="0.25">
      <c r="A2" s="889" t="s">
        <v>309</v>
      </c>
      <c r="B2" s="890"/>
      <c r="C2" s="890"/>
      <c r="D2" s="890"/>
      <c r="E2" s="890"/>
      <c r="F2" s="890"/>
      <c r="G2" s="890"/>
      <c r="H2" s="890"/>
      <c r="I2" s="890"/>
      <c r="J2" s="890"/>
      <c r="K2" s="890"/>
      <c r="L2" s="890"/>
      <c r="M2" s="890"/>
      <c r="N2" s="890"/>
      <c r="O2" s="890"/>
      <c r="P2" s="890"/>
      <c r="Q2" s="890"/>
    </row>
    <row r="3" spans="1:17" x14ac:dyDescent="0.25">
      <c r="A3" s="889" t="s">
        <v>1483</v>
      </c>
      <c r="B3" s="890"/>
      <c r="C3" s="890"/>
      <c r="D3" s="890"/>
      <c r="E3" s="890"/>
      <c r="F3" s="890"/>
      <c r="G3" s="890"/>
      <c r="H3" s="890"/>
      <c r="I3" s="890"/>
      <c r="J3" s="890"/>
      <c r="K3" s="890"/>
      <c r="L3" s="890"/>
      <c r="M3" s="890"/>
      <c r="N3" s="890"/>
      <c r="O3" s="890"/>
      <c r="P3" s="890"/>
      <c r="Q3" s="890"/>
    </row>
    <row r="4" spans="1:17" x14ac:dyDescent="0.25">
      <c r="A4" s="48"/>
      <c r="B4" s="48"/>
      <c r="C4" s="48"/>
      <c r="D4" s="48"/>
      <c r="E4" s="48"/>
      <c r="F4" s="48"/>
      <c r="G4" s="48"/>
      <c r="H4" s="48"/>
      <c r="I4" s="48"/>
      <c r="J4" s="48"/>
      <c r="K4" s="48"/>
      <c r="L4" s="48"/>
      <c r="M4" s="48"/>
      <c r="N4" s="48"/>
      <c r="O4" s="48"/>
      <c r="P4" s="48"/>
      <c r="Q4" s="48"/>
    </row>
    <row r="5" spans="1:17" ht="15" customHeight="1" x14ac:dyDescent="0.25">
      <c r="A5" s="692" t="s">
        <v>1060</v>
      </c>
      <c r="B5" s="887" t="s">
        <v>310</v>
      </c>
      <c r="C5" s="888"/>
      <c r="D5" s="888"/>
      <c r="E5" s="888"/>
      <c r="F5" s="887" t="s">
        <v>1061</v>
      </c>
      <c r="G5" s="888"/>
      <c r="H5" s="888"/>
      <c r="I5" s="888"/>
      <c r="J5" s="894" t="s">
        <v>1286</v>
      </c>
      <c r="K5" s="888"/>
      <c r="L5" s="888"/>
      <c r="M5" s="888"/>
      <c r="N5" s="891" t="s">
        <v>274</v>
      </c>
      <c r="O5" s="892"/>
      <c r="P5" s="892"/>
      <c r="Q5" s="893"/>
    </row>
    <row r="6" spans="1:17" ht="30" x14ac:dyDescent="0.25">
      <c r="A6" s="693"/>
      <c r="B6" s="694" t="s">
        <v>311</v>
      </c>
      <c r="C6" s="694" t="s">
        <v>312</v>
      </c>
      <c r="D6" s="694" t="s">
        <v>313</v>
      </c>
      <c r="E6" s="694" t="s">
        <v>314</v>
      </c>
      <c r="F6" s="694" t="s">
        <v>311</v>
      </c>
      <c r="G6" s="694" t="s">
        <v>1062</v>
      </c>
      <c r="H6" s="694" t="s">
        <v>313</v>
      </c>
      <c r="I6" s="694" t="s">
        <v>314</v>
      </c>
      <c r="J6" s="838" t="s">
        <v>311</v>
      </c>
      <c r="K6" s="838" t="s">
        <v>1285</v>
      </c>
      <c r="L6" s="838" t="s">
        <v>313</v>
      </c>
      <c r="M6" s="838" t="s">
        <v>314</v>
      </c>
      <c r="N6" s="694" t="s">
        <v>1063</v>
      </c>
      <c r="O6" s="694" t="s">
        <v>1064</v>
      </c>
      <c r="P6" s="694" t="s">
        <v>313</v>
      </c>
      <c r="Q6" s="694" t="s">
        <v>314</v>
      </c>
    </row>
    <row r="7" spans="1:17" x14ac:dyDescent="0.25">
      <c r="A7" s="695" t="s">
        <v>183</v>
      </c>
      <c r="B7" s="693"/>
      <c r="C7" s="693"/>
      <c r="D7" s="693"/>
      <c r="E7" s="693" t="s">
        <v>315</v>
      </c>
      <c r="F7" s="693"/>
      <c r="G7" s="693"/>
      <c r="H7" s="693"/>
      <c r="I7" s="693" t="s">
        <v>315</v>
      </c>
      <c r="J7" s="693"/>
      <c r="K7" s="693"/>
      <c r="L7" s="693"/>
      <c r="M7" s="693" t="s">
        <v>315</v>
      </c>
      <c r="N7" s="693"/>
      <c r="O7" s="693"/>
      <c r="P7" s="693"/>
      <c r="Q7" s="693"/>
    </row>
    <row r="8" spans="1:17" x14ac:dyDescent="0.25">
      <c r="A8" s="696" t="s">
        <v>316</v>
      </c>
      <c r="B8" s="839">
        <v>206737.15</v>
      </c>
      <c r="C8" s="839">
        <v>207696.48</v>
      </c>
      <c r="D8" s="840">
        <f>(B8-C8)</f>
        <v>-959.3300000000163</v>
      </c>
      <c r="E8" s="697">
        <f>IFERROR((((B8-C8)/IF(C8&lt;0,-1*C8,C8))*100),"")</f>
        <v>-0.46189035076570201</v>
      </c>
      <c r="F8" s="839">
        <v>221461.62</v>
      </c>
      <c r="G8" s="839">
        <v>177054.69</v>
      </c>
      <c r="H8" s="839">
        <f>(F8-G8)</f>
        <v>44406.929999999993</v>
      </c>
      <c r="I8" s="698">
        <f>IFERROR((((F8-G8)/IF(G8&lt;0,-1*G8,G8))*100),"")</f>
        <v>25.080911440414255</v>
      </c>
      <c r="J8" s="839">
        <v>289563.38</v>
      </c>
      <c r="K8" s="839">
        <v>133247.20000000001</v>
      </c>
      <c r="L8" s="839">
        <f>(J8-K8)</f>
        <v>156316.18</v>
      </c>
      <c r="M8" s="698">
        <f>IFERROR((((J8-K8)/IF(K8&lt;0,-1*K8,K8))*100),"")</f>
        <v>117.31291914576816</v>
      </c>
      <c r="N8" s="839">
        <f t="shared" ref="N8:O10" si="0">B8+F8+J8</f>
        <v>717762.15</v>
      </c>
      <c r="O8" s="839">
        <f t="shared" si="0"/>
        <v>517998.37000000005</v>
      </c>
      <c r="P8" s="839">
        <f>(N8-O8)</f>
        <v>199763.77999999997</v>
      </c>
      <c r="Q8" s="698">
        <f>IFERROR((((N8-O8)/IF(O8&lt;0,-1*O8,O8))*100),"")</f>
        <v>38.564557645229648</v>
      </c>
    </row>
    <row r="9" spans="1:17" x14ac:dyDescent="0.25">
      <c r="A9" s="696" t="s">
        <v>317</v>
      </c>
      <c r="B9" s="840">
        <v>-1952.59</v>
      </c>
      <c r="C9" s="840">
        <v>-1419.5</v>
      </c>
      <c r="D9" s="840">
        <f>(B9-C9)</f>
        <v>-533.08999999999992</v>
      </c>
      <c r="E9" s="697">
        <f>IFERROR((((B9-C9)/IF(C9&lt;0,-1*C9,C9))*100),"")</f>
        <v>-37.554772807326522</v>
      </c>
      <c r="F9" s="840">
        <v>-515.62</v>
      </c>
      <c r="G9" s="840">
        <v>-650.29999999999995</v>
      </c>
      <c r="H9" s="839">
        <f>(F9-G9)</f>
        <v>134.67999999999995</v>
      </c>
      <c r="I9" s="698">
        <f>IFERROR((((F9-G9)/IF(G9&lt;0,-1*G9,G9))*100),"")</f>
        <v>20.710441334768561</v>
      </c>
      <c r="J9" s="840">
        <v>-895.52</v>
      </c>
      <c r="K9" s="840">
        <v>-595.05999999999995</v>
      </c>
      <c r="L9" s="839">
        <f>(J9-K9)</f>
        <v>-300.46000000000004</v>
      </c>
      <c r="M9" s="698">
        <f>IFERROR((((J9-K9)/IF(K9&lt;0,-1*K9,K9))*100),"")</f>
        <v>-50.492387322286838</v>
      </c>
      <c r="N9" s="840">
        <f t="shared" si="0"/>
        <v>-3363.73</v>
      </c>
      <c r="O9" s="840">
        <f t="shared" si="0"/>
        <v>-2664.86</v>
      </c>
      <c r="P9" s="840">
        <f>(N9-O9)</f>
        <v>-698.86999999999989</v>
      </c>
      <c r="Q9" s="697">
        <f>IFERROR((((N9-O9)/IF(O9&lt;0,-1*O9,O9))*100),"")</f>
        <v>-26.225392703556654</v>
      </c>
    </row>
    <row r="10" spans="1:17" x14ac:dyDescent="0.25">
      <c r="A10" s="699" t="s">
        <v>318</v>
      </c>
      <c r="B10" s="841">
        <f>B8+B9</f>
        <v>204784.56</v>
      </c>
      <c r="C10" s="841">
        <f>C8+C9</f>
        <v>206276.98</v>
      </c>
      <c r="D10" s="842">
        <f>(B10-C10)</f>
        <v>-1492.4200000000128</v>
      </c>
      <c r="E10" s="700">
        <f>IFERROR((((B10-C10)/IF(C10&lt;0,-1*C10,C10))*100),"")</f>
        <v>-0.72350293280423861</v>
      </c>
      <c r="F10" s="841">
        <f>F8+F9</f>
        <v>220946</v>
      </c>
      <c r="G10" s="841">
        <f>G8+G9</f>
        <v>176404.39</v>
      </c>
      <c r="H10" s="841">
        <f>(F10-G10)</f>
        <v>44541.609999999986</v>
      </c>
      <c r="I10" s="701">
        <f>IFERROR((((F10-G10)/IF(G10&lt;0,-1*G10,G10))*100),"")</f>
        <v>25.249717424832784</v>
      </c>
      <c r="J10" s="841">
        <f>J8+J9</f>
        <v>288667.86</v>
      </c>
      <c r="K10" s="841">
        <f>K8+K9</f>
        <v>132652.14000000001</v>
      </c>
      <c r="L10" s="841">
        <f>(J10-K10)</f>
        <v>156015.71999999997</v>
      </c>
      <c r="M10" s="701">
        <f>IFERROR((((J10-K10)/IF(K10&lt;0,-1*K10,K10))*100),"")</f>
        <v>117.61266723627675</v>
      </c>
      <c r="N10" s="841">
        <f t="shared" si="0"/>
        <v>714398.41999999993</v>
      </c>
      <c r="O10" s="841">
        <f t="shared" si="0"/>
        <v>515333.51</v>
      </c>
      <c r="P10" s="841">
        <f>(N10-O10)</f>
        <v>199064.90999999992</v>
      </c>
      <c r="Q10" s="701">
        <f>IFERROR((((N10-O10)/IF(O10&lt;0,-1*O10,O10))*100),"")</f>
        <v>38.62836515327713</v>
      </c>
    </row>
    <row r="11" spans="1:17" x14ac:dyDescent="0.25">
      <c r="A11" s="695" t="s">
        <v>187</v>
      </c>
      <c r="B11" s="839"/>
      <c r="C11" s="839"/>
      <c r="D11" s="839"/>
      <c r="E11" s="693" t="s">
        <v>315</v>
      </c>
      <c r="F11" s="839"/>
      <c r="G11" s="839"/>
      <c r="H11" s="839"/>
      <c r="I11" s="693" t="s">
        <v>315</v>
      </c>
      <c r="J11" s="839"/>
      <c r="K11" s="839"/>
      <c r="L11" s="839"/>
      <c r="M11" s="693" t="s">
        <v>315</v>
      </c>
      <c r="N11" s="839"/>
      <c r="O11" s="839"/>
      <c r="P11" s="839"/>
      <c r="Q11" s="693"/>
    </row>
    <row r="12" spans="1:17" x14ac:dyDescent="0.25">
      <c r="A12" s="696" t="s">
        <v>319</v>
      </c>
      <c r="B12" s="839">
        <v>29209.55</v>
      </c>
      <c r="C12" s="839">
        <v>28964.880000000001</v>
      </c>
      <c r="D12" s="839">
        <f t="shared" ref="D12:D19" si="1">(B12-C12)</f>
        <v>244.66999999999825</v>
      </c>
      <c r="E12" s="698">
        <f>IFERROR((((B12-C12)/IF(C12&lt;0,-1*C12,C12))*100),"")</f>
        <v>0.84471263129693008</v>
      </c>
      <c r="F12" s="839">
        <v>23283.51</v>
      </c>
      <c r="G12" s="839">
        <v>20756.25</v>
      </c>
      <c r="H12" s="839">
        <f t="shared" ref="H12:H19" si="2">(F12-G12)</f>
        <v>2527.2599999999984</v>
      </c>
      <c r="I12" s="698">
        <f>IFERROR((((F12-G12)/IF(G12&lt;0,-1*G12,G12))*100),"")</f>
        <v>12.175898825654915</v>
      </c>
      <c r="J12" s="839">
        <v>34847.910000000003</v>
      </c>
      <c r="K12" s="839">
        <v>58522.3</v>
      </c>
      <c r="L12" s="839">
        <f t="shared" ref="L12:L19" si="3">(J12-K12)</f>
        <v>-23674.39</v>
      </c>
      <c r="M12" s="698">
        <f>IFERROR((((J12-K12)/IF(K12&lt;0,-1*K12,K12))*100),"")</f>
        <v>-40.453621952657357</v>
      </c>
      <c r="N12" s="839">
        <f t="shared" ref="N12:O19" si="4">B12+F12+J12</f>
        <v>87340.97</v>
      </c>
      <c r="O12" s="839">
        <f t="shared" si="4"/>
        <v>108243.43000000001</v>
      </c>
      <c r="P12" s="839">
        <f t="shared" ref="P12:P19" si="5">(N12-O12)</f>
        <v>-20902.460000000006</v>
      </c>
      <c r="Q12" s="698">
        <f>IFERROR((((N12-O12)/IF(O12&lt;0,-1*O12,O12))*100),"")</f>
        <v>-19.310603886074198</v>
      </c>
    </row>
    <row r="13" spans="1:17" x14ac:dyDescent="0.25">
      <c r="A13" s="696" t="s">
        <v>320</v>
      </c>
      <c r="B13" s="839">
        <v>0</v>
      </c>
      <c r="C13" s="839">
        <v>0</v>
      </c>
      <c r="D13" s="839">
        <f t="shared" si="1"/>
        <v>0</v>
      </c>
      <c r="E13" s="693" t="s">
        <v>315</v>
      </c>
      <c r="F13" s="839">
        <v>0</v>
      </c>
      <c r="G13" s="839">
        <v>0</v>
      </c>
      <c r="H13" s="839">
        <f t="shared" si="2"/>
        <v>0</v>
      </c>
      <c r="I13" s="693" t="s">
        <v>315</v>
      </c>
      <c r="J13" s="839">
        <v>0</v>
      </c>
      <c r="K13" s="839">
        <v>0</v>
      </c>
      <c r="L13" s="839">
        <f t="shared" si="3"/>
        <v>0</v>
      </c>
      <c r="M13" s="693" t="s">
        <v>315</v>
      </c>
      <c r="N13" s="839">
        <f t="shared" si="4"/>
        <v>0</v>
      </c>
      <c r="O13" s="839">
        <f t="shared" si="4"/>
        <v>0</v>
      </c>
      <c r="P13" s="839">
        <f t="shared" si="5"/>
        <v>0</v>
      </c>
      <c r="Q13" s="693" t="s">
        <v>315</v>
      </c>
    </row>
    <row r="14" spans="1:17" x14ac:dyDescent="0.25">
      <c r="A14" s="696" t="s">
        <v>324</v>
      </c>
      <c r="B14" s="839"/>
      <c r="C14" s="839">
        <v>671.42</v>
      </c>
      <c r="D14" s="839">
        <f t="shared" si="1"/>
        <v>-671.42</v>
      </c>
      <c r="E14" s="698">
        <f t="shared" ref="E14:E19" si="6">IFERROR((((B14-C14)/IF(C14&lt;0,-1*C14,C14))*100),"")</f>
        <v>-100</v>
      </c>
      <c r="F14" s="839"/>
      <c r="G14" s="839">
        <v>1342.1</v>
      </c>
      <c r="H14" s="839">
        <f t="shared" si="2"/>
        <v>-1342.1</v>
      </c>
      <c r="I14" s="698">
        <f t="shared" ref="I14:I19" si="7">IFERROR((((F14-G14)/IF(G14&lt;0,-1*G14,G14))*100),"")</f>
        <v>-100</v>
      </c>
      <c r="J14" s="839">
        <v>0</v>
      </c>
      <c r="K14" s="839">
        <v>1915.16</v>
      </c>
      <c r="L14" s="839">
        <f t="shared" si="3"/>
        <v>-1915.16</v>
      </c>
      <c r="M14" s="698">
        <f t="shared" ref="M14:M19" si="8">IFERROR((((J14-K14)/IF(K14&lt;0,-1*K14,K14))*100),"")</f>
        <v>-100</v>
      </c>
      <c r="N14" s="839">
        <f t="shared" si="4"/>
        <v>0</v>
      </c>
      <c r="O14" s="839">
        <f t="shared" si="4"/>
        <v>3928.6800000000003</v>
      </c>
      <c r="P14" s="839">
        <f t="shared" si="5"/>
        <v>-3928.6800000000003</v>
      </c>
      <c r="Q14" s="698">
        <f t="shared" ref="Q14:Q19" si="9">IFERROR((((N14-O14)/IF(O14&lt;0,-1*O14,O14))*100),"")</f>
        <v>-100</v>
      </c>
    </row>
    <row r="15" spans="1:17" x14ac:dyDescent="0.25">
      <c r="A15" s="696" t="s">
        <v>321</v>
      </c>
      <c r="B15" s="839">
        <v>90285.21</v>
      </c>
      <c r="C15" s="839">
        <v>73276.92</v>
      </c>
      <c r="D15" s="839">
        <f t="shared" si="1"/>
        <v>17008.290000000008</v>
      </c>
      <c r="E15" s="698">
        <f t="shared" si="6"/>
        <v>23.210978299852133</v>
      </c>
      <c r="F15" s="839">
        <v>86016.39</v>
      </c>
      <c r="G15" s="839">
        <v>61729.67</v>
      </c>
      <c r="H15" s="839">
        <f t="shared" si="2"/>
        <v>24286.720000000001</v>
      </c>
      <c r="I15" s="698">
        <f t="shared" si="7"/>
        <v>39.343673795761426</v>
      </c>
      <c r="J15" s="839">
        <v>97713.83</v>
      </c>
      <c r="K15" s="839">
        <v>74367.5</v>
      </c>
      <c r="L15" s="839">
        <f t="shared" si="3"/>
        <v>23346.33</v>
      </c>
      <c r="M15" s="698">
        <f t="shared" si="8"/>
        <v>31.393189229165969</v>
      </c>
      <c r="N15" s="839">
        <f t="shared" si="4"/>
        <v>274015.43</v>
      </c>
      <c r="O15" s="839">
        <f t="shared" si="4"/>
        <v>209374.09</v>
      </c>
      <c r="P15" s="839">
        <f t="shared" si="5"/>
        <v>64641.34</v>
      </c>
      <c r="Q15" s="698">
        <f t="shared" si="9"/>
        <v>30.87361000589901</v>
      </c>
    </row>
    <row r="16" spans="1:17" x14ac:dyDescent="0.25">
      <c r="A16" s="696" t="s">
        <v>322</v>
      </c>
      <c r="B16" s="839">
        <v>9791.27</v>
      </c>
      <c r="C16" s="839">
        <v>7193.64</v>
      </c>
      <c r="D16" s="839">
        <f t="shared" si="1"/>
        <v>2597.63</v>
      </c>
      <c r="E16" s="698">
        <f t="shared" si="6"/>
        <v>36.110091692105804</v>
      </c>
      <c r="F16" s="839">
        <v>7407.13</v>
      </c>
      <c r="G16" s="839">
        <v>4363.63</v>
      </c>
      <c r="H16" s="839">
        <f t="shared" si="2"/>
        <v>3043.5</v>
      </c>
      <c r="I16" s="698">
        <f t="shared" si="7"/>
        <v>69.746976714341031</v>
      </c>
      <c r="J16" s="839">
        <v>8070.23</v>
      </c>
      <c r="K16" s="839">
        <v>5305.6</v>
      </c>
      <c r="L16" s="839">
        <f t="shared" si="3"/>
        <v>2764.6299999999992</v>
      </c>
      <c r="M16" s="698">
        <f t="shared" si="8"/>
        <v>52.107772919179716</v>
      </c>
      <c r="N16" s="839">
        <f t="shared" si="4"/>
        <v>25268.63</v>
      </c>
      <c r="O16" s="839">
        <f t="shared" si="4"/>
        <v>16862.870000000003</v>
      </c>
      <c r="P16" s="839">
        <f t="shared" si="5"/>
        <v>8405.7599999999984</v>
      </c>
      <c r="Q16" s="698">
        <f t="shared" si="9"/>
        <v>49.847742406838201</v>
      </c>
    </row>
    <row r="17" spans="1:17" x14ac:dyDescent="0.25">
      <c r="A17" s="696" t="s">
        <v>323</v>
      </c>
      <c r="B17" s="839">
        <v>3351.49</v>
      </c>
      <c r="C17" s="839">
        <v>2815</v>
      </c>
      <c r="D17" s="840">
        <f t="shared" si="1"/>
        <v>536.48999999999978</v>
      </c>
      <c r="E17" s="697">
        <f t="shared" si="6"/>
        <v>19.058259325044396</v>
      </c>
      <c r="F17" s="839">
        <v>3877.27</v>
      </c>
      <c r="G17" s="839">
        <v>2712.55</v>
      </c>
      <c r="H17" s="840">
        <f t="shared" si="2"/>
        <v>1164.7199999999998</v>
      </c>
      <c r="I17" s="697">
        <f t="shared" si="7"/>
        <v>42.938194687655518</v>
      </c>
      <c r="J17" s="839">
        <v>4829.13</v>
      </c>
      <c r="K17" s="839">
        <v>2996.17</v>
      </c>
      <c r="L17" s="840">
        <f t="shared" si="3"/>
        <v>1832.96</v>
      </c>
      <c r="M17" s="697">
        <f t="shared" si="8"/>
        <v>61.176769008434093</v>
      </c>
      <c r="N17" s="839">
        <f t="shared" si="4"/>
        <v>12057.89</v>
      </c>
      <c r="O17" s="839">
        <f t="shared" si="4"/>
        <v>8523.7200000000012</v>
      </c>
      <c r="P17" s="840">
        <f t="shared" si="5"/>
        <v>3534.1699999999983</v>
      </c>
      <c r="Q17" s="697">
        <f t="shared" si="9"/>
        <v>41.462765083789684</v>
      </c>
    </row>
    <row r="18" spans="1:17" x14ac:dyDescent="0.25">
      <c r="A18" s="699" t="s">
        <v>325</v>
      </c>
      <c r="B18" s="841">
        <f>B12+B13+B14+B15+B16+B17</f>
        <v>132637.52000000002</v>
      </c>
      <c r="C18" s="841">
        <f>C12+C13+C14+C15+C16+C17</f>
        <v>112921.86</v>
      </c>
      <c r="D18" s="841">
        <f t="shared" si="1"/>
        <v>19715.660000000018</v>
      </c>
      <c r="E18" s="701">
        <f t="shared" si="6"/>
        <v>17.459560088719773</v>
      </c>
      <c r="F18" s="841">
        <f>F12+F13+F14+F15+F16+F17</f>
        <v>120584.3</v>
      </c>
      <c r="G18" s="841">
        <f>G12+G13+G14+G15+G16+G17</f>
        <v>90904.2</v>
      </c>
      <c r="H18" s="841">
        <f t="shared" si="2"/>
        <v>29680.100000000006</v>
      </c>
      <c r="I18" s="701">
        <f t="shared" si="7"/>
        <v>32.649866562821089</v>
      </c>
      <c r="J18" s="841">
        <f>J12+J13+J14+J15+J16+J17</f>
        <v>145461.1</v>
      </c>
      <c r="K18" s="841">
        <f>K12+K13+K14+K15+K16+K17</f>
        <v>143106.73000000004</v>
      </c>
      <c r="L18" s="841">
        <f t="shared" si="3"/>
        <v>2354.3699999999662</v>
      </c>
      <c r="M18" s="701">
        <f t="shared" si="8"/>
        <v>1.6451846813912703</v>
      </c>
      <c r="N18" s="841">
        <f t="shared" si="4"/>
        <v>398682.92000000004</v>
      </c>
      <c r="O18" s="841">
        <f t="shared" si="4"/>
        <v>346932.79000000004</v>
      </c>
      <c r="P18" s="841">
        <f t="shared" si="5"/>
        <v>51750.130000000005</v>
      </c>
      <c r="Q18" s="701">
        <f t="shared" si="9"/>
        <v>14.916471285403723</v>
      </c>
    </row>
    <row r="19" spans="1:17" x14ac:dyDescent="0.25">
      <c r="A19" s="699" t="s">
        <v>152</v>
      </c>
      <c r="B19" s="841">
        <f>B10-B18</f>
        <v>72147.039999999979</v>
      </c>
      <c r="C19" s="841">
        <f>C10-C18</f>
        <v>93355.12000000001</v>
      </c>
      <c r="D19" s="842">
        <f t="shared" si="1"/>
        <v>-21208.080000000031</v>
      </c>
      <c r="E19" s="700">
        <f t="shared" si="6"/>
        <v>-22.717639910912254</v>
      </c>
      <c r="F19" s="841">
        <f>F10-F18</f>
        <v>100361.7</v>
      </c>
      <c r="G19" s="841">
        <f>G10-G18</f>
        <v>85500.190000000017</v>
      </c>
      <c r="H19" s="841">
        <f t="shared" si="2"/>
        <v>14861.50999999998</v>
      </c>
      <c r="I19" s="701">
        <f t="shared" si="7"/>
        <v>17.381844414614726</v>
      </c>
      <c r="J19" s="841">
        <f>J10-J18</f>
        <v>143206.75999999998</v>
      </c>
      <c r="K19" s="841">
        <f>K10-K18</f>
        <v>-10454.590000000026</v>
      </c>
      <c r="L19" s="841">
        <f t="shared" si="3"/>
        <v>153661.35</v>
      </c>
      <c r="M19" s="701">
        <f t="shared" si="8"/>
        <v>1469.7979547739283</v>
      </c>
      <c r="N19" s="841">
        <f t="shared" si="4"/>
        <v>315715.5</v>
      </c>
      <c r="O19" s="841">
        <f t="shared" si="4"/>
        <v>168400.72</v>
      </c>
      <c r="P19" s="842">
        <f t="shared" si="5"/>
        <v>147314.78</v>
      </c>
      <c r="Q19" s="700">
        <f t="shared" si="9"/>
        <v>87.47871149244493</v>
      </c>
    </row>
    <row r="20" spans="1:17" x14ac:dyDescent="0.25">
      <c r="A20" s="695" t="s">
        <v>193</v>
      </c>
      <c r="B20" s="839"/>
      <c r="C20" s="839"/>
      <c r="D20" s="839"/>
      <c r="E20" s="693" t="s">
        <v>315</v>
      </c>
      <c r="F20" s="839"/>
      <c r="G20" s="839"/>
      <c r="H20" s="839"/>
      <c r="I20" s="693" t="s">
        <v>315</v>
      </c>
      <c r="J20" s="839"/>
      <c r="K20" s="839"/>
      <c r="L20" s="839"/>
      <c r="M20" s="693" t="s">
        <v>315</v>
      </c>
      <c r="N20" s="839"/>
      <c r="O20" s="839"/>
      <c r="P20" s="839"/>
      <c r="Q20" s="693"/>
    </row>
    <row r="21" spans="1:17" x14ac:dyDescent="0.25">
      <c r="A21" s="696" t="s">
        <v>326</v>
      </c>
      <c r="B21" s="839"/>
      <c r="C21" s="839"/>
      <c r="D21" s="839"/>
      <c r="E21" s="693" t="s">
        <v>315</v>
      </c>
      <c r="F21" s="839"/>
      <c r="G21" s="839"/>
      <c r="H21" s="839"/>
      <c r="I21" s="693" t="s">
        <v>315</v>
      </c>
      <c r="J21" s="839"/>
      <c r="K21" s="839"/>
      <c r="L21" s="839"/>
      <c r="M21" s="693" t="s">
        <v>315</v>
      </c>
      <c r="N21" s="839"/>
      <c r="O21" s="839"/>
      <c r="P21" s="839"/>
      <c r="Q21" s="693" t="s">
        <v>315</v>
      </c>
    </row>
    <row r="22" spans="1:17" x14ac:dyDescent="0.25">
      <c r="A22" s="702" t="s">
        <v>327</v>
      </c>
      <c r="B22" s="839">
        <v>23690.14</v>
      </c>
      <c r="C22" s="839">
        <v>21679.69</v>
      </c>
      <c r="D22" s="839">
        <f t="shared" ref="D22:D30" si="10">(B22-C22)</f>
        <v>2010.4500000000007</v>
      </c>
      <c r="E22" s="698">
        <f>IFERROR((((B22-C22)/IF(C22&lt;0,-1*C22,C22))*100),"")</f>
        <v>9.2734259576589935</v>
      </c>
      <c r="F22" s="839">
        <v>19384.61</v>
      </c>
      <c r="G22" s="839">
        <v>19512.650000000001</v>
      </c>
      <c r="H22" s="840">
        <f t="shared" ref="H22:H30" si="11">(F22-G22)</f>
        <v>-128.04000000000087</v>
      </c>
      <c r="I22" s="697">
        <f t="shared" ref="I22:I28" si="12">IFERROR((((F22-G22)/IF(G22&lt;0,-1*G22,G22))*100),"")</f>
        <v>-0.65618970257756304</v>
      </c>
      <c r="J22" s="839">
        <v>21461.53</v>
      </c>
      <c r="K22" s="839">
        <v>27867.34</v>
      </c>
      <c r="L22" s="840">
        <f t="shared" ref="L22:L28" si="13">(J22-K22)</f>
        <v>-6405.8100000000013</v>
      </c>
      <c r="M22" s="697">
        <f>IFERROR((((J22-K22)/IF(K22&lt;0,-1*K22,K22))*100),"")</f>
        <v>-22.986801036625675</v>
      </c>
      <c r="N22" s="839">
        <f t="shared" ref="N22:O28" si="14">B22+F22+J22</f>
        <v>64536.28</v>
      </c>
      <c r="O22" s="839">
        <f t="shared" si="14"/>
        <v>69059.679999999993</v>
      </c>
      <c r="P22" s="839">
        <f t="shared" ref="P22:P30" si="15">(N22-O22)</f>
        <v>-4523.3999999999942</v>
      </c>
      <c r="Q22" s="698">
        <f t="shared" ref="Q22:Q28" si="16">IFERROR((((N22-O22)/IF(O22&lt;0,-1*O22,O22))*100),"")</f>
        <v>-6.5499869098727279</v>
      </c>
    </row>
    <row r="23" spans="1:17" x14ac:dyDescent="0.25">
      <c r="A23" s="702" t="s">
        <v>328</v>
      </c>
      <c r="B23" s="839">
        <v>1899.81</v>
      </c>
      <c r="C23" s="839">
        <v>2117.37</v>
      </c>
      <c r="D23" s="840">
        <f t="shared" si="10"/>
        <v>-217.55999999999995</v>
      </c>
      <c r="E23" s="697">
        <f>IFERROR((((B23-C23)/IF(C23&lt;0,-1*C23,C23))*100),"")</f>
        <v>-10.275010980603295</v>
      </c>
      <c r="F23" s="839">
        <v>1358.66</v>
      </c>
      <c r="G23" s="839">
        <v>1475.72</v>
      </c>
      <c r="H23" s="840">
        <f t="shared" si="11"/>
        <v>-117.05999999999995</v>
      </c>
      <c r="I23" s="697">
        <f t="shared" si="12"/>
        <v>-7.9323991001002865</v>
      </c>
      <c r="J23" s="839">
        <v>3998.69</v>
      </c>
      <c r="K23" s="839">
        <v>2273.9699999999998</v>
      </c>
      <c r="L23" s="840">
        <f t="shared" si="13"/>
        <v>1724.7200000000003</v>
      </c>
      <c r="M23" s="697">
        <f>IFERROR((((J23-K23)/IF(K23&lt;0,-1*K23,K23))*100),"")</f>
        <v>75.846207293851748</v>
      </c>
      <c r="N23" s="839">
        <f t="shared" si="14"/>
        <v>7257.16</v>
      </c>
      <c r="O23" s="839">
        <f t="shared" si="14"/>
        <v>5867.0599999999995</v>
      </c>
      <c r="P23" s="840">
        <f t="shared" si="15"/>
        <v>1390.1000000000004</v>
      </c>
      <c r="Q23" s="697">
        <f t="shared" si="16"/>
        <v>23.693297835713295</v>
      </c>
    </row>
    <row r="24" spans="1:17" x14ac:dyDescent="0.25">
      <c r="A24" s="702" t="s">
        <v>329</v>
      </c>
      <c r="B24" s="839">
        <v>525.64</v>
      </c>
      <c r="C24" s="839">
        <v>907.69</v>
      </c>
      <c r="D24" s="840">
        <f t="shared" si="10"/>
        <v>-382.05000000000007</v>
      </c>
      <c r="E24" s="697">
        <f>IFERROR((((B24-C24)/IF(C24&lt;0,-1*C24,C24))*100),"")</f>
        <v>-42.090361246681141</v>
      </c>
      <c r="F24" s="839">
        <v>781.15</v>
      </c>
      <c r="G24" s="839">
        <v>881.71</v>
      </c>
      <c r="H24" s="840">
        <f t="shared" si="11"/>
        <v>-100.56000000000006</v>
      </c>
      <c r="I24" s="697">
        <f t="shared" si="12"/>
        <v>-11.405110523868398</v>
      </c>
      <c r="J24" s="839">
        <v>1159.9100000000001</v>
      </c>
      <c r="K24" s="839">
        <v>991.31</v>
      </c>
      <c r="L24" s="840">
        <f t="shared" si="13"/>
        <v>168.60000000000014</v>
      </c>
      <c r="M24" s="697">
        <f>IFERROR((((J24-K24)/IF(K24&lt;0,-1*K24,K24))*100),"")</f>
        <v>17.007797762556631</v>
      </c>
      <c r="N24" s="839">
        <f t="shared" si="14"/>
        <v>2466.6999999999998</v>
      </c>
      <c r="O24" s="839">
        <f t="shared" si="14"/>
        <v>2780.71</v>
      </c>
      <c r="P24" s="840">
        <f t="shared" si="15"/>
        <v>-314.01000000000022</v>
      </c>
      <c r="Q24" s="697">
        <f t="shared" si="16"/>
        <v>-11.292439700651999</v>
      </c>
    </row>
    <row r="25" spans="1:17" x14ac:dyDescent="0.25">
      <c r="A25" s="703" t="s">
        <v>330</v>
      </c>
      <c r="B25" s="841">
        <f>B21+B22+B23+B24</f>
        <v>26115.59</v>
      </c>
      <c r="C25" s="841">
        <f>C21+C22+C23+C24</f>
        <v>24704.749999999996</v>
      </c>
      <c r="D25" s="841">
        <f t="shared" si="10"/>
        <v>1410.8400000000038</v>
      </c>
      <c r="E25" s="701">
        <f>IFERROR((((B25-C25)/IF(C25&lt;0,-1*C25,C25))*100),"")</f>
        <v>5.7108046023538144</v>
      </c>
      <c r="F25" s="841">
        <f>F21+F22+F23+F24</f>
        <v>21524.420000000002</v>
      </c>
      <c r="G25" s="841">
        <f>G21+G22+G23+G24</f>
        <v>21870.080000000002</v>
      </c>
      <c r="H25" s="842">
        <f t="shared" si="11"/>
        <v>-345.65999999999985</v>
      </c>
      <c r="I25" s="700">
        <f t="shared" si="12"/>
        <v>-1.5805154805103587</v>
      </c>
      <c r="J25" s="841">
        <f>J21+J22+J23+J24</f>
        <v>26620.129999999997</v>
      </c>
      <c r="K25" s="841">
        <f>K21+K22+K23+K24</f>
        <v>31132.620000000003</v>
      </c>
      <c r="L25" s="842">
        <f t="shared" si="13"/>
        <v>-4512.4900000000052</v>
      </c>
      <c r="M25" s="700">
        <f>IFERROR((((J25-K25)/IF(K25&lt;0,-1*K25,K25))*100),"")</f>
        <v>-14.494411328053999</v>
      </c>
      <c r="N25" s="841">
        <f t="shared" si="14"/>
        <v>74260.14</v>
      </c>
      <c r="O25" s="841">
        <f t="shared" si="14"/>
        <v>77707.450000000012</v>
      </c>
      <c r="P25" s="841">
        <f t="shared" si="15"/>
        <v>-3447.3100000000122</v>
      </c>
      <c r="Q25" s="701">
        <f t="shared" si="16"/>
        <v>-4.4362670503278796</v>
      </c>
    </row>
    <row r="26" spans="1:17" x14ac:dyDescent="0.25">
      <c r="A26" s="696" t="s">
        <v>331</v>
      </c>
      <c r="B26" s="839">
        <v>1583.92</v>
      </c>
      <c r="C26" s="839"/>
      <c r="D26" s="839">
        <f t="shared" si="10"/>
        <v>1583.92</v>
      </c>
      <c r="E26" s="693" t="s">
        <v>315</v>
      </c>
      <c r="F26" s="840">
        <v>-1083.92</v>
      </c>
      <c r="G26" s="839">
        <v>88.48</v>
      </c>
      <c r="H26" s="840">
        <f t="shared" si="11"/>
        <v>-1172.4000000000001</v>
      </c>
      <c r="I26" s="697">
        <f t="shared" si="12"/>
        <v>-1325.0452079566005</v>
      </c>
      <c r="J26" s="840">
        <v>2632.67</v>
      </c>
      <c r="K26" s="839"/>
      <c r="L26" s="840">
        <f t="shared" si="13"/>
        <v>2632.67</v>
      </c>
      <c r="M26" s="697" t="s">
        <v>315</v>
      </c>
      <c r="N26" s="839">
        <f t="shared" si="14"/>
        <v>3132.67</v>
      </c>
      <c r="O26" s="839">
        <f t="shared" si="14"/>
        <v>88.48</v>
      </c>
      <c r="P26" s="839">
        <f t="shared" si="15"/>
        <v>3044.19</v>
      </c>
      <c r="Q26" s="698">
        <f t="shared" si="16"/>
        <v>3440.5402350813747</v>
      </c>
    </row>
    <row r="27" spans="1:17" x14ac:dyDescent="0.25">
      <c r="A27" s="696" t="s">
        <v>332</v>
      </c>
      <c r="B27" s="839">
        <v>919.2</v>
      </c>
      <c r="C27" s="839">
        <v>714</v>
      </c>
      <c r="D27" s="839">
        <f t="shared" si="10"/>
        <v>205.20000000000005</v>
      </c>
      <c r="E27" s="698">
        <f>IFERROR((((B27-C27)/IF(C27&lt;0,-1*C27,C27))*100),"")</f>
        <v>28.739495798319336</v>
      </c>
      <c r="F27" s="839">
        <v>883.2</v>
      </c>
      <c r="G27" s="839">
        <v>674</v>
      </c>
      <c r="H27" s="839">
        <f t="shared" si="11"/>
        <v>209.20000000000005</v>
      </c>
      <c r="I27" s="698">
        <f t="shared" si="12"/>
        <v>31.038575667655792</v>
      </c>
      <c r="J27" s="839">
        <v>956</v>
      </c>
      <c r="K27" s="839">
        <v>953</v>
      </c>
      <c r="L27" s="839">
        <f t="shared" si="13"/>
        <v>3</v>
      </c>
      <c r="M27" s="698">
        <f>IFERROR((((J27-K27)/IF(K27&lt;0,-1*K27,K27))*100),"")</f>
        <v>0.31479538300104931</v>
      </c>
      <c r="N27" s="839">
        <f t="shared" si="14"/>
        <v>2758.4</v>
      </c>
      <c r="O27" s="839">
        <f t="shared" si="14"/>
        <v>2341</v>
      </c>
      <c r="P27" s="839">
        <f t="shared" si="15"/>
        <v>417.40000000000009</v>
      </c>
      <c r="Q27" s="698">
        <f t="shared" si="16"/>
        <v>17.829987184963695</v>
      </c>
    </row>
    <row r="28" spans="1:17" x14ac:dyDescent="0.25">
      <c r="A28" s="696" t="s">
        <v>333</v>
      </c>
      <c r="B28" s="839">
        <v>767.58</v>
      </c>
      <c r="C28" s="839">
        <v>500</v>
      </c>
      <c r="D28" s="839">
        <f t="shared" si="10"/>
        <v>267.58000000000004</v>
      </c>
      <c r="E28" s="698">
        <f>IFERROR((((B28-C28)/IF(C28&lt;0,-1*C28,C28))*100),"")</f>
        <v>53.516000000000005</v>
      </c>
      <c r="F28" s="839">
        <v>63.72</v>
      </c>
      <c r="G28" s="839">
        <v>794.27</v>
      </c>
      <c r="H28" s="840">
        <f t="shared" si="11"/>
        <v>-730.55</v>
      </c>
      <c r="I28" s="697">
        <f t="shared" si="12"/>
        <v>-91.977539123975475</v>
      </c>
      <c r="J28" s="839">
        <v>0</v>
      </c>
      <c r="K28" s="839">
        <v>346.22</v>
      </c>
      <c r="L28" s="840">
        <f t="shared" si="13"/>
        <v>-346.22</v>
      </c>
      <c r="M28" s="697">
        <f>IFERROR((((J28-K28)/IF(K28&lt;0,-1*K28,K28))*100),"")</f>
        <v>-100</v>
      </c>
      <c r="N28" s="839">
        <f t="shared" si="14"/>
        <v>831.30000000000007</v>
      </c>
      <c r="O28" s="839">
        <f t="shared" si="14"/>
        <v>1640.49</v>
      </c>
      <c r="P28" s="840">
        <f t="shared" si="15"/>
        <v>-809.18999999999994</v>
      </c>
      <c r="Q28" s="697">
        <f t="shared" si="16"/>
        <v>-49.326115977543289</v>
      </c>
    </row>
    <row r="29" spans="1:17" x14ac:dyDescent="0.25">
      <c r="A29" s="696" t="s">
        <v>334</v>
      </c>
      <c r="B29" s="839">
        <v>103</v>
      </c>
      <c r="C29" s="839"/>
      <c r="D29" s="839">
        <f t="shared" si="10"/>
        <v>103</v>
      </c>
      <c r="E29" s="693" t="s">
        <v>315</v>
      </c>
      <c r="F29" s="839">
        <v>103</v>
      </c>
      <c r="G29" s="839"/>
      <c r="H29" s="839">
        <f t="shared" si="11"/>
        <v>103</v>
      </c>
      <c r="I29" s="693" t="s">
        <v>315</v>
      </c>
      <c r="J29" s="839"/>
      <c r="K29" s="839"/>
      <c r="L29" s="839"/>
      <c r="M29" s="693" t="s">
        <v>315</v>
      </c>
      <c r="N29" s="839">
        <f>B29+F29+J29</f>
        <v>206</v>
      </c>
      <c r="O29" s="839"/>
      <c r="P29" s="839">
        <f t="shared" si="15"/>
        <v>206</v>
      </c>
      <c r="Q29" s="693" t="s">
        <v>315</v>
      </c>
    </row>
    <row r="30" spans="1:17" x14ac:dyDescent="0.25">
      <c r="A30" s="696" t="s">
        <v>375</v>
      </c>
      <c r="B30" s="839"/>
      <c r="C30" s="839">
        <v>0</v>
      </c>
      <c r="D30" s="839">
        <f t="shared" si="10"/>
        <v>0</v>
      </c>
      <c r="E30" s="693" t="s">
        <v>315</v>
      </c>
      <c r="F30" s="839">
        <v>0</v>
      </c>
      <c r="G30" s="839">
        <v>0</v>
      </c>
      <c r="H30" s="839">
        <f t="shared" si="11"/>
        <v>0</v>
      </c>
      <c r="I30" s="693" t="s">
        <v>315</v>
      </c>
      <c r="J30" s="839">
        <v>0</v>
      </c>
      <c r="K30" s="839">
        <v>0</v>
      </c>
      <c r="L30" s="839">
        <f>(J30-K30)</f>
        <v>0</v>
      </c>
      <c r="M30" s="693" t="s">
        <v>315</v>
      </c>
      <c r="N30" s="839">
        <f>B30+F30+J30</f>
        <v>0</v>
      </c>
      <c r="O30" s="839">
        <f>C30+G30+K30</f>
        <v>0</v>
      </c>
      <c r="P30" s="839">
        <f t="shared" si="15"/>
        <v>0</v>
      </c>
      <c r="Q30" s="693" t="s">
        <v>315</v>
      </c>
    </row>
    <row r="31" spans="1:17" x14ac:dyDescent="0.25">
      <c r="A31" s="696" t="s">
        <v>335</v>
      </c>
      <c r="B31" s="839"/>
      <c r="C31" s="839"/>
      <c r="D31" s="839"/>
      <c r="E31" s="693" t="s">
        <v>315</v>
      </c>
      <c r="F31" s="839"/>
      <c r="G31" s="839"/>
      <c r="H31" s="839"/>
      <c r="I31" s="693" t="s">
        <v>315</v>
      </c>
      <c r="J31" s="839"/>
      <c r="K31" s="839"/>
      <c r="L31" s="839"/>
      <c r="M31" s="693" t="s">
        <v>315</v>
      </c>
      <c r="N31" s="839"/>
      <c r="O31" s="839"/>
      <c r="P31" s="839"/>
      <c r="Q31" s="693" t="s">
        <v>315</v>
      </c>
    </row>
    <row r="32" spans="1:17" x14ac:dyDescent="0.25">
      <c r="A32" s="702" t="s">
        <v>339</v>
      </c>
      <c r="B32" s="839">
        <v>31.59</v>
      </c>
      <c r="C32" s="839">
        <v>6570.19</v>
      </c>
      <c r="D32" s="840">
        <f>(B32-C32)</f>
        <v>-6538.5999999999995</v>
      </c>
      <c r="E32" s="697">
        <f>IFERROR((((B32-C32)/IF(C32&lt;0,-1*C32,C32))*100),"")</f>
        <v>-99.519191986837512</v>
      </c>
      <c r="F32" s="839">
        <v>10.41</v>
      </c>
      <c r="G32" s="839">
        <v>27658.49</v>
      </c>
      <c r="H32" s="840">
        <f>(F32-G32)</f>
        <v>-27648.080000000002</v>
      </c>
      <c r="I32" s="697">
        <f>IFERROR((((F32-G32)/IF(G32&lt;0,-1*G32,G32))*100),"")</f>
        <v>-99.962362370469251</v>
      </c>
      <c r="J32" s="839">
        <v>6296.82</v>
      </c>
      <c r="K32" s="839">
        <v>9262.58</v>
      </c>
      <c r="L32" s="840">
        <f>(J32-K32)</f>
        <v>-2965.76</v>
      </c>
      <c r="M32" s="697">
        <f>IFERROR((((J32-K32)/IF(K32&lt;0,-1*K32,K32))*100),"")</f>
        <v>-32.018724804536106</v>
      </c>
      <c r="N32" s="839">
        <f t="shared" ref="N32:O36" si="17">B32+F32+J32</f>
        <v>6338.82</v>
      </c>
      <c r="O32" s="839">
        <f t="shared" si="17"/>
        <v>43491.26</v>
      </c>
      <c r="P32" s="840">
        <f>(N32-O32)</f>
        <v>-37152.44</v>
      </c>
      <c r="Q32" s="697">
        <f>IFERROR((((N32-O32)/IF(O32&lt;0,-1*O32,O32))*100),"")</f>
        <v>-85.425071612089425</v>
      </c>
    </row>
    <row r="33" spans="1:17" x14ac:dyDescent="0.25">
      <c r="A33" s="702" t="s">
        <v>336</v>
      </c>
      <c r="B33" s="839">
        <v>2400</v>
      </c>
      <c r="C33" s="839">
        <v>5535.68</v>
      </c>
      <c r="D33" s="840">
        <f>(B33-C33)</f>
        <v>-3135.6800000000003</v>
      </c>
      <c r="E33" s="697">
        <f>IFERROR((((B33-C33)/IF(C33&lt;0,-1*C33,C33))*100),"")</f>
        <v>-56.644892768368116</v>
      </c>
      <c r="F33" s="839">
        <v>2400</v>
      </c>
      <c r="G33" s="839">
        <v>0</v>
      </c>
      <c r="H33" s="839">
        <f>(F33-G33)</f>
        <v>2400</v>
      </c>
      <c r="I33" s="693" t="s">
        <v>315</v>
      </c>
      <c r="J33" s="839">
        <v>2400</v>
      </c>
      <c r="K33" s="839">
        <v>4831.5600000000004</v>
      </c>
      <c r="L33" s="839">
        <f>(J33-K33)</f>
        <v>-2431.5600000000004</v>
      </c>
      <c r="M33" s="693">
        <f>IFERROR((((J33-K33)/IF(K33&lt;0,-1*K33,K33))*100),"")</f>
        <v>-50.326602587984006</v>
      </c>
      <c r="N33" s="839">
        <f t="shared" si="17"/>
        <v>7200</v>
      </c>
      <c r="O33" s="839">
        <f t="shared" si="17"/>
        <v>10367.240000000002</v>
      </c>
      <c r="P33" s="840">
        <f>(N33-O33)</f>
        <v>-3167.2400000000016</v>
      </c>
      <c r="Q33" s="697">
        <f>IFERROR((((N33-O33)/IF(O33&lt;0,-1*O33,O33))*100),"")</f>
        <v>-30.550464733140171</v>
      </c>
    </row>
    <row r="34" spans="1:17" x14ac:dyDescent="0.25">
      <c r="A34" s="702" t="s">
        <v>337</v>
      </c>
      <c r="B34" s="839">
        <v>1000</v>
      </c>
      <c r="C34" s="839">
        <v>750</v>
      </c>
      <c r="D34" s="839">
        <f>(B34-C34)</f>
        <v>250</v>
      </c>
      <c r="E34" s="698">
        <f>IFERROR((((B34-C34)/IF(C34&lt;0,-1*C34,C34))*100),"")</f>
        <v>33.333333333333329</v>
      </c>
      <c r="F34" s="839">
        <v>1000</v>
      </c>
      <c r="G34" s="839">
        <v>7938</v>
      </c>
      <c r="H34" s="840">
        <f>(F34-G34)</f>
        <v>-6938</v>
      </c>
      <c r="I34" s="697">
        <f>IFERROR((((F34-G34)/IF(G34&lt;0,-1*G34,G34))*100),"")</f>
        <v>-87.402368354749299</v>
      </c>
      <c r="J34" s="839">
        <v>1093</v>
      </c>
      <c r="K34" s="839">
        <v>949.2</v>
      </c>
      <c r="L34" s="840">
        <f>(J34-K34)</f>
        <v>143.79999999999995</v>
      </c>
      <c r="M34" s="697">
        <f>IFERROR((((J34-K34)/IF(K34&lt;0,-1*K34,K34))*100),"")</f>
        <v>15.149599662873994</v>
      </c>
      <c r="N34" s="839">
        <f t="shared" si="17"/>
        <v>3093</v>
      </c>
      <c r="O34" s="839">
        <f t="shared" si="17"/>
        <v>9637.2000000000007</v>
      </c>
      <c r="P34" s="840">
        <f>(N34-O34)</f>
        <v>-6544.2000000000007</v>
      </c>
      <c r="Q34" s="697">
        <f>IFERROR((((N34-O34)/IF(O34&lt;0,-1*O34,O34))*100),"")</f>
        <v>-67.905615739011338</v>
      </c>
    </row>
    <row r="35" spans="1:17" x14ac:dyDescent="0.25">
      <c r="A35" s="702" t="s">
        <v>338</v>
      </c>
      <c r="B35" s="839">
        <v>1710</v>
      </c>
      <c r="C35" s="839">
        <v>3139.99</v>
      </c>
      <c r="D35" s="840">
        <f>(B35-C35)</f>
        <v>-1429.9899999999998</v>
      </c>
      <c r="E35" s="697">
        <f>IFERROR((((B35-C35)/IF(C35&lt;0,-1*C35,C35))*100),"")</f>
        <v>-45.541227838305218</v>
      </c>
      <c r="F35" s="839">
        <v>7200</v>
      </c>
      <c r="G35" s="839">
        <v>10750</v>
      </c>
      <c r="H35" s="840">
        <f>(F35-G35)</f>
        <v>-3550</v>
      </c>
      <c r="I35" s="697">
        <f>IFERROR((((F35-G35)/IF(G35&lt;0,-1*G35,G35))*100),"")</f>
        <v>-33.02325581395349</v>
      </c>
      <c r="J35" s="839">
        <v>3639.99</v>
      </c>
      <c r="K35" s="839">
        <v>-3053.6</v>
      </c>
      <c r="L35" s="840">
        <f>(J35-K35)</f>
        <v>6693.59</v>
      </c>
      <c r="M35" s="697">
        <f>IFERROR((((J35-K35)/IF(K35&lt;0,-1*K35,K35))*100),"")</f>
        <v>219.20323552528163</v>
      </c>
      <c r="N35" s="839">
        <f t="shared" si="17"/>
        <v>12549.99</v>
      </c>
      <c r="O35" s="839">
        <f t="shared" si="17"/>
        <v>10836.39</v>
      </c>
      <c r="P35" s="840">
        <f>(N35-O35)</f>
        <v>1713.6000000000004</v>
      </c>
      <c r="Q35" s="697">
        <f>IFERROR((((N35-O35)/IF(O35&lt;0,-1*O35,O35))*100),"")</f>
        <v>15.813384346632049</v>
      </c>
    </row>
    <row r="36" spans="1:17" x14ac:dyDescent="0.25">
      <c r="A36" s="703" t="s">
        <v>340</v>
      </c>
      <c r="B36" s="841">
        <f>B31+B32+B33+B34+B35</f>
        <v>5141.59</v>
      </c>
      <c r="C36" s="841">
        <f>C31+C32+C33+C34+C35</f>
        <v>15995.859999999999</v>
      </c>
      <c r="D36" s="842">
        <f>(B36-C36)</f>
        <v>-10854.269999999999</v>
      </c>
      <c r="E36" s="700">
        <f>IFERROR((((B36-C36)/IF(C36&lt;0,-1*C36,C36))*100),"")</f>
        <v>-67.856745432880743</v>
      </c>
      <c r="F36" s="841">
        <f>F31+F32+F33+F34+F35</f>
        <v>10610.41</v>
      </c>
      <c r="G36" s="841">
        <f>G31+G32+G33+G34+G35</f>
        <v>46346.490000000005</v>
      </c>
      <c r="H36" s="842">
        <f>(F36-G36)</f>
        <v>-35736.080000000002</v>
      </c>
      <c r="I36" s="700">
        <f>IFERROR((((F36-G36)/IF(G36&lt;0,-1*G36,G36))*100),"")</f>
        <v>-77.106335344920396</v>
      </c>
      <c r="J36" s="841">
        <f>J31+J32+J33+J34+J35</f>
        <v>13429.81</v>
      </c>
      <c r="K36" s="841">
        <f>K31+K32+K33+K34+K35</f>
        <v>11989.74</v>
      </c>
      <c r="L36" s="842">
        <f>(J36-K36)</f>
        <v>1440.0699999999997</v>
      </c>
      <c r="M36" s="700">
        <f>IFERROR((((J36-K36)/IF(K36&lt;0,-1*K36,K36))*100),"")</f>
        <v>12.010852612316862</v>
      </c>
      <c r="N36" s="841">
        <f t="shared" si="17"/>
        <v>29181.809999999998</v>
      </c>
      <c r="O36" s="841">
        <f t="shared" si="17"/>
        <v>74332.090000000011</v>
      </c>
      <c r="P36" s="842">
        <f>(N36-O36)</f>
        <v>-45150.280000000013</v>
      </c>
      <c r="Q36" s="700">
        <f>IFERROR((((N36-O36)/IF(O36&lt;0,-1*O36,O36))*100),"")</f>
        <v>-60.7413029823324</v>
      </c>
    </row>
    <row r="37" spans="1:17" x14ac:dyDescent="0.25">
      <c r="A37" s="696" t="s">
        <v>341</v>
      </c>
      <c r="B37" s="839"/>
      <c r="C37" s="839"/>
      <c r="D37" s="839"/>
      <c r="E37" s="693" t="s">
        <v>315</v>
      </c>
      <c r="F37" s="839"/>
      <c r="G37" s="839"/>
      <c r="H37" s="839"/>
      <c r="I37" s="693" t="s">
        <v>315</v>
      </c>
      <c r="J37" s="839"/>
      <c r="K37" s="839"/>
      <c r="L37" s="839"/>
      <c r="M37" s="693" t="s">
        <v>315</v>
      </c>
      <c r="N37" s="839"/>
      <c r="O37" s="839"/>
      <c r="P37" s="839"/>
      <c r="Q37" s="693" t="s">
        <v>315</v>
      </c>
    </row>
    <row r="38" spans="1:17" x14ac:dyDescent="0.25">
      <c r="A38" s="702" t="s">
        <v>342</v>
      </c>
      <c r="B38" s="839">
        <v>12500</v>
      </c>
      <c r="C38" s="839">
        <v>23351.64</v>
      </c>
      <c r="D38" s="840">
        <f>(B38-C38)</f>
        <v>-10851.64</v>
      </c>
      <c r="E38" s="697">
        <f>IFERROR((((B38-C38)/IF(C38&lt;0,-1*C38,C38))*100),"")</f>
        <v>-46.470569090650592</v>
      </c>
      <c r="F38" s="839">
        <v>10000</v>
      </c>
      <c r="G38" s="839">
        <v>19230.75</v>
      </c>
      <c r="H38" s="840">
        <f>(F38-G38)</f>
        <v>-9230.75</v>
      </c>
      <c r="I38" s="697">
        <f>IFERROR((((F38-G38)/IF(G38&lt;0,-1*G38,G38))*100),"")</f>
        <v>-47.999947999947999</v>
      </c>
      <c r="J38" s="839">
        <v>11071.43</v>
      </c>
      <c r="K38" s="839">
        <v>21291.21</v>
      </c>
      <c r="L38" s="840">
        <f t="shared" ref="L38:L48" si="18">(J38-K38)</f>
        <v>-10219.779999999999</v>
      </c>
      <c r="M38" s="697">
        <f>IFERROR((((J38-K38)/IF(K38&lt;0,-1*K38,K38))*100),"")</f>
        <v>-47.999996242580856</v>
      </c>
      <c r="N38" s="839">
        <f t="shared" ref="N38:O48" si="19">B38+F38+J38</f>
        <v>33571.43</v>
      </c>
      <c r="O38" s="839">
        <f t="shared" si="19"/>
        <v>63873.599999999999</v>
      </c>
      <c r="P38" s="840">
        <f t="shared" ref="P38:P48" si="20">(N38-O38)</f>
        <v>-30302.17</v>
      </c>
      <c r="Q38" s="697">
        <f>IFERROR((((N38-O38)/IF(O38&lt;0,-1*O38,O38))*100),"")</f>
        <v>-47.440836276646372</v>
      </c>
    </row>
    <row r="39" spans="1:17" x14ac:dyDescent="0.25">
      <c r="A39" s="702" t="s">
        <v>343</v>
      </c>
      <c r="B39" s="839">
        <v>252.75</v>
      </c>
      <c r="C39" s="839">
        <v>962.52</v>
      </c>
      <c r="D39" s="840">
        <f>(B39-C39)</f>
        <v>-709.77</v>
      </c>
      <c r="E39" s="697">
        <f>IFERROR((((B39-C39)/IF(C39&lt;0,-1*C39,C39))*100),"")</f>
        <v>-73.740805385862103</v>
      </c>
      <c r="F39" s="839">
        <v>252.75</v>
      </c>
      <c r="G39" s="839">
        <v>962.52</v>
      </c>
      <c r="H39" s="840">
        <f>(F39-G39)</f>
        <v>-709.77</v>
      </c>
      <c r="I39" s="697">
        <f>IFERROR((((F39-G39)/IF(G39&lt;0,-1*G39,G39))*100),"")</f>
        <v>-73.740805385862103</v>
      </c>
      <c r="J39" s="839">
        <v>252.75</v>
      </c>
      <c r="K39" s="839">
        <v>962.52</v>
      </c>
      <c r="L39" s="840">
        <f t="shared" si="18"/>
        <v>-709.77</v>
      </c>
      <c r="M39" s="697">
        <f>IFERROR((((J39-K39)/IF(K39&lt;0,-1*K39,K39))*100),"")</f>
        <v>-73.740805385862103</v>
      </c>
      <c r="N39" s="839">
        <f t="shared" si="19"/>
        <v>758.25</v>
      </c>
      <c r="O39" s="839">
        <f t="shared" si="19"/>
        <v>2887.56</v>
      </c>
      <c r="P39" s="840">
        <f t="shared" si="20"/>
        <v>-2129.31</v>
      </c>
      <c r="Q39" s="697">
        <f>IFERROR((((N39-O39)/IF(O39&lt;0,-1*O39,O39))*100),"")</f>
        <v>-73.740805385862103</v>
      </c>
    </row>
    <row r="40" spans="1:17" x14ac:dyDescent="0.25">
      <c r="A40" s="702" t="s">
        <v>344</v>
      </c>
      <c r="B40" s="839">
        <v>991.15</v>
      </c>
      <c r="C40" s="839">
        <v>1786.38</v>
      </c>
      <c r="D40" s="840">
        <f>(B40-C40)</f>
        <v>-795.23000000000013</v>
      </c>
      <c r="E40" s="697">
        <f>IFERROR((((B40-C40)/IF(C40&lt;0,-1*C40,C40))*100),"")</f>
        <v>-44.51628432920208</v>
      </c>
      <c r="F40" s="839">
        <v>765</v>
      </c>
      <c r="G40" s="839">
        <v>1471.14</v>
      </c>
      <c r="H40" s="840">
        <f>(F40-G40)</f>
        <v>-706.1400000000001</v>
      </c>
      <c r="I40" s="697">
        <f>IFERROR((((F40-G40)/IF(G40&lt;0,-1*G40,G40))*100),"")</f>
        <v>-47.999510583629025</v>
      </c>
      <c r="J40" s="839">
        <v>846.96</v>
      </c>
      <c r="K40" s="839">
        <v>1891.47</v>
      </c>
      <c r="L40" s="840">
        <f t="shared" si="18"/>
        <v>-1044.51</v>
      </c>
      <c r="M40" s="697">
        <f>IFERROR((((J40-K40)/IF(K40&lt;0,-1*K40,K40))*100),"")</f>
        <v>-55.222128820441242</v>
      </c>
      <c r="N40" s="839">
        <f t="shared" si="19"/>
        <v>2603.11</v>
      </c>
      <c r="O40" s="839">
        <f t="shared" si="19"/>
        <v>5148.9900000000007</v>
      </c>
      <c r="P40" s="840">
        <f t="shared" si="20"/>
        <v>-2545.8800000000006</v>
      </c>
      <c r="Q40" s="697">
        <f>IFERROR((((N40-O40)/IF(O40&lt;0,-1*O40,O40))*100),"")</f>
        <v>-49.444259942241104</v>
      </c>
    </row>
    <row r="41" spans="1:17" ht="30" x14ac:dyDescent="0.25">
      <c r="A41" s="702" t="s">
        <v>345</v>
      </c>
      <c r="B41" s="839">
        <v>437.5</v>
      </c>
      <c r="C41" s="839">
        <v>1009.62</v>
      </c>
      <c r="D41" s="840">
        <f>(B41-C41)</f>
        <v>-572.12</v>
      </c>
      <c r="E41" s="697">
        <f>IFERROR((((B41-C41)/IF(C41&lt;0,-1*C41,C41))*100),"")</f>
        <v>-56.666864760999189</v>
      </c>
      <c r="F41" s="839">
        <v>350</v>
      </c>
      <c r="G41" s="839">
        <v>480.77</v>
      </c>
      <c r="H41" s="840">
        <f>(F41-G41)</f>
        <v>-130.76999999999998</v>
      </c>
      <c r="I41" s="697">
        <f>IFERROR((((F41-G41)/IF(G41&lt;0,-1*G41,G41))*100),"")</f>
        <v>-27.20011647981363</v>
      </c>
      <c r="J41" s="839">
        <v>387.5</v>
      </c>
      <c r="K41" s="839">
        <v>891.31</v>
      </c>
      <c r="L41" s="840">
        <f t="shared" si="18"/>
        <v>-503.80999999999995</v>
      </c>
      <c r="M41" s="697">
        <f>IFERROR((((J41-K41)/IF(K41&lt;0,-1*K41,K41))*100),"")</f>
        <v>-56.524665941142807</v>
      </c>
      <c r="N41" s="839">
        <f t="shared" si="19"/>
        <v>1175</v>
      </c>
      <c r="O41" s="839">
        <f t="shared" si="19"/>
        <v>2381.6999999999998</v>
      </c>
      <c r="P41" s="840">
        <f t="shared" si="20"/>
        <v>-1206.6999999999998</v>
      </c>
      <c r="Q41" s="697">
        <f>IFERROR((((N41-O41)/IF(O41&lt;0,-1*O41,O41))*100),"")</f>
        <v>-50.665491035814746</v>
      </c>
    </row>
    <row r="42" spans="1:17" x14ac:dyDescent="0.25">
      <c r="A42" s="703" t="s">
        <v>346</v>
      </c>
      <c r="B42" s="841">
        <f>B37+B38+B39+B40+B41</f>
        <v>14181.4</v>
      </c>
      <c r="C42" s="841">
        <f>C37+C38+C39+C40+C41</f>
        <v>27110.16</v>
      </c>
      <c r="D42" s="842">
        <f>(B42-C42)</f>
        <v>-12928.76</v>
      </c>
      <c r="E42" s="700">
        <f>IFERROR((((B42-C42)/IF(C42&lt;0,-1*C42,C42))*100),"")</f>
        <v>-47.689722229599532</v>
      </c>
      <c r="F42" s="841">
        <f>F37+F38+F39+F40+F41</f>
        <v>11367.75</v>
      </c>
      <c r="G42" s="841">
        <f>G37+G38+G39+G40+G41</f>
        <v>22145.18</v>
      </c>
      <c r="H42" s="842">
        <f>(F42-G42)</f>
        <v>-10777.43</v>
      </c>
      <c r="I42" s="700">
        <f>IFERROR((((F42-G42)/IF(G42&lt;0,-1*G42,G42))*100),"")</f>
        <v>-48.667159174140828</v>
      </c>
      <c r="J42" s="841">
        <f>J37+J38+J39+J40+J41</f>
        <v>12558.64</v>
      </c>
      <c r="K42" s="841">
        <f>K37+K38+K39+K40+K41</f>
        <v>25036.510000000002</v>
      </c>
      <c r="L42" s="842">
        <f t="shared" si="18"/>
        <v>-12477.870000000003</v>
      </c>
      <c r="M42" s="700">
        <f>IFERROR((((J42-K42)/IF(K42&lt;0,-1*K42,K42))*100),"")</f>
        <v>-49.838695568991056</v>
      </c>
      <c r="N42" s="841">
        <f t="shared" si="19"/>
        <v>38107.79</v>
      </c>
      <c r="O42" s="841">
        <f t="shared" si="19"/>
        <v>74291.850000000006</v>
      </c>
      <c r="P42" s="842">
        <f t="shared" si="20"/>
        <v>-36184.060000000005</v>
      </c>
      <c r="Q42" s="700">
        <f>IFERROR((((N42-O42)/IF(O42&lt;0,-1*O42,O42))*100),"")</f>
        <v>-48.705288668945521</v>
      </c>
    </row>
    <row r="43" spans="1:17" x14ac:dyDescent="0.25">
      <c r="A43" s="696" t="s">
        <v>347</v>
      </c>
      <c r="B43" s="839"/>
      <c r="C43" s="839"/>
      <c r="D43" s="839"/>
      <c r="E43" s="693" t="s">
        <v>315</v>
      </c>
      <c r="F43" s="839"/>
      <c r="G43" s="839"/>
      <c r="H43" s="839"/>
      <c r="I43" s="693" t="s">
        <v>315</v>
      </c>
      <c r="J43" s="839"/>
      <c r="K43" s="839">
        <v>0</v>
      </c>
      <c r="L43" s="839">
        <f t="shared" si="18"/>
        <v>0</v>
      </c>
      <c r="M43" s="693" t="s">
        <v>315</v>
      </c>
      <c r="N43" s="839"/>
      <c r="O43" s="839">
        <f t="shared" si="19"/>
        <v>0</v>
      </c>
      <c r="P43" s="839">
        <f t="shared" si="20"/>
        <v>0</v>
      </c>
      <c r="Q43" s="693" t="s">
        <v>315</v>
      </c>
    </row>
    <row r="44" spans="1:17" x14ac:dyDescent="0.25">
      <c r="A44" s="702" t="s">
        <v>348</v>
      </c>
      <c r="B44" s="839">
        <v>2828.96</v>
      </c>
      <c r="C44" s="839"/>
      <c r="D44" s="839">
        <f>(B44-C44)</f>
        <v>2828.96</v>
      </c>
      <c r="E44" s="693" t="s">
        <v>315</v>
      </c>
      <c r="F44" s="839">
        <v>12567.45</v>
      </c>
      <c r="G44" s="839">
        <v>315.95</v>
      </c>
      <c r="H44" s="839">
        <f>(F44-G44)</f>
        <v>12251.5</v>
      </c>
      <c r="I44" s="698">
        <f>IFERROR((((F44-G44)/IF(G44&lt;0,-1*G44,G44))*100),"")</f>
        <v>3877.6705174869439</v>
      </c>
      <c r="J44" s="839">
        <v>5427.23</v>
      </c>
      <c r="K44" s="839">
        <v>13494.9</v>
      </c>
      <c r="L44" s="839">
        <f t="shared" si="18"/>
        <v>-8067.67</v>
      </c>
      <c r="M44" s="698">
        <f>IFERROR((((J44-K44)/IF(K44&lt;0,-1*K44,K44))*100),"")</f>
        <v>-59.783103246411606</v>
      </c>
      <c r="N44" s="839">
        <f>B44+F44+J44</f>
        <v>20823.64</v>
      </c>
      <c r="O44" s="839">
        <f t="shared" si="19"/>
        <v>13810.85</v>
      </c>
      <c r="P44" s="839">
        <f t="shared" si="20"/>
        <v>7012.7899999999991</v>
      </c>
      <c r="Q44" s="698">
        <f>IFERROR((((N44-O44)/IF(O44&lt;0,-1*O44,O44))*100),"")</f>
        <v>50.777396032829259</v>
      </c>
    </row>
    <row r="45" spans="1:17" x14ac:dyDescent="0.25">
      <c r="A45" s="702" t="s">
        <v>349</v>
      </c>
      <c r="B45" s="839">
        <v>2019.32</v>
      </c>
      <c r="C45" s="839">
        <v>958.47</v>
      </c>
      <c r="D45" s="839">
        <f>(B45-C45)</f>
        <v>1060.8499999999999</v>
      </c>
      <c r="E45" s="698">
        <f>IFERROR((((B45-C45)/IF(C45&lt;0,-1*C45,C45))*100),"")</f>
        <v>110.68160714472022</v>
      </c>
      <c r="F45" s="839">
        <v>2029.23</v>
      </c>
      <c r="G45" s="839">
        <v>681.42</v>
      </c>
      <c r="H45" s="839">
        <f>(F45-G45)</f>
        <v>1347.81</v>
      </c>
      <c r="I45" s="698">
        <f>IFERROR((((F45-G45)/IF(G45&lt;0,-1*G45,G45))*100),"")</f>
        <v>197.79431187813682</v>
      </c>
      <c r="J45" s="839">
        <v>2096.91</v>
      </c>
      <c r="K45" s="839">
        <v>2399.7199999999998</v>
      </c>
      <c r="L45" s="839">
        <f t="shared" si="18"/>
        <v>-302.80999999999995</v>
      </c>
      <c r="M45" s="698">
        <f>IFERROR((((J45-K45)/IF(K45&lt;0,-1*K45,K45))*100),"")</f>
        <v>-12.618555498141449</v>
      </c>
      <c r="N45" s="839">
        <f>B45+F45+J45</f>
        <v>6145.46</v>
      </c>
      <c r="O45" s="839">
        <f t="shared" si="19"/>
        <v>4039.6099999999997</v>
      </c>
      <c r="P45" s="839">
        <f t="shared" si="20"/>
        <v>2105.8500000000004</v>
      </c>
      <c r="Q45" s="698">
        <f>IFERROR((((N45-O45)/IF(O45&lt;0,-1*O45,O45))*100),"")</f>
        <v>52.130032354608502</v>
      </c>
    </row>
    <row r="46" spans="1:17" x14ac:dyDescent="0.25">
      <c r="A46" s="702" t="s">
        <v>350</v>
      </c>
      <c r="B46" s="839">
        <v>304.87</v>
      </c>
      <c r="C46" s="839">
        <v>1139.1300000000001</v>
      </c>
      <c r="D46" s="840">
        <f>(B46-C46)</f>
        <v>-834.2600000000001</v>
      </c>
      <c r="E46" s="697">
        <f>IFERROR((((B46-C46)/IF(C46&lt;0,-1*C46,C46))*100),"")</f>
        <v>-73.236592838394216</v>
      </c>
      <c r="F46" s="839">
        <v>314.87</v>
      </c>
      <c r="G46" s="839">
        <v>1246.1300000000001</v>
      </c>
      <c r="H46" s="840">
        <f>(F46-G46)</f>
        <v>-931.2600000000001</v>
      </c>
      <c r="I46" s="697">
        <f>IFERROR((((F46-G46)/IF(G46&lt;0,-1*G46,G46))*100),"")</f>
        <v>-74.732170800799281</v>
      </c>
      <c r="J46" s="839">
        <v>306.91000000000003</v>
      </c>
      <c r="K46" s="839">
        <v>1216.27</v>
      </c>
      <c r="L46" s="840">
        <f t="shared" si="18"/>
        <v>-909.3599999999999</v>
      </c>
      <c r="M46" s="697">
        <f>IFERROR((((J46-K46)/IF(K46&lt;0,-1*K46,K46))*100),"")</f>
        <v>-74.766293668346663</v>
      </c>
      <c r="N46" s="839">
        <f>B46+F46+J46</f>
        <v>926.65000000000009</v>
      </c>
      <c r="O46" s="839">
        <f t="shared" si="19"/>
        <v>3601.53</v>
      </c>
      <c r="P46" s="840">
        <f t="shared" si="20"/>
        <v>-2674.88</v>
      </c>
      <c r="Q46" s="697">
        <f>IFERROR((((N46-O46)/IF(O46&lt;0,-1*O46,O46))*100),"")</f>
        <v>-74.270657192915237</v>
      </c>
    </row>
    <row r="47" spans="1:17" x14ac:dyDescent="0.25">
      <c r="A47" s="702" t="s">
        <v>351</v>
      </c>
      <c r="B47" s="839">
        <v>4053.35</v>
      </c>
      <c r="C47" s="839">
        <v>1777.27</v>
      </c>
      <c r="D47" s="839">
        <f>(B47-C47)</f>
        <v>2276.08</v>
      </c>
      <c r="E47" s="698">
        <f>IFERROR((((B47-C47)/IF(C47&lt;0,-1*C47,C47))*100),"")</f>
        <v>128.06607887377831</v>
      </c>
      <c r="F47" s="839">
        <v>2209.77</v>
      </c>
      <c r="G47" s="839">
        <v>606.15</v>
      </c>
      <c r="H47" s="839">
        <f>(F47-G47)</f>
        <v>1603.62</v>
      </c>
      <c r="I47" s="698">
        <f>IFERROR((((F47-G47)/IF(G47&lt;0,-1*G47,G47))*100),"")</f>
        <v>264.55827765404598</v>
      </c>
      <c r="J47" s="839">
        <v>1473.75</v>
      </c>
      <c r="K47" s="839">
        <v>285</v>
      </c>
      <c r="L47" s="839">
        <f t="shared" si="18"/>
        <v>1188.75</v>
      </c>
      <c r="M47" s="698">
        <f>IFERROR((((J47-K47)/IF(K47&lt;0,-1*K47,K47))*100),"")</f>
        <v>417.1052631578948</v>
      </c>
      <c r="N47" s="839">
        <f>B47+F47+J47</f>
        <v>7736.87</v>
      </c>
      <c r="O47" s="839">
        <f t="shared" si="19"/>
        <v>2668.42</v>
      </c>
      <c r="P47" s="839">
        <f t="shared" si="20"/>
        <v>5068.45</v>
      </c>
      <c r="Q47" s="698">
        <f>IFERROR((((N47-O47)/IF(O47&lt;0,-1*O47,O47))*100),"")</f>
        <v>189.94198814279611</v>
      </c>
    </row>
    <row r="48" spans="1:17" x14ac:dyDescent="0.25">
      <c r="A48" s="703" t="s">
        <v>352</v>
      </c>
      <c r="B48" s="841">
        <f>B43+B44+B45+B46+B47</f>
        <v>9206.5</v>
      </c>
      <c r="C48" s="841">
        <f>C43+C44+C45+C46+C47</f>
        <v>3874.8700000000003</v>
      </c>
      <c r="D48" s="841">
        <f>(B48-C48)</f>
        <v>5331.6299999999992</v>
      </c>
      <c r="E48" s="701">
        <f>IFERROR((((B48-C48)/IF(C48&lt;0,-1*C48,C48))*100),"")</f>
        <v>137.5950677054972</v>
      </c>
      <c r="F48" s="841">
        <f>F43+F44+F45+F46+F47</f>
        <v>17121.32</v>
      </c>
      <c r="G48" s="841">
        <f>G43+G44+G45+G46+G47</f>
        <v>2849.65</v>
      </c>
      <c r="H48" s="841">
        <f>(F48-G48)</f>
        <v>14271.67</v>
      </c>
      <c r="I48" s="701">
        <f>IFERROR((((F48-G48)/IF(G48&lt;0,-1*G48,G48))*100),"")</f>
        <v>500.82185531556502</v>
      </c>
      <c r="J48" s="841">
        <f>J43+J44+J45+J46+J47</f>
        <v>9304.7999999999993</v>
      </c>
      <c r="K48" s="841">
        <f>K43+K44+K45+K46+K47</f>
        <v>17395.89</v>
      </c>
      <c r="L48" s="841">
        <f t="shared" si="18"/>
        <v>-8091.09</v>
      </c>
      <c r="M48" s="701">
        <f>IFERROR((((J48-K48)/IF(K48&lt;0,-1*K48,K48))*100),"")</f>
        <v>-46.511503579293731</v>
      </c>
      <c r="N48" s="841">
        <f>B48+F48+J48</f>
        <v>35632.619999999995</v>
      </c>
      <c r="O48" s="841">
        <f t="shared" si="19"/>
        <v>24120.41</v>
      </c>
      <c r="P48" s="841">
        <f t="shared" si="20"/>
        <v>11512.209999999995</v>
      </c>
      <c r="Q48" s="701">
        <f>IFERROR((((N48-O48)/IF(O48&lt;0,-1*O48,O48))*100),"")</f>
        <v>47.728085882453883</v>
      </c>
    </row>
    <row r="49" spans="1:17" x14ac:dyDescent="0.25">
      <c r="A49" s="696" t="s">
        <v>353</v>
      </c>
      <c r="B49" s="839"/>
      <c r="C49" s="839"/>
      <c r="D49" s="839"/>
      <c r="E49" s="693" t="s">
        <v>315</v>
      </c>
      <c r="F49" s="839"/>
      <c r="G49" s="839"/>
      <c r="H49" s="839"/>
      <c r="I49" s="693" t="s">
        <v>315</v>
      </c>
      <c r="J49" s="839"/>
      <c r="K49" s="839"/>
      <c r="L49" s="839"/>
      <c r="M49" s="693" t="s">
        <v>315</v>
      </c>
      <c r="N49" s="839"/>
      <c r="O49" s="839"/>
      <c r="P49" s="839"/>
      <c r="Q49" s="693" t="s">
        <v>315</v>
      </c>
    </row>
    <row r="50" spans="1:17" x14ac:dyDescent="0.25">
      <c r="A50" s="702" t="s">
        <v>354</v>
      </c>
      <c r="B50" s="839">
        <v>14266.06</v>
      </c>
      <c r="C50" s="839">
        <v>6718.5</v>
      </c>
      <c r="D50" s="839">
        <f>(B50-C50)</f>
        <v>7547.5599999999995</v>
      </c>
      <c r="E50" s="698">
        <f>IFERROR((((B50-C50)/IF(C50&lt;0,-1*C50,C50))*100),"")</f>
        <v>112.33995683560319</v>
      </c>
      <c r="F50" s="839">
        <v>16795.810000000001</v>
      </c>
      <c r="G50" s="839">
        <v>19756</v>
      </c>
      <c r="H50" s="840">
        <f>(F50-G50)</f>
        <v>-2960.1899999999987</v>
      </c>
      <c r="I50" s="697">
        <f>IFERROR((((F50-G50)/IF(G50&lt;0,-1*G50,G50))*100),"")</f>
        <v>-14.983751771613679</v>
      </c>
      <c r="J50" s="839">
        <v>16795.810000000001</v>
      </c>
      <c r="K50" s="839">
        <v>12023.09</v>
      </c>
      <c r="L50" s="840">
        <f t="shared" ref="L50:L55" si="21">(J50-K50)</f>
        <v>4772.7200000000012</v>
      </c>
      <c r="M50" s="697">
        <f>IFERROR((((J50-K50)/IF(K50&lt;0,-1*K50,K50))*100),"")</f>
        <v>39.696284399434759</v>
      </c>
      <c r="N50" s="839">
        <f>B50+F50+J50</f>
        <v>47857.680000000008</v>
      </c>
      <c r="O50" s="839">
        <f>C50+G50+K50</f>
        <v>38497.589999999997</v>
      </c>
      <c r="P50" s="839">
        <f t="shared" ref="P50:P55" si="22">(N50-O50)</f>
        <v>9360.0900000000111</v>
      </c>
      <c r="Q50" s="698">
        <f>IFERROR((((N50-O50)/IF(O50&lt;0,-1*O50,O50))*100),"")</f>
        <v>24.313444036366981</v>
      </c>
    </row>
    <row r="51" spans="1:17" x14ac:dyDescent="0.25">
      <c r="A51" s="702" t="s">
        <v>355</v>
      </c>
      <c r="B51" s="839">
        <v>4341.4799999999996</v>
      </c>
      <c r="C51" s="839"/>
      <c r="D51" s="839">
        <f>(B51-C51)</f>
        <v>4341.4799999999996</v>
      </c>
      <c r="E51" s="693" t="s">
        <v>315</v>
      </c>
      <c r="F51" s="839">
        <v>4701.3999999999996</v>
      </c>
      <c r="G51" s="839"/>
      <c r="H51" s="839">
        <f>(F51-G51)</f>
        <v>4701.3999999999996</v>
      </c>
      <c r="I51" s="693" t="s">
        <v>315</v>
      </c>
      <c r="J51" s="839">
        <v>4521.4399999999996</v>
      </c>
      <c r="K51" s="839"/>
      <c r="L51" s="839">
        <f t="shared" si="21"/>
        <v>4521.4399999999996</v>
      </c>
      <c r="M51" s="693" t="s">
        <v>315</v>
      </c>
      <c r="N51" s="839">
        <f>B51+F51+J51</f>
        <v>13564.32</v>
      </c>
      <c r="O51" s="839"/>
      <c r="P51" s="839">
        <f t="shared" si="22"/>
        <v>13564.32</v>
      </c>
      <c r="Q51" s="693" t="s">
        <v>315</v>
      </c>
    </row>
    <row r="52" spans="1:17" x14ac:dyDescent="0.25">
      <c r="A52" s="702" t="s">
        <v>356</v>
      </c>
      <c r="B52" s="839">
        <v>4356.62</v>
      </c>
      <c r="C52" s="839">
        <v>4013.47</v>
      </c>
      <c r="D52" s="839">
        <f>(B52-C52)</f>
        <v>343.15000000000009</v>
      </c>
      <c r="E52" s="698">
        <f>IFERROR((((B52-C52)/IF(C52&lt;0,-1*C52,C52))*100),"")</f>
        <v>8.5499580163798434</v>
      </c>
      <c r="F52" s="839">
        <v>6180.17</v>
      </c>
      <c r="G52" s="839">
        <v>3784.55</v>
      </c>
      <c r="H52" s="839">
        <f>(F52-G52)</f>
        <v>2395.62</v>
      </c>
      <c r="I52" s="698">
        <f>IFERROR((((F52-G52)/IF(G52&lt;0,-1*G52,G52))*100),"")</f>
        <v>63.29999603651688</v>
      </c>
      <c r="J52" s="839">
        <v>7303.23</v>
      </c>
      <c r="K52" s="839">
        <v>3424.96</v>
      </c>
      <c r="L52" s="839">
        <f t="shared" si="21"/>
        <v>3878.2699999999995</v>
      </c>
      <c r="M52" s="698">
        <f>IFERROR((((J52-K52)/IF(K52&lt;0,-1*K52,K52))*100),"")</f>
        <v>113.2354830421377</v>
      </c>
      <c r="N52" s="839">
        <f>B52+F52+J52</f>
        <v>17840.02</v>
      </c>
      <c r="O52" s="839">
        <f>C52+G52+K52</f>
        <v>11222.98</v>
      </c>
      <c r="P52" s="839">
        <f t="shared" si="22"/>
        <v>6617.0400000000009</v>
      </c>
      <c r="Q52" s="698">
        <f>IFERROR((((N52-O52)/IF(O52&lt;0,-1*O52,O52))*100),"")</f>
        <v>58.959741530324393</v>
      </c>
    </row>
    <row r="53" spans="1:17" x14ac:dyDescent="0.25">
      <c r="A53" s="702" t="s">
        <v>357</v>
      </c>
      <c r="B53" s="839">
        <v>1232.07</v>
      </c>
      <c r="C53" s="839">
        <v>1597</v>
      </c>
      <c r="D53" s="840">
        <f>(B53-C53)</f>
        <v>-364.93000000000006</v>
      </c>
      <c r="E53" s="697">
        <f>IFERROR((((B53-C53)/IF(C53&lt;0,-1*C53,C53))*100),"")</f>
        <v>-22.850970569818411</v>
      </c>
      <c r="F53" s="839">
        <v>1255.58</v>
      </c>
      <c r="G53" s="839">
        <v>1597.31</v>
      </c>
      <c r="H53" s="840">
        <f>(F53-G53)</f>
        <v>-341.73</v>
      </c>
      <c r="I53" s="697">
        <f>IFERROR((((F53-G53)/IF(G53&lt;0,-1*G53,G53))*100),"")</f>
        <v>-21.39409382023527</v>
      </c>
      <c r="J53" s="839">
        <v>1255.56</v>
      </c>
      <c r="K53" s="839">
        <v>635.35</v>
      </c>
      <c r="L53" s="840">
        <f t="shared" si="21"/>
        <v>620.20999999999992</v>
      </c>
      <c r="M53" s="697">
        <f>IFERROR((((J53-K53)/IF(K53&lt;0,-1*K53,K53))*100),"")</f>
        <v>97.617061462186186</v>
      </c>
      <c r="N53" s="839">
        <f>B53+F53+J53</f>
        <v>3743.2099999999996</v>
      </c>
      <c r="O53" s="839">
        <f>C53+G53+K53</f>
        <v>3829.66</v>
      </c>
      <c r="P53" s="840">
        <f t="shared" si="22"/>
        <v>-86.450000000000273</v>
      </c>
      <c r="Q53" s="697">
        <f>IFERROR((((N53-O53)/IF(O53&lt;0,-1*O53,O53))*100),"")</f>
        <v>-2.2573805507538602</v>
      </c>
    </row>
    <row r="54" spans="1:17" x14ac:dyDescent="0.25">
      <c r="A54" s="702" t="s">
        <v>1065</v>
      </c>
      <c r="B54" s="839"/>
      <c r="C54" s="839"/>
      <c r="D54" s="839"/>
      <c r="E54" s="693" t="s">
        <v>315</v>
      </c>
      <c r="F54" s="839"/>
      <c r="G54" s="839"/>
      <c r="H54" s="839"/>
      <c r="I54" s="693" t="s">
        <v>315</v>
      </c>
      <c r="J54" s="839">
        <v>8503.67</v>
      </c>
      <c r="K54" s="839"/>
      <c r="L54" s="839">
        <f t="shared" si="21"/>
        <v>8503.67</v>
      </c>
      <c r="M54" s="693" t="s">
        <v>315</v>
      </c>
      <c r="N54" s="839">
        <f>B54+F54+J54</f>
        <v>8503.67</v>
      </c>
      <c r="O54" s="839"/>
      <c r="P54" s="839">
        <f t="shared" si="22"/>
        <v>8503.67</v>
      </c>
      <c r="Q54" s="693" t="s">
        <v>315</v>
      </c>
    </row>
    <row r="55" spans="1:17" x14ac:dyDescent="0.25">
      <c r="A55" s="703" t="s">
        <v>358</v>
      </c>
      <c r="B55" s="841">
        <f>B49+B50+B51+B52+B53+B54</f>
        <v>24196.23</v>
      </c>
      <c r="C55" s="841">
        <f>C49+C50+C51+C52+C53+C54</f>
        <v>12328.97</v>
      </c>
      <c r="D55" s="841">
        <f>(B55-C55)</f>
        <v>11867.26</v>
      </c>
      <c r="E55" s="701">
        <f>IFERROR((((B55-C55)/IF(C55&lt;0,-1*C55,C55))*100),"")</f>
        <v>96.255080513619546</v>
      </c>
      <c r="F55" s="841">
        <f>F49+F50+F51+F52+F53+F54</f>
        <v>28932.959999999999</v>
      </c>
      <c r="G55" s="841">
        <f>G49+G50+G51+G52+G53+G54</f>
        <v>25137.86</v>
      </c>
      <c r="H55" s="841">
        <f>(F55-G55)</f>
        <v>3795.0999999999985</v>
      </c>
      <c r="I55" s="701">
        <f>IFERROR((((F55-G55)/IF(G55&lt;0,-1*G55,G55))*100),"")</f>
        <v>15.097148285494463</v>
      </c>
      <c r="J55" s="841">
        <f>J49+J50+J51+J52+J53+J54</f>
        <v>38379.71</v>
      </c>
      <c r="K55" s="841">
        <f>K49+K50+K51+K52+K53+K54</f>
        <v>16083.4</v>
      </c>
      <c r="L55" s="841">
        <f t="shared" si="21"/>
        <v>22296.309999999998</v>
      </c>
      <c r="M55" s="701">
        <f>IFERROR((((J55-K55)/IF(K55&lt;0,-1*K55,K55))*100),"")</f>
        <v>138.6293321063954</v>
      </c>
      <c r="N55" s="841">
        <f>B55+F55+J55</f>
        <v>91508.9</v>
      </c>
      <c r="O55" s="841">
        <f>C55+G55+K55</f>
        <v>53550.23</v>
      </c>
      <c r="P55" s="841">
        <f t="shared" si="22"/>
        <v>37958.669999999991</v>
      </c>
      <c r="Q55" s="701">
        <f>IFERROR((((N55-O55)/IF(O55&lt;0,-1*O55,O55))*100),"")</f>
        <v>70.884233363703558</v>
      </c>
    </row>
    <row r="56" spans="1:17" x14ac:dyDescent="0.25">
      <c r="A56" s="696" t="s">
        <v>359</v>
      </c>
      <c r="B56" s="839"/>
      <c r="C56" s="839"/>
      <c r="D56" s="839"/>
      <c r="E56" s="693" t="s">
        <v>315</v>
      </c>
      <c r="F56" s="839"/>
      <c r="G56" s="839"/>
      <c r="H56" s="839"/>
      <c r="I56" s="693" t="s">
        <v>315</v>
      </c>
      <c r="J56" s="839"/>
      <c r="K56" s="839"/>
      <c r="L56" s="839"/>
      <c r="M56" s="693" t="s">
        <v>315</v>
      </c>
      <c r="N56" s="839"/>
      <c r="O56" s="839"/>
      <c r="P56" s="839"/>
      <c r="Q56" s="693" t="s">
        <v>315</v>
      </c>
    </row>
    <row r="57" spans="1:17" x14ac:dyDescent="0.25">
      <c r="A57" s="702" t="s">
        <v>360</v>
      </c>
      <c r="B57" s="839">
        <v>1725.05</v>
      </c>
      <c r="C57" s="839">
        <v>6595.59</v>
      </c>
      <c r="D57" s="840">
        <f t="shared" ref="D57:D70" si="23">(B57-C57)</f>
        <v>-4870.54</v>
      </c>
      <c r="E57" s="697">
        <f t="shared" ref="E57:E62" si="24">IFERROR((((B57-C57)/IF(C57&lt;0,-1*C57,C57))*100),"")</f>
        <v>-73.845402761542175</v>
      </c>
      <c r="F57" s="839">
        <v>3643.59</v>
      </c>
      <c r="G57" s="839">
        <v>3788.19</v>
      </c>
      <c r="H57" s="840">
        <f t="shared" ref="H57:H69" si="25">(F57-G57)</f>
        <v>-144.59999999999991</v>
      </c>
      <c r="I57" s="697">
        <f>IFERROR((((F57-G57)/IF(G57&lt;0,-1*G57,G57))*100),"")</f>
        <v>-3.8171263848962149</v>
      </c>
      <c r="J57" s="839">
        <v>5138.74</v>
      </c>
      <c r="K57" s="839">
        <v>6429.1</v>
      </c>
      <c r="L57" s="840">
        <f t="shared" ref="L57:L66" si="26">(J57-K57)</f>
        <v>-1290.3600000000006</v>
      </c>
      <c r="M57" s="697">
        <f t="shared" ref="M57:M66" si="27">IFERROR((((J57-K57)/IF(K57&lt;0,-1*K57,K57))*100),"")</f>
        <v>-20.070616415983583</v>
      </c>
      <c r="N57" s="839">
        <f t="shared" ref="N57:O66" si="28">B57+F57+J57</f>
        <v>10507.380000000001</v>
      </c>
      <c r="O57" s="839">
        <f t="shared" si="28"/>
        <v>16812.88</v>
      </c>
      <c r="P57" s="840">
        <f t="shared" ref="P57:P76" si="29">(N57-O57)</f>
        <v>-6305.5</v>
      </c>
      <c r="Q57" s="697">
        <f t="shared" ref="Q57:Q66" si="30">IFERROR((((N57-O57)/IF(O57&lt;0,-1*O57,O57))*100),"")</f>
        <v>-37.503985040040725</v>
      </c>
    </row>
    <row r="58" spans="1:17" x14ac:dyDescent="0.25">
      <c r="A58" s="702" t="s">
        <v>361</v>
      </c>
      <c r="B58" s="839">
        <v>4441.0600000000004</v>
      </c>
      <c r="C58" s="839">
        <v>2311.4299999999998</v>
      </c>
      <c r="D58" s="839">
        <f t="shared" si="23"/>
        <v>2129.6300000000006</v>
      </c>
      <c r="E58" s="698">
        <f t="shared" si="24"/>
        <v>92.134739100902934</v>
      </c>
      <c r="F58" s="839">
        <v>5647.87</v>
      </c>
      <c r="G58" s="839">
        <v>2640.98</v>
      </c>
      <c r="H58" s="839">
        <f t="shared" si="25"/>
        <v>3006.89</v>
      </c>
      <c r="I58" s="698">
        <f>IFERROR((((F58-G58)/IF(G58&lt;0,-1*G58,G58))*100),"")</f>
        <v>113.85508409756983</v>
      </c>
      <c r="J58" s="839">
        <v>3191.08</v>
      </c>
      <c r="K58" s="839">
        <v>3070.93</v>
      </c>
      <c r="L58" s="839">
        <f t="shared" si="26"/>
        <v>120.15000000000009</v>
      </c>
      <c r="M58" s="698">
        <f t="shared" si="27"/>
        <v>3.912495563233291</v>
      </c>
      <c r="N58" s="839">
        <f t="shared" si="28"/>
        <v>13280.01</v>
      </c>
      <c r="O58" s="839">
        <f t="shared" si="28"/>
        <v>8023.34</v>
      </c>
      <c r="P58" s="839">
        <f t="shared" si="29"/>
        <v>5256.67</v>
      </c>
      <c r="Q58" s="698">
        <f t="shared" si="30"/>
        <v>65.517228485892403</v>
      </c>
    </row>
    <row r="59" spans="1:17" x14ac:dyDescent="0.25">
      <c r="A59" s="702" t="s">
        <v>362</v>
      </c>
      <c r="B59" s="839">
        <v>535.32000000000005</v>
      </c>
      <c r="C59" s="839">
        <v>760.07</v>
      </c>
      <c r="D59" s="840">
        <f t="shared" si="23"/>
        <v>-224.75</v>
      </c>
      <c r="E59" s="697">
        <f t="shared" si="24"/>
        <v>-29.569644901127525</v>
      </c>
      <c r="F59" s="839">
        <v>449.88</v>
      </c>
      <c r="G59" s="839">
        <v>522.01</v>
      </c>
      <c r="H59" s="840">
        <f t="shared" si="25"/>
        <v>-72.13</v>
      </c>
      <c r="I59" s="697">
        <f>IFERROR((((F59-G59)/IF(G59&lt;0,-1*G59,G59))*100),"")</f>
        <v>-13.817742955115802</v>
      </c>
      <c r="J59" s="839">
        <v>651.25</v>
      </c>
      <c r="K59" s="839">
        <v>1013.28</v>
      </c>
      <c r="L59" s="840">
        <f t="shared" si="26"/>
        <v>-362.03</v>
      </c>
      <c r="M59" s="697">
        <f t="shared" si="27"/>
        <v>-35.728525185536078</v>
      </c>
      <c r="N59" s="839">
        <f t="shared" si="28"/>
        <v>1636.45</v>
      </c>
      <c r="O59" s="839">
        <f t="shared" si="28"/>
        <v>2295.3599999999997</v>
      </c>
      <c r="P59" s="840">
        <f t="shared" si="29"/>
        <v>-658.90999999999963</v>
      </c>
      <c r="Q59" s="697">
        <f t="shared" si="30"/>
        <v>-28.706172452251487</v>
      </c>
    </row>
    <row r="60" spans="1:17" x14ac:dyDescent="0.25">
      <c r="A60" s="702" t="s">
        <v>363</v>
      </c>
      <c r="B60" s="839">
        <v>2320.64</v>
      </c>
      <c r="C60" s="839">
        <v>1711.32</v>
      </c>
      <c r="D60" s="839">
        <f t="shared" si="23"/>
        <v>609.31999999999994</v>
      </c>
      <c r="E60" s="698">
        <f t="shared" si="24"/>
        <v>35.605263772993943</v>
      </c>
      <c r="F60" s="839">
        <v>2320.64</v>
      </c>
      <c r="G60" s="839">
        <v>1711.32</v>
      </c>
      <c r="H60" s="839">
        <f t="shared" si="25"/>
        <v>609.31999999999994</v>
      </c>
      <c r="I60" s="698">
        <f>IFERROR((((F60-G60)/IF(G60&lt;0,-1*G60,G60))*100),"")</f>
        <v>35.605263772993943</v>
      </c>
      <c r="J60" s="839">
        <v>2320.64</v>
      </c>
      <c r="K60" s="839">
        <v>1711.32</v>
      </c>
      <c r="L60" s="839">
        <f t="shared" si="26"/>
        <v>609.31999999999994</v>
      </c>
      <c r="M60" s="698">
        <f t="shared" si="27"/>
        <v>35.605263772993943</v>
      </c>
      <c r="N60" s="839">
        <f t="shared" si="28"/>
        <v>6961.92</v>
      </c>
      <c r="O60" s="839">
        <f t="shared" si="28"/>
        <v>5133.96</v>
      </c>
      <c r="P60" s="839">
        <f t="shared" si="29"/>
        <v>1827.96</v>
      </c>
      <c r="Q60" s="698">
        <f t="shared" si="30"/>
        <v>35.605263772993943</v>
      </c>
    </row>
    <row r="61" spans="1:17" x14ac:dyDescent="0.25">
      <c r="A61" s="702" t="s">
        <v>364</v>
      </c>
      <c r="B61" s="839">
        <v>1488.33</v>
      </c>
      <c r="C61" s="839">
        <v>186.43</v>
      </c>
      <c r="D61" s="839">
        <f t="shared" si="23"/>
        <v>1301.8999999999999</v>
      </c>
      <c r="E61" s="698">
        <f t="shared" si="24"/>
        <v>698.3318135493214</v>
      </c>
      <c r="F61" s="839">
        <v>390.63</v>
      </c>
      <c r="G61" s="839"/>
      <c r="H61" s="839">
        <f t="shared" si="25"/>
        <v>390.63</v>
      </c>
      <c r="I61" s="693" t="s">
        <v>315</v>
      </c>
      <c r="J61" s="839">
        <v>1186.01</v>
      </c>
      <c r="K61" s="839">
        <v>181.39</v>
      </c>
      <c r="L61" s="839">
        <f t="shared" si="26"/>
        <v>1004.62</v>
      </c>
      <c r="M61" s="693">
        <f t="shared" si="27"/>
        <v>553.84530569491153</v>
      </c>
      <c r="N61" s="839">
        <f t="shared" si="28"/>
        <v>3064.9700000000003</v>
      </c>
      <c r="O61" s="839">
        <f t="shared" si="28"/>
        <v>367.82</v>
      </c>
      <c r="P61" s="839">
        <f t="shared" si="29"/>
        <v>2697.15</v>
      </c>
      <c r="Q61" s="698">
        <f t="shared" si="30"/>
        <v>733.27986515143277</v>
      </c>
    </row>
    <row r="62" spans="1:17" x14ac:dyDescent="0.25">
      <c r="A62" s="702" t="s">
        <v>365</v>
      </c>
      <c r="B62" s="840">
        <v>-655.24</v>
      </c>
      <c r="C62" s="839">
        <v>733.61</v>
      </c>
      <c r="D62" s="840">
        <f t="shared" si="23"/>
        <v>-1388.85</v>
      </c>
      <c r="E62" s="697">
        <f t="shared" si="24"/>
        <v>-189.3172121426916</v>
      </c>
      <c r="F62" s="839">
        <v>1941.62</v>
      </c>
      <c r="G62" s="839">
        <v>56.31</v>
      </c>
      <c r="H62" s="839">
        <f t="shared" si="25"/>
        <v>1885.31</v>
      </c>
      <c r="I62" s="698">
        <f>IFERROR((((F62-G62)/IF(G62&lt;0,-1*G62,G62))*100),"")</f>
        <v>3348.0909252353044</v>
      </c>
      <c r="J62" s="839">
        <v>5187.04</v>
      </c>
      <c r="K62" s="839">
        <v>2167.79</v>
      </c>
      <c r="L62" s="839">
        <f t="shared" si="26"/>
        <v>3019.25</v>
      </c>
      <c r="M62" s="698">
        <f t="shared" si="27"/>
        <v>139.27778982281492</v>
      </c>
      <c r="N62" s="839">
        <f t="shared" si="28"/>
        <v>6473.42</v>
      </c>
      <c r="O62" s="839">
        <f t="shared" si="28"/>
        <v>2957.71</v>
      </c>
      <c r="P62" s="839">
        <f t="shared" si="29"/>
        <v>3515.71</v>
      </c>
      <c r="Q62" s="698">
        <f t="shared" si="30"/>
        <v>118.86594696572685</v>
      </c>
    </row>
    <row r="63" spans="1:17" x14ac:dyDescent="0.25">
      <c r="A63" s="702" t="s">
        <v>366</v>
      </c>
      <c r="B63" s="839">
        <v>1734.63</v>
      </c>
      <c r="C63" s="839"/>
      <c r="D63" s="839">
        <f t="shared" si="23"/>
        <v>1734.63</v>
      </c>
      <c r="E63" s="693" t="s">
        <v>315</v>
      </c>
      <c r="F63" s="839">
        <v>1457.61</v>
      </c>
      <c r="G63" s="839"/>
      <c r="H63" s="839">
        <f t="shared" si="25"/>
        <v>1457.61</v>
      </c>
      <c r="I63" s="693" t="s">
        <v>315</v>
      </c>
      <c r="J63" s="839">
        <v>1721.32</v>
      </c>
      <c r="K63" s="839">
        <v>199.03</v>
      </c>
      <c r="L63" s="839">
        <f t="shared" si="26"/>
        <v>1522.29</v>
      </c>
      <c r="M63" s="693">
        <f t="shared" si="27"/>
        <v>764.85454454102398</v>
      </c>
      <c r="N63" s="839">
        <f t="shared" si="28"/>
        <v>4913.5599999999995</v>
      </c>
      <c r="O63" s="839">
        <f t="shared" si="28"/>
        <v>199.03</v>
      </c>
      <c r="P63" s="839">
        <f t="shared" si="29"/>
        <v>4714.53</v>
      </c>
      <c r="Q63" s="693">
        <f t="shared" si="30"/>
        <v>2368.7534542531275</v>
      </c>
    </row>
    <row r="64" spans="1:17" x14ac:dyDescent="0.25">
      <c r="A64" s="702" t="s">
        <v>367</v>
      </c>
      <c r="B64" s="839">
        <v>171.54</v>
      </c>
      <c r="C64" s="839">
        <v>171.54</v>
      </c>
      <c r="D64" s="839">
        <f t="shared" si="23"/>
        <v>0</v>
      </c>
      <c r="E64" s="698">
        <f>IFERROR((((B64-C64)/IF(C64&lt;0,-1*C64,C64))*100),"")</f>
        <v>0</v>
      </c>
      <c r="F64" s="839">
        <v>171.54</v>
      </c>
      <c r="G64" s="839">
        <v>171.54</v>
      </c>
      <c r="H64" s="839">
        <f t="shared" si="25"/>
        <v>0</v>
      </c>
      <c r="I64" s="698">
        <f>IFERROR((((F64-G64)/IF(G64&lt;0,-1*G64,G64))*100),"")</f>
        <v>0</v>
      </c>
      <c r="J64" s="839">
        <v>171.54</v>
      </c>
      <c r="K64" s="839">
        <v>171.54</v>
      </c>
      <c r="L64" s="839">
        <f t="shared" si="26"/>
        <v>0</v>
      </c>
      <c r="M64" s="698">
        <f t="shared" si="27"/>
        <v>0</v>
      </c>
      <c r="N64" s="839">
        <f t="shared" si="28"/>
        <v>514.62</v>
      </c>
      <c r="O64" s="839">
        <f t="shared" si="28"/>
        <v>514.62</v>
      </c>
      <c r="P64" s="839">
        <f t="shared" si="29"/>
        <v>0</v>
      </c>
      <c r="Q64" s="698">
        <f t="shared" si="30"/>
        <v>0</v>
      </c>
    </row>
    <row r="65" spans="1:17" x14ac:dyDescent="0.25">
      <c r="A65" s="702" t="s">
        <v>368</v>
      </c>
      <c r="B65" s="839">
        <v>921.43</v>
      </c>
      <c r="C65" s="839">
        <v>531.04999999999995</v>
      </c>
      <c r="D65" s="839">
        <f t="shared" si="23"/>
        <v>390.38</v>
      </c>
      <c r="E65" s="698">
        <f>IFERROR((((B65-C65)/IF(C65&lt;0,-1*C65,C65))*100),"")</f>
        <v>73.510968835326253</v>
      </c>
      <c r="F65" s="839">
        <v>1158.4100000000001</v>
      </c>
      <c r="G65" s="839">
        <v>650.44000000000005</v>
      </c>
      <c r="H65" s="839">
        <f t="shared" si="25"/>
        <v>507.97</v>
      </c>
      <c r="I65" s="698">
        <f>IFERROR((((F65-G65)/IF(G65&lt;0,-1*G65,G65))*100),"")</f>
        <v>78.096365537174833</v>
      </c>
      <c r="J65" s="839">
        <v>1305.19</v>
      </c>
      <c r="K65" s="839">
        <v>68.28</v>
      </c>
      <c r="L65" s="839">
        <f t="shared" si="26"/>
        <v>1236.9100000000001</v>
      </c>
      <c r="M65" s="698">
        <f t="shared" si="27"/>
        <v>1811.5260691271239</v>
      </c>
      <c r="N65" s="839">
        <f t="shared" si="28"/>
        <v>3385.03</v>
      </c>
      <c r="O65" s="839">
        <f t="shared" si="28"/>
        <v>1249.77</v>
      </c>
      <c r="P65" s="839">
        <f t="shared" si="29"/>
        <v>2135.2600000000002</v>
      </c>
      <c r="Q65" s="698">
        <f t="shared" si="30"/>
        <v>170.85223681157336</v>
      </c>
    </row>
    <row r="66" spans="1:17" x14ac:dyDescent="0.25">
      <c r="A66" s="702" t="s">
        <v>369</v>
      </c>
      <c r="B66" s="839">
        <v>521.74</v>
      </c>
      <c r="C66" s="839">
        <v>13.99</v>
      </c>
      <c r="D66" s="839">
        <f t="shared" si="23"/>
        <v>507.75</v>
      </c>
      <c r="E66" s="698">
        <f>IFERROR((((B66-C66)/IF(C66&lt;0,-1*C66,C66))*100),"")</f>
        <v>3629.3781272337383</v>
      </c>
      <c r="F66" s="839">
        <v>330.74</v>
      </c>
      <c r="G66" s="839">
        <v>68.989999999999995</v>
      </c>
      <c r="H66" s="839">
        <f t="shared" si="25"/>
        <v>261.75</v>
      </c>
      <c r="I66" s="698">
        <f>IFERROR((((F66-G66)/IF(G66&lt;0,-1*G66,G66))*100),"")</f>
        <v>379.40281200173945</v>
      </c>
      <c r="J66" s="839">
        <v>1225.74</v>
      </c>
      <c r="K66" s="839">
        <v>75.41</v>
      </c>
      <c r="L66" s="839">
        <f t="shared" si="26"/>
        <v>1150.33</v>
      </c>
      <c r="M66" s="698">
        <f t="shared" si="27"/>
        <v>1525.4342925341466</v>
      </c>
      <c r="N66" s="839">
        <f t="shared" si="28"/>
        <v>2078.2200000000003</v>
      </c>
      <c r="O66" s="839">
        <f t="shared" si="28"/>
        <v>158.38999999999999</v>
      </c>
      <c r="P66" s="839">
        <f t="shared" si="29"/>
        <v>1919.8300000000004</v>
      </c>
      <c r="Q66" s="698">
        <f t="shared" si="30"/>
        <v>1212.0904097480905</v>
      </c>
    </row>
    <row r="67" spans="1:17" x14ac:dyDescent="0.25">
      <c r="A67" s="702" t="s">
        <v>370</v>
      </c>
      <c r="B67" s="839">
        <v>389.67</v>
      </c>
      <c r="C67" s="839"/>
      <c r="D67" s="839">
        <f t="shared" si="23"/>
        <v>389.67</v>
      </c>
      <c r="E67" s="693" t="s">
        <v>315</v>
      </c>
      <c r="F67" s="839">
        <v>346.4</v>
      </c>
      <c r="G67" s="839"/>
      <c r="H67" s="839">
        <f t="shared" si="25"/>
        <v>346.4</v>
      </c>
      <c r="I67" s="693" t="s">
        <v>315</v>
      </c>
      <c r="J67" s="839"/>
      <c r="K67" s="839"/>
      <c r="L67" s="839"/>
      <c r="M67" s="693" t="s">
        <v>315</v>
      </c>
      <c r="N67" s="839">
        <f>B67+F67+J67</f>
        <v>736.06999999999994</v>
      </c>
      <c r="O67" s="839"/>
      <c r="P67" s="839">
        <f t="shared" si="29"/>
        <v>736.06999999999994</v>
      </c>
      <c r="Q67" s="693" t="s">
        <v>315</v>
      </c>
    </row>
    <row r="68" spans="1:17" x14ac:dyDescent="0.25">
      <c r="A68" s="702" t="s">
        <v>371</v>
      </c>
      <c r="B68" s="839">
        <v>722.8</v>
      </c>
      <c r="C68" s="839"/>
      <c r="D68" s="839">
        <f t="shared" si="23"/>
        <v>722.8</v>
      </c>
      <c r="E68" s="693" t="s">
        <v>315</v>
      </c>
      <c r="F68" s="839">
        <v>259.04000000000002</v>
      </c>
      <c r="G68" s="839"/>
      <c r="H68" s="839">
        <f t="shared" si="25"/>
        <v>259.04000000000002</v>
      </c>
      <c r="I68" s="693" t="s">
        <v>315</v>
      </c>
      <c r="J68" s="839">
        <v>482.82</v>
      </c>
      <c r="K68" s="839"/>
      <c r="L68" s="839">
        <f>(J68-K68)</f>
        <v>482.82</v>
      </c>
      <c r="M68" s="693" t="s">
        <v>315</v>
      </c>
      <c r="N68" s="839">
        <f>B68+F68+J68</f>
        <v>1464.6599999999999</v>
      </c>
      <c r="O68" s="839"/>
      <c r="P68" s="839">
        <f t="shared" si="29"/>
        <v>1464.6599999999999</v>
      </c>
      <c r="Q68" s="693" t="s">
        <v>315</v>
      </c>
    </row>
    <row r="69" spans="1:17" x14ac:dyDescent="0.25">
      <c r="A69" s="702" t="s">
        <v>372</v>
      </c>
      <c r="B69" s="839">
        <v>0</v>
      </c>
      <c r="C69" s="839"/>
      <c r="D69" s="839">
        <f t="shared" si="23"/>
        <v>0</v>
      </c>
      <c r="E69" s="693" t="s">
        <v>315</v>
      </c>
      <c r="F69" s="839">
        <v>4532.6000000000004</v>
      </c>
      <c r="G69" s="839"/>
      <c r="H69" s="839">
        <f t="shared" si="25"/>
        <v>4532.6000000000004</v>
      </c>
      <c r="I69" s="693" t="s">
        <v>315</v>
      </c>
      <c r="J69" s="839"/>
      <c r="K69" s="839"/>
      <c r="L69" s="839"/>
      <c r="M69" s="693" t="s">
        <v>315</v>
      </c>
      <c r="N69" s="839">
        <f>B69+F69+J69</f>
        <v>4532.6000000000004</v>
      </c>
      <c r="O69" s="839"/>
      <c r="P69" s="839">
        <f t="shared" si="29"/>
        <v>4532.6000000000004</v>
      </c>
      <c r="Q69" s="693" t="s">
        <v>315</v>
      </c>
    </row>
    <row r="70" spans="1:17" x14ac:dyDescent="0.25">
      <c r="A70" s="702" t="s">
        <v>373</v>
      </c>
      <c r="B70" s="839"/>
      <c r="C70" s="839">
        <v>15</v>
      </c>
      <c r="D70" s="839">
        <f t="shared" si="23"/>
        <v>-15</v>
      </c>
      <c r="E70" s="693">
        <f>IFERROR((((B70-C70)/IF(C70&lt;0,-1*C70,C70))*100),"")</f>
        <v>-100</v>
      </c>
      <c r="F70" s="839"/>
      <c r="G70" s="839"/>
      <c r="H70" s="839"/>
      <c r="I70" s="693" t="s">
        <v>315</v>
      </c>
      <c r="J70" s="839"/>
      <c r="K70" s="839"/>
      <c r="L70" s="839"/>
      <c r="M70" s="693" t="s">
        <v>315</v>
      </c>
      <c r="N70" s="839"/>
      <c r="O70" s="839">
        <f t="shared" ref="O70:O76" si="31">C70+G70+K70</f>
        <v>15</v>
      </c>
      <c r="P70" s="839">
        <f t="shared" si="29"/>
        <v>-15</v>
      </c>
      <c r="Q70" s="693">
        <f t="shared" ref="Q70:Q76" si="32">IFERROR((((N70-O70)/IF(O70&lt;0,-1*O70,O70))*100),"")</f>
        <v>-100</v>
      </c>
    </row>
    <row r="71" spans="1:17" x14ac:dyDescent="0.25">
      <c r="A71" s="702" t="s">
        <v>469</v>
      </c>
      <c r="B71" s="839"/>
      <c r="C71" s="839"/>
      <c r="D71" s="840"/>
      <c r="E71" s="697" t="s">
        <v>315</v>
      </c>
      <c r="F71" s="839"/>
      <c r="G71" s="839">
        <v>17764</v>
      </c>
      <c r="H71" s="839">
        <f>(F71-G71)</f>
        <v>-17764</v>
      </c>
      <c r="I71" s="693">
        <f>IFERROR((((F71-G71)/IF(G71&lt;0,-1*G71,G71))*100),"")</f>
        <v>-100</v>
      </c>
      <c r="J71" s="839"/>
      <c r="K71" s="839"/>
      <c r="L71" s="839"/>
      <c r="M71" s="693" t="s">
        <v>315</v>
      </c>
      <c r="N71" s="839"/>
      <c r="O71" s="839">
        <f t="shared" si="31"/>
        <v>17764</v>
      </c>
      <c r="P71" s="840">
        <f t="shared" si="29"/>
        <v>-17764</v>
      </c>
      <c r="Q71" s="697">
        <f t="shared" si="32"/>
        <v>-100</v>
      </c>
    </row>
    <row r="72" spans="1:17" x14ac:dyDescent="0.25">
      <c r="A72" s="702" t="s">
        <v>470</v>
      </c>
      <c r="B72" s="839"/>
      <c r="C72" s="839"/>
      <c r="D72" s="839"/>
      <c r="E72" s="693" t="s">
        <v>315</v>
      </c>
      <c r="F72" s="839"/>
      <c r="G72" s="839"/>
      <c r="H72" s="840"/>
      <c r="I72" s="697" t="s">
        <v>315</v>
      </c>
      <c r="J72" s="839"/>
      <c r="K72" s="839">
        <v>2843.93</v>
      </c>
      <c r="L72" s="840">
        <f>(J72-K72)</f>
        <v>-2843.93</v>
      </c>
      <c r="M72" s="697">
        <f>IFERROR((((J72-K72)/IF(K72&lt;0,-1*K72,K72))*100),"")</f>
        <v>-100</v>
      </c>
      <c r="N72" s="839"/>
      <c r="O72" s="839">
        <f t="shared" si="31"/>
        <v>2843.93</v>
      </c>
      <c r="P72" s="840">
        <f t="shared" si="29"/>
        <v>-2843.93</v>
      </c>
      <c r="Q72" s="697">
        <f t="shared" si="32"/>
        <v>-100</v>
      </c>
    </row>
    <row r="73" spans="1:17" outlineLevel="1" x14ac:dyDescent="0.25">
      <c r="A73" s="703" t="s">
        <v>374</v>
      </c>
      <c r="B73" s="841">
        <f>B56+B57+B58+B59+B60+B61+B62+B63+B64+B65+B66+B67+B68+B69+B70+B71+B72</f>
        <v>14316.970000000001</v>
      </c>
      <c r="C73" s="841">
        <f>C56+C57+C58+C59+C60+C61+C62+C63+C64+C65+C66+C67+C68+C69+C70+C71+C72</f>
        <v>13030.03</v>
      </c>
      <c r="D73" s="841">
        <f>(B73-C73)</f>
        <v>1286.9400000000005</v>
      </c>
      <c r="E73" s="701">
        <f>IFERROR((((B73-C73)/IF(C73&lt;0,-1*C73,C73))*100),"")</f>
        <v>9.8767232308751431</v>
      </c>
      <c r="F73" s="841">
        <f>F56+F57+F58+F59+F60+F61+F62+F63+F64+F65+F66+F67+F68+F69+F70+F71+F72</f>
        <v>22650.57</v>
      </c>
      <c r="G73" s="841">
        <f>G56+G57+G58+G59+G60+G61+G62+G63+G64+G65+G66+G67+G68+G69+G70+G71+G72</f>
        <v>27373.78</v>
      </c>
      <c r="H73" s="842">
        <f>(F73-G73)</f>
        <v>-4723.2099999999991</v>
      </c>
      <c r="I73" s="700">
        <f>IFERROR((((F73-G73)/IF(G73&lt;0,-1*G73,G73))*100),"")</f>
        <v>-17.254504127672536</v>
      </c>
      <c r="J73" s="841">
        <f>J56+J57+J58+J59+J60+J61+J62+J63+J64+J65+J66+J67+J68+J69+J70+J71+J72</f>
        <v>22581.37</v>
      </c>
      <c r="K73" s="841">
        <f>K56+K57+K58+K59+K60+K61+K62+K63+K64+K65+K66+K67+K68+K69+K70+K71+K72</f>
        <v>17932.000000000004</v>
      </c>
      <c r="L73" s="845">
        <f>(J73-K73)</f>
        <v>4649.3699999999953</v>
      </c>
      <c r="M73" s="700">
        <f>IFERROR((((J73-K73)/IF(K73&lt;0,-1*K73,K73))*100),"")</f>
        <v>25.927782734775789</v>
      </c>
      <c r="N73" s="841">
        <f>B73+F73+J73</f>
        <v>59548.91</v>
      </c>
      <c r="O73" s="841">
        <f t="shared" si="31"/>
        <v>58335.81</v>
      </c>
      <c r="P73" s="845">
        <f t="shared" si="29"/>
        <v>1213.1000000000058</v>
      </c>
      <c r="Q73" s="846">
        <f t="shared" si="32"/>
        <v>2.0795117098742706</v>
      </c>
    </row>
    <row r="74" spans="1:17" outlineLevel="1" x14ac:dyDescent="0.25">
      <c r="A74" s="696" t="s">
        <v>376</v>
      </c>
      <c r="B74" s="839"/>
      <c r="C74" s="839">
        <v>54580.38</v>
      </c>
      <c r="D74" s="840">
        <f>(B74-C74)</f>
        <v>-54580.38</v>
      </c>
      <c r="E74" s="697">
        <f>IFERROR((((B74-C74)/IF(C74&lt;0,-1*C74,C74))*100),"")</f>
        <v>-100</v>
      </c>
      <c r="F74" s="839"/>
      <c r="G74" s="839"/>
      <c r="H74" s="839"/>
      <c r="I74" s="693" t="s">
        <v>315</v>
      </c>
      <c r="J74" s="839"/>
      <c r="K74" s="839"/>
      <c r="L74" s="839"/>
      <c r="M74" s="693" t="s">
        <v>315</v>
      </c>
      <c r="N74" s="839"/>
      <c r="O74" s="839">
        <f t="shared" si="31"/>
        <v>54580.38</v>
      </c>
      <c r="P74" s="840">
        <f t="shared" si="29"/>
        <v>-54580.38</v>
      </c>
      <c r="Q74" s="697">
        <f t="shared" si="32"/>
        <v>-100</v>
      </c>
    </row>
    <row r="75" spans="1:17" outlineLevel="1" x14ac:dyDescent="0.25">
      <c r="A75" s="699" t="s">
        <v>377</v>
      </c>
      <c r="B75" s="841">
        <f>B25+B26+B27+B28+B29+B30+B36+B42+B48+B55+B73+B74</f>
        <v>96531.98000000001</v>
      </c>
      <c r="C75" s="841">
        <f>C25+C26+C27+C28+C29+C30+C36+C42+C48+C55+C73+C74</f>
        <v>152839.01999999999</v>
      </c>
      <c r="D75" s="842">
        <f>(B75-C75)</f>
        <v>-56307.039999999979</v>
      </c>
      <c r="E75" s="700">
        <f>IFERROR((((B75-C75)/IF(C75&lt;0,-1*C75,C75))*100),"")</f>
        <v>-36.840749175177898</v>
      </c>
      <c r="F75" s="841">
        <f>F25+F26+F27+F28+F29+F30+F36+F42+F48+F55+F73+F74</f>
        <v>112173.43</v>
      </c>
      <c r="G75" s="841">
        <f>G25+G26+G27+G28+G29+G30+G36+G42+G48+G55+G73+G74</f>
        <v>147279.78999999998</v>
      </c>
      <c r="H75" s="842">
        <f>(F75-G75)</f>
        <v>-35106.359999999986</v>
      </c>
      <c r="I75" s="700">
        <f>IFERROR((((F75-G75)/IF(G75&lt;0,-1*G75,G75))*100),"")</f>
        <v>-23.836508729405434</v>
      </c>
      <c r="J75" s="841">
        <f>J25+J26+J27+J28+J29+J30+J36+J42+J48+J55+J73+J74</f>
        <v>126463.12999999998</v>
      </c>
      <c r="K75" s="841">
        <f>K25+K26+K27+K28+K29+K30+K36+K42+K48+K55+K73+K74</f>
        <v>120869.37999999999</v>
      </c>
      <c r="L75" s="842">
        <f>(J75-K75)</f>
        <v>5593.7499999999854</v>
      </c>
      <c r="M75" s="700">
        <f>IFERROR((((J75-K75)/IF(K75&lt;0,-1*K75,K75))*100),"")</f>
        <v>4.6279297535901858</v>
      </c>
      <c r="N75" s="841">
        <f>B75+F75+J75</f>
        <v>335168.53999999998</v>
      </c>
      <c r="O75" s="841">
        <f t="shared" si="31"/>
        <v>420988.18999999994</v>
      </c>
      <c r="P75" s="842">
        <f t="shared" si="29"/>
        <v>-85819.649999999965</v>
      </c>
      <c r="Q75" s="700">
        <f t="shared" si="32"/>
        <v>-20.385286817665829</v>
      </c>
    </row>
    <row r="76" spans="1:17" outlineLevel="1" x14ac:dyDescent="0.25">
      <c r="A76" s="699" t="s">
        <v>249</v>
      </c>
      <c r="B76" s="842">
        <f>B19-B75</f>
        <v>-24384.940000000031</v>
      </c>
      <c r="C76" s="842">
        <f>C19-C75</f>
        <v>-59483.89999999998</v>
      </c>
      <c r="D76" s="841">
        <f>(B76-C76)</f>
        <v>35098.959999999948</v>
      </c>
      <c r="E76" s="701">
        <f>IFERROR((((B76-C76)/IF(C76&lt;0,-1*C76,C76))*100),"")</f>
        <v>59.005815018853767</v>
      </c>
      <c r="F76" s="842">
        <f>F19-F75</f>
        <v>-11811.729999999996</v>
      </c>
      <c r="G76" s="842">
        <f>G19-G75</f>
        <v>-61779.599999999962</v>
      </c>
      <c r="H76" s="841">
        <f>(F76-G76)</f>
        <v>49967.869999999966</v>
      </c>
      <c r="I76" s="701">
        <f>IFERROR((((F76-G76)/IF(G76&lt;0,-1*G76,G76))*100),"")</f>
        <v>80.880857111408943</v>
      </c>
      <c r="J76" s="845">
        <f>J19-J75</f>
        <v>16743.630000000005</v>
      </c>
      <c r="K76" s="842">
        <f>K19-K75</f>
        <v>-131323.97000000003</v>
      </c>
      <c r="L76" s="841">
        <f>(J76-K76)</f>
        <v>148067.60000000003</v>
      </c>
      <c r="M76" s="701">
        <f>IFERROR((((J76-K76)/IF(K76&lt;0,-1*K76,K76))*100),"")</f>
        <v>112.74986584703464</v>
      </c>
      <c r="N76" s="842">
        <f>B76+F76+J76</f>
        <v>-19453.040000000023</v>
      </c>
      <c r="O76" s="842">
        <f t="shared" si="31"/>
        <v>-252587.46999999997</v>
      </c>
      <c r="P76" s="841">
        <f t="shared" si="29"/>
        <v>233134.42999999993</v>
      </c>
      <c r="Q76" s="701">
        <f t="shared" si="32"/>
        <v>92.298493666372266</v>
      </c>
    </row>
    <row r="77" spans="1:17" outlineLevel="1" x14ac:dyDescent="0.25">
      <c r="A77" s="695" t="s">
        <v>250</v>
      </c>
      <c r="B77" s="839"/>
      <c r="C77" s="839"/>
      <c r="D77" s="839"/>
      <c r="E77" s="693" t="s">
        <v>315</v>
      </c>
      <c r="F77" s="839"/>
      <c r="G77" s="839"/>
      <c r="H77" s="839"/>
      <c r="I77" s="693" t="s">
        <v>315</v>
      </c>
      <c r="J77" s="839"/>
      <c r="K77" s="839"/>
      <c r="L77" s="839"/>
      <c r="M77" s="693" t="s">
        <v>315</v>
      </c>
      <c r="N77" s="839"/>
      <c r="O77" s="839"/>
      <c r="P77" s="839"/>
      <c r="Q77" s="693"/>
    </row>
    <row r="78" spans="1:17" outlineLevel="1" x14ac:dyDescent="0.25">
      <c r="A78" s="696" t="s">
        <v>378</v>
      </c>
      <c r="B78" s="839">
        <v>15050</v>
      </c>
      <c r="C78" s="839"/>
      <c r="D78" s="839">
        <f>(B78-C78)</f>
        <v>15050</v>
      </c>
      <c r="E78" s="693" t="s">
        <v>315</v>
      </c>
      <c r="F78" s="839"/>
      <c r="G78" s="839"/>
      <c r="H78" s="839"/>
      <c r="I78" s="693" t="s">
        <v>315</v>
      </c>
      <c r="J78" s="839">
        <v>639.99</v>
      </c>
      <c r="K78" s="839"/>
      <c r="L78" s="839">
        <f>(J78-K78)</f>
        <v>639.99</v>
      </c>
      <c r="M78" s="693" t="s">
        <v>315</v>
      </c>
      <c r="N78" s="839">
        <f>B78+F78+J78</f>
        <v>15689.99</v>
      </c>
      <c r="O78" s="839"/>
      <c r="P78" s="839">
        <f>(N78-O78)</f>
        <v>15689.99</v>
      </c>
      <c r="Q78" s="693" t="s">
        <v>315</v>
      </c>
    </row>
    <row r="79" spans="1:17" outlineLevel="1" x14ac:dyDescent="0.25">
      <c r="A79" s="696" t="s">
        <v>1284</v>
      </c>
      <c r="B79" s="839"/>
      <c r="C79" s="839"/>
      <c r="D79" s="839"/>
      <c r="E79" s="693" t="s">
        <v>315</v>
      </c>
      <c r="F79" s="839"/>
      <c r="G79" s="839"/>
      <c r="H79" s="839"/>
      <c r="I79" s="693" t="s">
        <v>315</v>
      </c>
      <c r="J79" s="839">
        <v>12897.29</v>
      </c>
      <c r="K79" s="839"/>
      <c r="L79" s="839">
        <f>(J79-K79)</f>
        <v>12897.29</v>
      </c>
      <c r="M79" s="693" t="s">
        <v>315</v>
      </c>
      <c r="N79" s="839">
        <f>B79+F79+J79</f>
        <v>12897.29</v>
      </c>
      <c r="O79" s="839"/>
      <c r="P79" s="839">
        <f>(N79-O79)</f>
        <v>12897.29</v>
      </c>
      <c r="Q79" s="693" t="s">
        <v>315</v>
      </c>
    </row>
    <row r="80" spans="1:17" outlineLevel="1" x14ac:dyDescent="0.25">
      <c r="A80" s="699" t="s">
        <v>379</v>
      </c>
      <c r="B80" s="841">
        <f>B78+B79</f>
        <v>15050</v>
      </c>
      <c r="C80" s="841"/>
      <c r="D80" s="841">
        <f>(B80-C80)</f>
        <v>15050</v>
      </c>
      <c r="E80" s="704" t="s">
        <v>315</v>
      </c>
      <c r="F80" s="841"/>
      <c r="G80" s="841"/>
      <c r="H80" s="841"/>
      <c r="I80" s="704" t="s">
        <v>315</v>
      </c>
      <c r="J80" s="841">
        <f>J78+J79</f>
        <v>13537.28</v>
      </c>
      <c r="K80" s="841"/>
      <c r="L80" s="841">
        <f>(J80-K80)</f>
        <v>13537.28</v>
      </c>
      <c r="M80" s="704" t="s">
        <v>315</v>
      </c>
      <c r="N80" s="841">
        <f>B80+F80+J80</f>
        <v>28587.279999999999</v>
      </c>
      <c r="O80" s="841"/>
      <c r="P80" s="841">
        <f>(N80-O80)</f>
        <v>28587.279999999999</v>
      </c>
      <c r="Q80" s="704" t="s">
        <v>315</v>
      </c>
    </row>
    <row r="81" spans="1:17" outlineLevel="1" x14ac:dyDescent="0.25">
      <c r="A81" s="695" t="s">
        <v>254</v>
      </c>
      <c r="B81" s="839"/>
      <c r="C81" s="839"/>
      <c r="D81" s="839"/>
      <c r="E81" s="693" t="s">
        <v>315</v>
      </c>
      <c r="F81" s="839"/>
      <c r="G81" s="839"/>
      <c r="H81" s="839"/>
      <c r="I81" s="693" t="s">
        <v>315</v>
      </c>
      <c r="J81" s="839"/>
      <c r="K81" s="839"/>
      <c r="L81" s="839"/>
      <c r="M81" s="693" t="s">
        <v>315</v>
      </c>
      <c r="N81" s="839"/>
      <c r="O81" s="839"/>
      <c r="P81" s="839"/>
      <c r="Q81" s="693"/>
    </row>
    <row r="82" spans="1:17" outlineLevel="1" x14ac:dyDescent="0.25">
      <c r="A82" s="696" t="s">
        <v>1066</v>
      </c>
      <c r="B82" s="839"/>
      <c r="C82" s="839"/>
      <c r="D82" s="839"/>
      <c r="E82" s="693" t="s">
        <v>315</v>
      </c>
      <c r="F82" s="839">
        <v>1816.79</v>
      </c>
      <c r="G82" s="839"/>
      <c r="H82" s="839">
        <f t="shared" ref="H82:H89" si="33">(F82-G82)</f>
        <v>1816.79</v>
      </c>
      <c r="I82" s="693" t="s">
        <v>315</v>
      </c>
      <c r="J82" s="839">
        <v>17.04</v>
      </c>
      <c r="K82" s="839"/>
      <c r="L82" s="839">
        <f t="shared" ref="L82:L89" si="34">(J82-K82)</f>
        <v>17.04</v>
      </c>
      <c r="M82" s="693" t="s">
        <v>315</v>
      </c>
      <c r="N82" s="839">
        <f t="shared" ref="N82:O89" si="35">B82+F82+J82</f>
        <v>1833.83</v>
      </c>
      <c r="O82" s="839"/>
      <c r="P82" s="839">
        <f t="shared" ref="P82:P89" si="36">(N82-O82)</f>
        <v>1833.83</v>
      </c>
      <c r="Q82" s="693" t="s">
        <v>315</v>
      </c>
    </row>
    <row r="83" spans="1:17" outlineLevel="1" x14ac:dyDescent="0.25">
      <c r="A83" s="696" t="s">
        <v>380</v>
      </c>
      <c r="B83" s="839">
        <v>21510.5</v>
      </c>
      <c r="C83" s="839">
        <v>16899.16</v>
      </c>
      <c r="D83" s="839">
        <f t="shared" ref="D83:D89" si="37">(B83-C83)</f>
        <v>4611.34</v>
      </c>
      <c r="E83" s="698">
        <f t="shared" ref="E83:E89" si="38">IFERROR((((B83-C83)/IF(C83&lt;0,-1*C83,C83))*100),"")</f>
        <v>27.28739179935571</v>
      </c>
      <c r="F83" s="839">
        <v>20760</v>
      </c>
      <c r="G83" s="839">
        <v>16962.53</v>
      </c>
      <c r="H83" s="839">
        <f t="shared" si="33"/>
        <v>3797.4700000000012</v>
      </c>
      <c r="I83" s="698">
        <f t="shared" ref="I83:I89" si="39">IFERROR((((F83-G83)/IF(G83&lt;0,-1*G83,G83))*100),"")</f>
        <v>22.387403294201995</v>
      </c>
      <c r="J83" s="839">
        <v>27038.720000000001</v>
      </c>
      <c r="K83" s="839">
        <v>16704.25</v>
      </c>
      <c r="L83" s="839">
        <f t="shared" si="34"/>
        <v>10334.470000000001</v>
      </c>
      <c r="M83" s="698">
        <f t="shared" ref="M83:M89" si="40">IFERROR((((J83-K83)/IF(K83&lt;0,-1*K83,K83))*100),"")</f>
        <v>61.867309217714059</v>
      </c>
      <c r="N83" s="839">
        <f t="shared" si="35"/>
        <v>69309.22</v>
      </c>
      <c r="O83" s="839">
        <f t="shared" si="35"/>
        <v>50565.94</v>
      </c>
      <c r="P83" s="839">
        <f t="shared" si="36"/>
        <v>18743.28</v>
      </c>
      <c r="Q83" s="698">
        <f t="shared" ref="Q83:Q89" si="41">IFERROR((((N83-O83)/IF(O83&lt;0,-1*O83,O83))*100),"")</f>
        <v>37.067005972795123</v>
      </c>
    </row>
    <row r="84" spans="1:17" outlineLevel="1" x14ac:dyDescent="0.25">
      <c r="A84" s="696" t="s">
        <v>381</v>
      </c>
      <c r="B84" s="839">
        <v>9720.17</v>
      </c>
      <c r="C84" s="839">
        <v>7859.18</v>
      </c>
      <c r="D84" s="839">
        <f t="shared" si="37"/>
        <v>1860.9899999999998</v>
      </c>
      <c r="E84" s="698">
        <f t="shared" si="38"/>
        <v>23.679187905099511</v>
      </c>
      <c r="F84" s="839">
        <v>8887.16</v>
      </c>
      <c r="G84" s="839">
        <v>7101.1</v>
      </c>
      <c r="H84" s="839">
        <f t="shared" si="33"/>
        <v>1786.0599999999995</v>
      </c>
      <c r="I84" s="698">
        <f t="shared" si="39"/>
        <v>25.151877878075219</v>
      </c>
      <c r="J84" s="839">
        <v>10169.379999999999</v>
      </c>
      <c r="K84" s="839">
        <v>7861.56</v>
      </c>
      <c r="L84" s="839">
        <f t="shared" si="34"/>
        <v>2307.8199999999988</v>
      </c>
      <c r="M84" s="698">
        <f t="shared" si="40"/>
        <v>29.35575127582819</v>
      </c>
      <c r="N84" s="839">
        <f t="shared" si="35"/>
        <v>28776.71</v>
      </c>
      <c r="O84" s="839">
        <f t="shared" si="35"/>
        <v>22821.84</v>
      </c>
      <c r="P84" s="839">
        <f t="shared" si="36"/>
        <v>5954.869999999999</v>
      </c>
      <c r="Q84" s="698">
        <f t="shared" si="41"/>
        <v>26.092856667122366</v>
      </c>
    </row>
    <row r="85" spans="1:17" outlineLevel="1" x14ac:dyDescent="0.25">
      <c r="A85" s="696" t="s">
        <v>382</v>
      </c>
      <c r="B85" s="839">
        <v>4623</v>
      </c>
      <c r="C85" s="839">
        <v>707.42</v>
      </c>
      <c r="D85" s="839">
        <f t="shared" si="37"/>
        <v>3915.58</v>
      </c>
      <c r="E85" s="698">
        <f t="shared" si="38"/>
        <v>553.50145599502423</v>
      </c>
      <c r="F85" s="839">
        <v>4623</v>
      </c>
      <c r="G85" s="839">
        <v>707.42</v>
      </c>
      <c r="H85" s="839">
        <f t="shared" si="33"/>
        <v>3915.58</v>
      </c>
      <c r="I85" s="698">
        <f t="shared" si="39"/>
        <v>553.50145599502423</v>
      </c>
      <c r="J85" s="839">
        <v>4746.6000000000004</v>
      </c>
      <c r="K85" s="839">
        <v>836.42</v>
      </c>
      <c r="L85" s="839">
        <f t="shared" si="34"/>
        <v>3910.1800000000003</v>
      </c>
      <c r="M85" s="698">
        <f t="shared" si="40"/>
        <v>467.4900169771168</v>
      </c>
      <c r="N85" s="839">
        <f t="shared" si="35"/>
        <v>13992.6</v>
      </c>
      <c r="O85" s="839">
        <f t="shared" si="35"/>
        <v>2251.2599999999998</v>
      </c>
      <c r="P85" s="839">
        <f t="shared" si="36"/>
        <v>11741.34</v>
      </c>
      <c r="Q85" s="698">
        <f t="shared" si="41"/>
        <v>521.54526798326276</v>
      </c>
    </row>
    <row r="86" spans="1:17" outlineLevel="1" x14ac:dyDescent="0.25">
      <c r="A86" s="696" t="s">
        <v>383</v>
      </c>
      <c r="B86" s="839">
        <v>12988.8</v>
      </c>
      <c r="C86" s="839">
        <v>12988.8</v>
      </c>
      <c r="D86" s="839">
        <f t="shared" si="37"/>
        <v>0</v>
      </c>
      <c r="E86" s="698">
        <f t="shared" si="38"/>
        <v>0</v>
      </c>
      <c r="F86" s="839">
        <v>12988.8</v>
      </c>
      <c r="G86" s="839">
        <v>12988.8</v>
      </c>
      <c r="H86" s="839">
        <f t="shared" si="33"/>
        <v>0</v>
      </c>
      <c r="I86" s="698">
        <f t="shared" si="39"/>
        <v>0</v>
      </c>
      <c r="J86" s="839">
        <v>12988.8</v>
      </c>
      <c r="K86" s="839">
        <v>12988.8</v>
      </c>
      <c r="L86" s="839">
        <f t="shared" si="34"/>
        <v>0</v>
      </c>
      <c r="M86" s="698">
        <f t="shared" si="40"/>
        <v>0</v>
      </c>
      <c r="N86" s="839">
        <f t="shared" si="35"/>
        <v>38966.399999999994</v>
      </c>
      <c r="O86" s="839">
        <f t="shared" si="35"/>
        <v>38966.399999999994</v>
      </c>
      <c r="P86" s="839">
        <f t="shared" si="36"/>
        <v>0</v>
      </c>
      <c r="Q86" s="698">
        <f t="shared" si="41"/>
        <v>0</v>
      </c>
    </row>
    <row r="87" spans="1:17" outlineLevel="1" x14ac:dyDescent="0.25">
      <c r="A87" s="699" t="s">
        <v>384</v>
      </c>
      <c r="B87" s="841">
        <f>B82+B83+B84+B85+B86</f>
        <v>48842.47</v>
      </c>
      <c r="C87" s="841">
        <f>C82+C83+C84+C85+C86</f>
        <v>38454.559999999998</v>
      </c>
      <c r="D87" s="841">
        <f t="shared" si="37"/>
        <v>10387.910000000003</v>
      </c>
      <c r="E87" s="701">
        <f t="shared" si="38"/>
        <v>27.013467323511186</v>
      </c>
      <c r="F87" s="841">
        <f>F82+F83+F84+F85+F86</f>
        <v>49075.75</v>
      </c>
      <c r="G87" s="841">
        <f>G82+G83+G84+G85+G86</f>
        <v>37759.849999999991</v>
      </c>
      <c r="H87" s="841">
        <f t="shared" si="33"/>
        <v>11315.900000000009</v>
      </c>
      <c r="I87" s="701">
        <f t="shared" si="39"/>
        <v>29.968074555380941</v>
      </c>
      <c r="J87" s="841">
        <f>J82+J83+J84+J85+J86</f>
        <v>54960.539999999994</v>
      </c>
      <c r="K87" s="841">
        <f>K82+K83+K84+K85+K86</f>
        <v>38391.03</v>
      </c>
      <c r="L87" s="841">
        <f t="shared" si="34"/>
        <v>16569.509999999995</v>
      </c>
      <c r="M87" s="701">
        <f t="shared" si="40"/>
        <v>43.159847495625918</v>
      </c>
      <c r="N87" s="841">
        <f t="shared" si="35"/>
        <v>152878.76</v>
      </c>
      <c r="O87" s="841">
        <f t="shared" si="35"/>
        <v>114605.43999999999</v>
      </c>
      <c r="P87" s="841">
        <f t="shared" si="36"/>
        <v>38273.320000000022</v>
      </c>
      <c r="Q87" s="701">
        <f t="shared" si="41"/>
        <v>33.395727113826382</v>
      </c>
    </row>
    <row r="88" spans="1:17" outlineLevel="1" x14ac:dyDescent="0.25">
      <c r="A88" s="699" t="s">
        <v>260</v>
      </c>
      <c r="B88" s="842">
        <f>B80-B87</f>
        <v>-33792.47</v>
      </c>
      <c r="C88" s="842">
        <f>C80-C87</f>
        <v>-38454.559999999998</v>
      </c>
      <c r="D88" s="841">
        <f t="shared" si="37"/>
        <v>4662.0899999999965</v>
      </c>
      <c r="E88" s="701">
        <f t="shared" si="38"/>
        <v>12.123633712100714</v>
      </c>
      <c r="F88" s="842">
        <f>F80-F87</f>
        <v>-49075.75</v>
      </c>
      <c r="G88" s="842">
        <f>G80-G87</f>
        <v>-37759.849999999991</v>
      </c>
      <c r="H88" s="842">
        <f t="shared" si="33"/>
        <v>-11315.900000000009</v>
      </c>
      <c r="I88" s="700">
        <f t="shared" si="39"/>
        <v>-29.968074555380941</v>
      </c>
      <c r="J88" s="842">
        <f>J80-J87</f>
        <v>-41423.259999999995</v>
      </c>
      <c r="K88" s="842">
        <f>K80-K87</f>
        <v>-38391.03</v>
      </c>
      <c r="L88" s="842">
        <f t="shared" si="34"/>
        <v>-3032.2299999999959</v>
      </c>
      <c r="M88" s="700">
        <f t="shared" si="40"/>
        <v>-7.8982772798750016</v>
      </c>
      <c r="N88" s="842">
        <f t="shared" si="35"/>
        <v>-124291.48</v>
      </c>
      <c r="O88" s="842">
        <f t="shared" si="35"/>
        <v>-114605.43999999999</v>
      </c>
      <c r="P88" s="842">
        <f t="shared" si="36"/>
        <v>-9686.0400000000081</v>
      </c>
      <c r="Q88" s="700">
        <f t="shared" si="41"/>
        <v>-8.4516406900056484</v>
      </c>
    </row>
    <row r="89" spans="1:17" outlineLevel="1" x14ac:dyDescent="0.25">
      <c r="A89" s="699" t="s">
        <v>132</v>
      </c>
      <c r="B89" s="842">
        <f>B76+B88</f>
        <v>-58177.410000000033</v>
      </c>
      <c r="C89" s="842">
        <f>C76+C88</f>
        <v>-97938.459999999977</v>
      </c>
      <c r="D89" s="841">
        <f t="shared" si="37"/>
        <v>39761.049999999945</v>
      </c>
      <c r="E89" s="701">
        <f t="shared" si="38"/>
        <v>40.597993883097566</v>
      </c>
      <c r="F89" s="842">
        <f>F76+F88</f>
        <v>-60887.479999999996</v>
      </c>
      <c r="G89" s="842">
        <f>G76+G88</f>
        <v>-99539.449999999953</v>
      </c>
      <c r="H89" s="841">
        <f t="shared" si="33"/>
        <v>38651.969999999958</v>
      </c>
      <c r="I89" s="701">
        <f t="shared" si="39"/>
        <v>38.830805273687943</v>
      </c>
      <c r="J89" s="842">
        <f>J76+J88</f>
        <v>-24679.62999999999</v>
      </c>
      <c r="K89" s="842">
        <f>K76+K88</f>
        <v>-169715.00000000003</v>
      </c>
      <c r="L89" s="841">
        <f t="shared" si="34"/>
        <v>145035.37000000005</v>
      </c>
      <c r="M89" s="701">
        <f t="shared" si="40"/>
        <v>85.458191674277487</v>
      </c>
      <c r="N89" s="842">
        <f t="shared" si="35"/>
        <v>-143744.52000000002</v>
      </c>
      <c r="O89" s="842">
        <f t="shared" si="35"/>
        <v>-367192.90999999992</v>
      </c>
      <c r="P89" s="841">
        <f t="shared" si="36"/>
        <v>223448.3899999999</v>
      </c>
      <c r="Q89" s="701">
        <f t="shared" si="41"/>
        <v>60.853133030264651</v>
      </c>
    </row>
    <row r="90" spans="1:17" outlineLevel="1" x14ac:dyDescent="0.25">
      <c r="A90" s="705"/>
      <c r="B90" s="706"/>
      <c r="C90" s="706"/>
      <c r="D90" s="706"/>
      <c r="E90" s="707"/>
      <c r="F90" s="706"/>
      <c r="G90" s="706"/>
      <c r="H90" s="706"/>
      <c r="I90" s="707"/>
      <c r="J90" s="706"/>
      <c r="K90" s="706"/>
      <c r="L90" s="706"/>
      <c r="M90" s="707"/>
      <c r="N90" s="843"/>
      <c r="O90" s="843"/>
      <c r="P90" s="843"/>
      <c r="Q90" s="708"/>
    </row>
    <row r="91" spans="1:17" ht="15.75" thickBot="1" x14ac:dyDescent="0.3">
      <c r="J91" s="690"/>
      <c r="K91" s="690"/>
      <c r="L91" s="690"/>
      <c r="N91" s="844"/>
      <c r="O91" s="844"/>
      <c r="P91" s="844"/>
    </row>
    <row r="92" spans="1:17" x14ac:dyDescent="0.25">
      <c r="A92" s="528" t="s">
        <v>261</v>
      </c>
      <c r="B92" s="531">
        <f>+B80+B76</f>
        <v>-9334.9400000000314</v>
      </c>
      <c r="C92" s="529">
        <f>+C80+C76</f>
        <v>-59483.89999999998</v>
      </c>
      <c r="D92" s="529">
        <f>+D80+D76</f>
        <v>50148.959999999948</v>
      </c>
      <c r="E92" s="532">
        <f>IFERROR((((B92-C92)/IF(C92&lt;0,-1*C92,C92))*100),"")</f>
        <v>84.306778809055842</v>
      </c>
      <c r="F92" s="531">
        <f>+F80+F76</f>
        <v>-11811.729999999996</v>
      </c>
      <c r="G92" s="529">
        <f>+G80+G76</f>
        <v>-61779.599999999962</v>
      </c>
      <c r="H92" s="529">
        <f>+H80+H76</f>
        <v>49967.869999999966</v>
      </c>
      <c r="I92" s="532">
        <f>IFERROR((((F92-G92)/IF(G92&lt;0,-1*G92,G92))*100),"")</f>
        <v>80.880857111408943</v>
      </c>
      <c r="J92" s="531">
        <f>+J80+J76</f>
        <v>30280.910000000003</v>
      </c>
      <c r="K92" s="529">
        <f>+K80+K76</f>
        <v>-131323.97000000003</v>
      </c>
      <c r="L92" s="529">
        <f>+L80+L76</f>
        <v>161604.88000000003</v>
      </c>
      <c r="M92" s="532">
        <f>IFERROR((((J92-K92)/IF(K92&lt;0,-1*K92,K92))*100),"")</f>
        <v>123.05817437593456</v>
      </c>
      <c r="N92" s="531">
        <f>+N80+N76</f>
        <v>9134.2399999999761</v>
      </c>
      <c r="O92" s="529">
        <f>+O80+O76</f>
        <v>-252587.46999999997</v>
      </c>
      <c r="P92" s="529">
        <f>+P80+P76</f>
        <v>261721.70999999993</v>
      </c>
      <c r="Q92" s="532">
        <f>IFERROR((((N92-O92)/IF(O92&lt;0,-1*O92,O92))*100),"")</f>
        <v>103.61626805953597</v>
      </c>
    </row>
    <row r="93" spans="1:17" x14ac:dyDescent="0.25">
      <c r="A93" s="514"/>
      <c r="B93" s="272"/>
      <c r="C93" s="462"/>
      <c r="D93" s="462"/>
      <c r="E93" s="533"/>
      <c r="F93" s="462"/>
      <c r="G93" s="462"/>
      <c r="H93" s="462"/>
      <c r="I93" s="533"/>
      <c r="J93" s="462"/>
      <c r="K93" s="462"/>
      <c r="L93" s="462"/>
      <c r="M93" s="533"/>
      <c r="N93" s="462"/>
      <c r="O93" s="462"/>
      <c r="P93" s="462"/>
      <c r="Q93" s="533"/>
    </row>
    <row r="94" spans="1:17" x14ac:dyDescent="0.25">
      <c r="A94" s="514" t="s">
        <v>262</v>
      </c>
      <c r="B94" s="272">
        <f>B85+B86</f>
        <v>17611.8</v>
      </c>
      <c r="C94" s="462">
        <f>C85+C86</f>
        <v>13696.22</v>
      </c>
      <c r="D94" s="462">
        <f>D85+D86</f>
        <v>3915.58</v>
      </c>
      <c r="E94" s="533">
        <f t="shared" ref="E94:E101" si="42">IFERROR((((B94-C94)/IF(C94&lt;0,-1*C94,C94))*100),"")</f>
        <v>28.588763907121823</v>
      </c>
      <c r="F94" s="272">
        <f>F85+F86</f>
        <v>17611.8</v>
      </c>
      <c r="G94" s="462">
        <f>G85+G86</f>
        <v>13696.22</v>
      </c>
      <c r="H94" s="462">
        <f>H85+H86</f>
        <v>3915.58</v>
      </c>
      <c r="I94" s="533">
        <f t="shared" ref="I94:I101" si="43">IFERROR((((F94-G94)/IF(G94&lt;0,-1*G94,G94))*100),"")</f>
        <v>28.588763907121823</v>
      </c>
      <c r="J94" s="272">
        <f>J85+J86</f>
        <v>17735.400000000001</v>
      </c>
      <c r="K94" s="462">
        <f>K85+K86</f>
        <v>13825.22</v>
      </c>
      <c r="L94" s="462">
        <f>L85+L86</f>
        <v>3910.1800000000003</v>
      </c>
      <c r="M94" s="533">
        <f t="shared" ref="M94:M101" si="44">IFERROR((((J94-K94)/IF(K94&lt;0,-1*K94,K94))*100),"")</f>
        <v>28.28294956608287</v>
      </c>
      <c r="N94" s="272">
        <f>N85+N86</f>
        <v>52958.999999999993</v>
      </c>
      <c r="O94" s="462">
        <f>O85+O86</f>
        <v>41217.659999999996</v>
      </c>
      <c r="P94" s="462">
        <f>P85+P86</f>
        <v>11741.34</v>
      </c>
      <c r="Q94" s="533">
        <f t="shared" ref="Q94:Q101" si="45">IFERROR((((N94-O94)/IF(O94&lt;0,-1*O94,O94))*100),"")</f>
        <v>28.486187716624372</v>
      </c>
    </row>
    <row r="95" spans="1:17" x14ac:dyDescent="0.25">
      <c r="A95" s="530" t="s">
        <v>263</v>
      </c>
      <c r="B95" s="519">
        <f t="shared" ref="B95:D95" si="46">++B92-B94</f>
        <v>-26946.740000000031</v>
      </c>
      <c r="C95" s="527">
        <f t="shared" si="46"/>
        <v>-73180.119999999981</v>
      </c>
      <c r="D95" s="527">
        <f t="shared" si="46"/>
        <v>46233.379999999946</v>
      </c>
      <c r="E95" s="534">
        <f t="shared" si="42"/>
        <v>63.177513237201524</v>
      </c>
      <c r="F95" s="527">
        <f t="shared" ref="F95:G95" si="47">++F92-F94</f>
        <v>-29423.529999999995</v>
      </c>
      <c r="G95" s="527">
        <f t="shared" si="47"/>
        <v>-75475.819999999963</v>
      </c>
      <c r="H95" s="527">
        <f t="shared" ref="H95" si="48">++H92-H94</f>
        <v>46052.289999999964</v>
      </c>
      <c r="I95" s="534">
        <f t="shared" si="43"/>
        <v>61.015951863788942</v>
      </c>
      <c r="J95" s="527">
        <f t="shared" ref="J95:L95" si="49">++J92-J94</f>
        <v>12545.510000000002</v>
      </c>
      <c r="K95" s="527">
        <f t="shared" si="49"/>
        <v>-145149.19000000003</v>
      </c>
      <c r="L95" s="527">
        <f t="shared" si="49"/>
        <v>157694.70000000004</v>
      </c>
      <c r="M95" s="534">
        <f t="shared" si="44"/>
        <v>108.64318292096567</v>
      </c>
      <c r="N95" s="527">
        <f t="shared" ref="N95:P95" si="50">++N92-N94</f>
        <v>-43824.760000000017</v>
      </c>
      <c r="O95" s="527">
        <f t="shared" si="50"/>
        <v>-293805.12999999995</v>
      </c>
      <c r="P95" s="527">
        <f t="shared" si="50"/>
        <v>249980.36999999994</v>
      </c>
      <c r="Q95" s="534">
        <f t="shared" si="45"/>
        <v>85.083732200319304</v>
      </c>
    </row>
    <row r="96" spans="1:17" x14ac:dyDescent="0.25">
      <c r="A96" s="515"/>
      <c r="B96" s="273"/>
      <c r="C96" s="463"/>
      <c r="D96" s="463"/>
      <c r="E96" s="533" t="str">
        <f t="shared" si="42"/>
        <v/>
      </c>
      <c r="F96" s="463"/>
      <c r="G96" s="463"/>
      <c r="H96" s="463"/>
      <c r="I96" s="533" t="str">
        <f t="shared" si="43"/>
        <v/>
      </c>
      <c r="J96" s="463"/>
      <c r="K96" s="463"/>
      <c r="L96" s="463"/>
      <c r="M96" s="533" t="str">
        <f t="shared" si="44"/>
        <v/>
      </c>
      <c r="N96" s="463"/>
      <c r="O96" s="463"/>
      <c r="P96" s="463"/>
      <c r="Q96" s="533" t="str">
        <f t="shared" si="45"/>
        <v/>
      </c>
    </row>
    <row r="97" spans="1:17" x14ac:dyDescent="0.25">
      <c r="A97" s="514" t="s">
        <v>1076</v>
      </c>
      <c r="B97" s="272">
        <f>++B83+B84+B82</f>
        <v>31230.67</v>
      </c>
      <c r="C97" s="462">
        <f t="shared" ref="C97:D97" si="51">++C83+C84+C82</f>
        <v>24758.34</v>
      </c>
      <c r="D97" s="462">
        <f t="shared" si="51"/>
        <v>6472.33</v>
      </c>
      <c r="E97" s="533">
        <f t="shared" si="42"/>
        <v>26.142019214535377</v>
      </c>
      <c r="F97" s="272">
        <f>++F83+F84+F82</f>
        <v>31463.95</v>
      </c>
      <c r="G97" s="462">
        <f t="shared" ref="G97:H97" si="52">++G83+G84+G82</f>
        <v>24063.629999999997</v>
      </c>
      <c r="H97" s="462">
        <f t="shared" si="52"/>
        <v>7400.3200000000006</v>
      </c>
      <c r="I97" s="533">
        <f t="shared" si="43"/>
        <v>30.75313242432669</v>
      </c>
      <c r="J97" s="272">
        <f>++J83+J84+J82</f>
        <v>37225.14</v>
      </c>
      <c r="K97" s="462">
        <f t="shared" ref="K97:L97" si="53">++K83+K84+K82</f>
        <v>24565.81</v>
      </c>
      <c r="L97" s="462">
        <f t="shared" si="53"/>
        <v>12659.330000000002</v>
      </c>
      <c r="M97" s="533">
        <f t="shared" si="44"/>
        <v>51.532312592175863</v>
      </c>
      <c r="N97" s="272">
        <f>++N83+N84+N82</f>
        <v>99919.76</v>
      </c>
      <c r="O97" s="462">
        <f t="shared" ref="O97:P97" si="54">++O83+O84+O82</f>
        <v>73387.78</v>
      </c>
      <c r="P97" s="462">
        <f t="shared" si="54"/>
        <v>26531.979999999996</v>
      </c>
      <c r="Q97" s="533">
        <f t="shared" si="45"/>
        <v>36.153130671073569</v>
      </c>
    </row>
    <row r="98" spans="1:17" x14ac:dyDescent="0.25">
      <c r="A98" s="530" t="s">
        <v>264</v>
      </c>
      <c r="B98" s="519">
        <f t="shared" ref="B98:D98" si="55">++B95-B97</f>
        <v>-58177.410000000033</v>
      </c>
      <c r="C98" s="527">
        <f t="shared" si="55"/>
        <v>-97938.459999999977</v>
      </c>
      <c r="D98" s="527">
        <f t="shared" si="55"/>
        <v>39761.049999999945</v>
      </c>
      <c r="E98" s="534">
        <f t="shared" si="42"/>
        <v>40.597993883097566</v>
      </c>
      <c r="F98" s="527">
        <f t="shared" ref="F98:G98" si="56">++F95-F97</f>
        <v>-60887.479999999996</v>
      </c>
      <c r="G98" s="527">
        <f t="shared" si="56"/>
        <v>-99539.449999999953</v>
      </c>
      <c r="H98" s="527">
        <f t="shared" ref="H98" si="57">++H95-H97</f>
        <v>38651.969999999965</v>
      </c>
      <c r="I98" s="534">
        <f t="shared" si="43"/>
        <v>38.830805273687943</v>
      </c>
      <c r="J98" s="527">
        <f t="shared" ref="J98:L98" si="58">++J95-J97</f>
        <v>-24679.629999999997</v>
      </c>
      <c r="K98" s="527">
        <f t="shared" si="58"/>
        <v>-169715.00000000003</v>
      </c>
      <c r="L98" s="527">
        <f t="shared" si="58"/>
        <v>145035.37000000005</v>
      </c>
      <c r="M98" s="534">
        <f t="shared" si="44"/>
        <v>85.458191674277458</v>
      </c>
      <c r="N98" s="527">
        <f t="shared" ref="N98:P98" si="59">++N95-N97</f>
        <v>-143744.52000000002</v>
      </c>
      <c r="O98" s="527">
        <f t="shared" si="59"/>
        <v>-367192.90999999992</v>
      </c>
      <c r="P98" s="527">
        <f t="shared" si="59"/>
        <v>223448.38999999996</v>
      </c>
      <c r="Q98" s="534">
        <f t="shared" si="45"/>
        <v>60.853133030264651</v>
      </c>
    </row>
    <row r="99" spans="1:17" x14ac:dyDescent="0.25">
      <c r="A99" s="515"/>
      <c r="B99" s="273"/>
      <c r="C99" s="463"/>
      <c r="D99" s="463"/>
      <c r="E99" s="533" t="str">
        <f t="shared" si="42"/>
        <v/>
      </c>
      <c r="F99" s="463"/>
      <c r="G99" s="463"/>
      <c r="H99" s="463"/>
      <c r="I99" s="533" t="str">
        <f t="shared" si="43"/>
        <v/>
      </c>
      <c r="J99" s="463"/>
      <c r="K99" s="463"/>
      <c r="L99" s="463"/>
      <c r="M99" s="533" t="str">
        <f t="shared" si="44"/>
        <v/>
      </c>
      <c r="N99" s="463"/>
      <c r="O99" s="463"/>
      <c r="P99" s="463"/>
      <c r="Q99" s="533" t="str">
        <f t="shared" si="45"/>
        <v/>
      </c>
    </row>
    <row r="100" spans="1:17" x14ac:dyDescent="0.25">
      <c r="A100" s="514" t="s">
        <v>265</v>
      </c>
      <c r="B100" s="272"/>
      <c r="C100" s="462"/>
      <c r="D100" s="462"/>
      <c r="E100" s="533" t="str">
        <f t="shared" si="42"/>
        <v/>
      </c>
      <c r="F100" s="462"/>
      <c r="G100" s="462"/>
      <c r="H100" s="462"/>
      <c r="I100" s="533" t="str">
        <f t="shared" si="43"/>
        <v/>
      </c>
      <c r="J100" s="462"/>
      <c r="K100" s="462"/>
      <c r="L100" s="462"/>
      <c r="M100" s="533" t="str">
        <f t="shared" si="44"/>
        <v/>
      </c>
      <c r="N100" s="462"/>
      <c r="O100" s="462"/>
      <c r="P100" s="462"/>
      <c r="Q100" s="533" t="str">
        <f t="shared" si="45"/>
        <v/>
      </c>
    </row>
    <row r="101" spans="1:17" x14ac:dyDescent="0.25">
      <c r="A101" s="530" t="s">
        <v>266</v>
      </c>
      <c r="B101" s="519">
        <f t="shared" ref="B101:D101" si="60">++B98-B100</f>
        <v>-58177.410000000033</v>
      </c>
      <c r="C101" s="527">
        <f t="shared" si="60"/>
        <v>-97938.459999999977</v>
      </c>
      <c r="D101" s="527">
        <f t="shared" si="60"/>
        <v>39761.049999999945</v>
      </c>
      <c r="E101" s="534">
        <f t="shared" si="42"/>
        <v>40.597993883097566</v>
      </c>
      <c r="F101" s="527">
        <f t="shared" ref="F101:G101" si="61">++F98-F100</f>
        <v>-60887.479999999996</v>
      </c>
      <c r="G101" s="527">
        <f t="shared" si="61"/>
        <v>-99539.449999999953</v>
      </c>
      <c r="H101" s="527">
        <f t="shared" ref="H101" si="62">++H98-H100</f>
        <v>38651.969999999965</v>
      </c>
      <c r="I101" s="534">
        <f t="shared" si="43"/>
        <v>38.830805273687943</v>
      </c>
      <c r="J101" s="527">
        <f t="shared" ref="J101:L101" si="63">++J98-J100</f>
        <v>-24679.629999999997</v>
      </c>
      <c r="K101" s="527">
        <f t="shared" si="63"/>
        <v>-169715.00000000003</v>
      </c>
      <c r="L101" s="527">
        <f t="shared" si="63"/>
        <v>145035.37000000005</v>
      </c>
      <c r="M101" s="534">
        <f t="shared" si="44"/>
        <v>85.458191674277458</v>
      </c>
      <c r="N101" s="527">
        <f t="shared" ref="N101:P101" si="64">++N98-N100</f>
        <v>-143744.52000000002</v>
      </c>
      <c r="O101" s="527">
        <f t="shared" si="64"/>
        <v>-367192.90999999992</v>
      </c>
      <c r="P101" s="527">
        <f t="shared" si="64"/>
        <v>223448.38999999996</v>
      </c>
      <c r="Q101" s="534">
        <f t="shared" si="45"/>
        <v>60.853133030264651</v>
      </c>
    </row>
    <row r="102" spans="1:17" x14ac:dyDescent="0.25">
      <c r="A102" s="515"/>
      <c r="B102" s="273"/>
      <c r="C102" s="463"/>
      <c r="D102" s="463"/>
      <c r="E102" s="535"/>
      <c r="F102" s="463"/>
      <c r="G102" s="463"/>
      <c r="H102" s="463"/>
      <c r="I102" s="535"/>
      <c r="J102" s="463"/>
      <c r="K102" s="463"/>
      <c r="L102" s="463"/>
      <c r="M102" s="535"/>
      <c r="N102" s="463"/>
      <c r="O102" s="463"/>
      <c r="P102" s="463"/>
      <c r="Q102" s="535"/>
    </row>
    <row r="103" spans="1:17" ht="15.75" thickBot="1" x14ac:dyDescent="0.3">
      <c r="A103" s="515"/>
      <c r="B103" s="273"/>
      <c r="C103" s="463"/>
      <c r="D103" s="463"/>
      <c r="E103" s="535"/>
      <c r="F103" s="463"/>
      <c r="G103" s="463"/>
      <c r="H103" s="463"/>
      <c r="I103" s="535"/>
      <c r="J103" s="463"/>
      <c r="K103" s="463"/>
      <c r="L103" s="463"/>
      <c r="M103" s="535"/>
      <c r="N103" s="463"/>
      <c r="O103" s="463"/>
      <c r="P103" s="463"/>
      <c r="Q103" s="535"/>
    </row>
    <row r="104" spans="1:17" ht="15.75" thickBot="1" x14ac:dyDescent="0.3">
      <c r="A104" s="516" t="s">
        <v>267</v>
      </c>
      <c r="B104" s="274">
        <f t="shared" ref="B104:Q104" si="65">++B101-B89</f>
        <v>0</v>
      </c>
      <c r="C104" s="275">
        <f t="shared" si="65"/>
        <v>0</v>
      </c>
      <c r="D104" s="275">
        <f t="shared" si="65"/>
        <v>0</v>
      </c>
      <c r="E104" s="536">
        <f t="shared" si="65"/>
        <v>0</v>
      </c>
      <c r="F104" s="274">
        <f>++F101-F89</f>
        <v>0</v>
      </c>
      <c r="G104" s="275">
        <f t="shared" si="65"/>
        <v>0</v>
      </c>
      <c r="H104" s="275">
        <f t="shared" si="65"/>
        <v>0</v>
      </c>
      <c r="I104" s="536">
        <f t="shared" si="65"/>
        <v>0</v>
      </c>
      <c r="J104" s="274">
        <f>++J101-J89</f>
        <v>0</v>
      </c>
      <c r="K104" s="275">
        <f t="shared" ref="K104:M104" si="66">++K101-K89</f>
        <v>0</v>
      </c>
      <c r="L104" s="275">
        <f t="shared" si="66"/>
        <v>0</v>
      </c>
      <c r="M104" s="536">
        <f t="shared" si="66"/>
        <v>0</v>
      </c>
      <c r="N104" s="274">
        <f t="shared" si="65"/>
        <v>0</v>
      </c>
      <c r="O104" s="275">
        <f t="shared" si="65"/>
        <v>0</v>
      </c>
      <c r="P104" s="275">
        <f t="shared" si="65"/>
        <v>0</v>
      </c>
      <c r="Q104" s="536">
        <f t="shared" si="65"/>
        <v>0</v>
      </c>
    </row>
  </sheetData>
  <autoFilter ref="A6:Q104" xr:uid="{A240FB59-FFAD-4F6C-8996-822E20079AE8}"/>
  <mergeCells count="7">
    <mergeCell ref="B5:E5"/>
    <mergeCell ref="F5:I5"/>
    <mergeCell ref="A1:Q1"/>
    <mergeCell ref="A2:Q2"/>
    <mergeCell ref="A3:Q3"/>
    <mergeCell ref="N5:Q5"/>
    <mergeCell ref="J5:M5"/>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FFDD-4700-4214-B5A3-016290703761}">
  <sheetPr>
    <tabColor theme="6" tint="0.59999389629810485"/>
  </sheetPr>
  <dimension ref="B1:U105"/>
  <sheetViews>
    <sheetView showGridLines="0" zoomScale="85" zoomScaleNormal="85" workbookViewId="0">
      <pane xSplit="4" ySplit="6" topLeftCell="E7" activePane="bottomRight" state="frozen"/>
      <selection pane="topRight" activeCell="C1" sqref="C1"/>
      <selection pane="bottomLeft" activeCell="A5" sqref="A5"/>
      <selection pane="bottomRight" activeCell="E7" sqref="E7"/>
    </sheetView>
  </sheetViews>
  <sheetFormatPr defaultColWidth="12.5703125" defaultRowHeight="15" outlineLevelCol="1" x14ac:dyDescent="0.25"/>
  <cols>
    <col min="1" max="1" width="2" style="548" customWidth="1"/>
    <col min="2" max="2" width="60.42578125" style="549" customWidth="1"/>
    <col min="3" max="3" width="15.28515625" style="549" bestFit="1" customWidth="1"/>
    <col min="4" max="4" width="27.140625" style="549" customWidth="1"/>
    <col min="5" max="5" width="15.5703125" style="548" bestFit="1" customWidth="1"/>
    <col min="6" max="6" width="14.5703125" style="548" bestFit="1" customWidth="1"/>
    <col min="7" max="7" width="12.140625" style="548" bestFit="1" customWidth="1"/>
    <col min="8" max="8" width="16.5703125" style="548" hidden="1" customWidth="1" outlineLevel="1"/>
    <col min="9" max="9" width="19.7109375" style="548" hidden="1" customWidth="1" outlineLevel="1"/>
    <col min="10" max="10" width="17.28515625" style="548" hidden="1" customWidth="1" outlineLevel="1"/>
    <col min="11" max="11" width="22.85546875" style="548" hidden="1" customWidth="1" outlineLevel="1"/>
    <col min="12" max="12" width="1.5703125" style="548" customWidth="1" collapsed="1"/>
    <col min="13" max="13" width="19.85546875" style="548" bestFit="1" customWidth="1"/>
    <col min="14" max="14" width="17.28515625" style="548" bestFit="1" customWidth="1"/>
    <col min="15" max="16" width="17.28515625" style="548" customWidth="1" outlineLevel="1"/>
    <col min="17" max="17" width="18.140625" style="548" bestFit="1" customWidth="1"/>
    <col min="18" max="18" width="22.5703125" style="550" bestFit="1" customWidth="1"/>
    <col min="19" max="19" width="17.85546875" style="550" hidden="1" customWidth="1"/>
    <col min="20" max="20" width="80.85546875" style="549" customWidth="1"/>
    <col min="21" max="16384" width="12.5703125" style="548"/>
  </cols>
  <sheetData>
    <row r="1" spans="2:20" ht="15.75" thickBot="1" x14ac:dyDescent="0.3"/>
    <row r="2" spans="2:20" ht="18.75" x14ac:dyDescent="0.3">
      <c r="B2" s="657" t="s">
        <v>19</v>
      </c>
      <c r="C2" s="654"/>
      <c r="D2" s="654"/>
      <c r="R2" s="548"/>
    </row>
    <row r="3" spans="2:20" ht="18.75" x14ac:dyDescent="0.3">
      <c r="B3" s="656" t="s">
        <v>385</v>
      </c>
      <c r="C3" s="654"/>
      <c r="D3" s="654"/>
      <c r="R3" s="548"/>
      <c r="S3" s="548"/>
    </row>
    <row r="4" spans="2:20" ht="19.5" thickBot="1" x14ac:dyDescent="0.35">
      <c r="B4" s="655" t="str">
        <f>+Cover!A6</f>
        <v>Period Ending 03/31/2026</v>
      </c>
      <c r="C4" s="654"/>
      <c r="D4" s="654"/>
      <c r="R4" s="548"/>
      <c r="S4" s="548"/>
    </row>
    <row r="5" spans="2:20" ht="15.75" thickBot="1" x14ac:dyDescent="0.3">
      <c r="B5" s="653"/>
      <c r="C5" s="653"/>
      <c r="R5" s="548"/>
      <c r="S5" s="548"/>
    </row>
    <row r="6" spans="2:20" s="641" customFormat="1" ht="32.25" thickBot="1" x14ac:dyDescent="0.3">
      <c r="B6" s="652" t="s">
        <v>386</v>
      </c>
      <c r="C6" s="651" t="s">
        <v>387</v>
      </c>
      <c r="D6" s="650" t="s">
        <v>388</v>
      </c>
      <c r="E6" s="646" t="s">
        <v>389</v>
      </c>
      <c r="F6" s="646" t="s">
        <v>390</v>
      </c>
      <c r="G6" s="649" t="s">
        <v>391</v>
      </c>
      <c r="H6" s="647" t="s">
        <v>392</v>
      </c>
      <c r="I6" s="646" t="s">
        <v>393</v>
      </c>
      <c r="J6" s="645" t="s">
        <v>394</v>
      </c>
      <c r="K6" s="649" t="s">
        <v>395</v>
      </c>
      <c r="L6" s="648"/>
      <c r="M6" s="647" t="s">
        <v>396</v>
      </c>
      <c r="N6" s="765" t="s">
        <v>397</v>
      </c>
      <c r="O6" s="647" t="s">
        <v>1069</v>
      </c>
      <c r="P6" s="649" t="s">
        <v>1070</v>
      </c>
      <c r="Q6" s="736" t="s">
        <v>398</v>
      </c>
      <c r="R6" s="644" t="s">
        <v>399</v>
      </c>
      <c r="S6" s="643" t="s">
        <v>400</v>
      </c>
      <c r="T6" s="642" t="s">
        <v>50</v>
      </c>
    </row>
    <row r="7" spans="2:20" ht="15.75" x14ac:dyDescent="0.25">
      <c r="B7" s="640" t="s">
        <v>149</v>
      </c>
      <c r="C7" s="584"/>
      <c r="E7" s="610"/>
      <c r="G7" s="583"/>
      <c r="H7" s="603"/>
      <c r="I7" s="602"/>
      <c r="J7" s="601"/>
      <c r="K7" s="600"/>
      <c r="L7" s="604"/>
      <c r="M7" s="603"/>
      <c r="N7" s="766"/>
      <c r="O7" s="774"/>
      <c r="P7" s="775"/>
      <c r="Q7" s="601"/>
      <c r="R7" s="600"/>
      <c r="S7" s="599"/>
      <c r="T7" s="578"/>
    </row>
    <row r="8" spans="2:20" x14ac:dyDescent="0.25">
      <c r="B8" s="585"/>
      <c r="C8" s="584"/>
      <c r="E8" s="580"/>
      <c r="G8" s="583"/>
      <c r="H8" s="603"/>
      <c r="I8" s="602"/>
      <c r="J8" s="601"/>
      <c r="K8" s="600"/>
      <c r="L8" s="604"/>
      <c r="M8" s="603"/>
      <c r="N8" s="766"/>
      <c r="O8" s="774"/>
      <c r="P8" s="775"/>
      <c r="Q8" s="601"/>
      <c r="R8" s="600"/>
      <c r="S8" s="599"/>
      <c r="T8" s="578"/>
    </row>
    <row r="9" spans="2:20" x14ac:dyDescent="0.25">
      <c r="B9" s="581" t="s">
        <v>1287</v>
      </c>
      <c r="C9" s="580" t="s">
        <v>149</v>
      </c>
      <c r="D9" s="548" t="s">
        <v>401</v>
      </c>
      <c r="E9" s="610" t="s">
        <v>681</v>
      </c>
      <c r="F9" s="610" t="s">
        <v>873</v>
      </c>
      <c r="G9" s="583" t="s">
        <v>403</v>
      </c>
      <c r="H9" s="609">
        <v>17971</v>
      </c>
      <c r="I9" s="602">
        <v>0</v>
      </c>
      <c r="J9" s="607">
        <f>+H9-I9</f>
        <v>17971</v>
      </c>
      <c r="K9" s="600">
        <f>IFERROR(J9/H9,0)</f>
        <v>1</v>
      </c>
      <c r="L9" s="604"/>
      <c r="M9" s="609">
        <v>17971.75</v>
      </c>
      <c r="N9" s="767">
        <v>2827.7</v>
      </c>
      <c r="O9" s="776">
        <v>1902.7</v>
      </c>
      <c r="P9" s="777">
        <f>+N9-O9</f>
        <v>924.99999999999977</v>
      </c>
      <c r="Q9" s="607">
        <f>+M9-N9</f>
        <v>15144.05</v>
      </c>
      <c r="R9" s="600">
        <f>IFERROR(Q9/M9,0)</f>
        <v>0.84265861699611888</v>
      </c>
      <c r="S9" s="599">
        <f>R9-K9</f>
        <v>-0.15734138300388112</v>
      </c>
      <c r="T9" s="578"/>
    </row>
    <row r="10" spans="2:20" x14ac:dyDescent="0.25">
      <c r="B10" s="581" t="s">
        <v>1288</v>
      </c>
      <c r="C10" s="580" t="s">
        <v>149</v>
      </c>
      <c r="D10" s="548" t="s">
        <v>1290</v>
      </c>
      <c r="E10" s="610" t="s">
        <v>877</v>
      </c>
      <c r="F10" s="610" t="s">
        <v>1233</v>
      </c>
      <c r="G10" s="583" t="s">
        <v>403</v>
      </c>
      <c r="H10" s="609">
        <v>2232</v>
      </c>
      <c r="I10" s="602">
        <v>0</v>
      </c>
      <c r="J10" s="607">
        <f>+H10-I10</f>
        <v>2232</v>
      </c>
      <c r="K10" s="600">
        <f>IFERROR(J10/H10,0)</f>
        <v>1</v>
      </c>
      <c r="L10" s="604"/>
      <c r="M10" s="609">
        <v>2232</v>
      </c>
      <c r="N10" s="767">
        <v>178.75</v>
      </c>
      <c r="O10" s="776">
        <v>151.87</v>
      </c>
      <c r="P10" s="777">
        <f>+N10-O10</f>
        <v>26.879999999999995</v>
      </c>
      <c r="Q10" s="607">
        <f>+M10-N10</f>
        <v>2053.25</v>
      </c>
      <c r="R10" s="600">
        <f>IFERROR(Q10/M10,0)</f>
        <v>0.9199148745519713</v>
      </c>
      <c r="S10" s="599">
        <f>R10-K10</f>
        <v>-8.0085125448028704E-2</v>
      </c>
      <c r="T10" s="578"/>
    </row>
    <row r="11" spans="2:20" x14ac:dyDescent="0.25">
      <c r="B11" s="581" t="s">
        <v>1289</v>
      </c>
      <c r="C11" s="580" t="s">
        <v>149</v>
      </c>
      <c r="D11" s="548" t="s">
        <v>1290</v>
      </c>
      <c r="E11" s="610" t="s">
        <v>873</v>
      </c>
      <c r="F11" s="610" t="s">
        <v>1100</v>
      </c>
      <c r="G11" s="583" t="s">
        <v>403</v>
      </c>
      <c r="H11" s="609">
        <v>250</v>
      </c>
      <c r="I11" s="602">
        <v>0</v>
      </c>
      <c r="J11" s="607">
        <f>+H11-I11</f>
        <v>250</v>
      </c>
      <c r="K11" s="600">
        <f>IFERROR(J11/H11,0)</f>
        <v>1</v>
      </c>
      <c r="L11" s="604"/>
      <c r="M11" s="609">
        <v>250</v>
      </c>
      <c r="N11" s="767">
        <v>81.41</v>
      </c>
      <c r="O11" s="776">
        <v>81.41</v>
      </c>
      <c r="P11" s="777">
        <f>+N11-O11</f>
        <v>0</v>
      </c>
      <c r="Q11" s="607">
        <f>+M11-N11</f>
        <v>168.59</v>
      </c>
      <c r="R11" s="600">
        <f>IFERROR(Q11/M11,0)</f>
        <v>0.67435999999999996</v>
      </c>
      <c r="S11" s="599">
        <f>R11-K11</f>
        <v>-0.32564000000000004</v>
      </c>
      <c r="T11" s="578"/>
    </row>
    <row r="12" spans="2:20" x14ac:dyDescent="0.25">
      <c r="B12" s="585"/>
      <c r="C12" s="639"/>
      <c r="E12" s="580"/>
      <c r="G12" s="583"/>
      <c r="H12" s="603"/>
      <c r="I12" s="602"/>
      <c r="J12" s="601"/>
      <c r="K12" s="600"/>
      <c r="L12" s="604"/>
      <c r="M12" s="603"/>
      <c r="N12" s="766"/>
      <c r="O12" s="774"/>
      <c r="P12" s="775"/>
      <c r="Q12" s="601"/>
      <c r="R12" s="600"/>
      <c r="S12" s="599"/>
      <c r="T12" s="578"/>
    </row>
    <row r="13" spans="2:20" s="630" customFormat="1" ht="15.75" x14ac:dyDescent="0.25">
      <c r="B13" s="597" t="s">
        <v>407</v>
      </c>
      <c r="C13" s="638"/>
      <c r="D13" s="638"/>
      <c r="E13" s="637"/>
      <c r="F13" s="636"/>
      <c r="G13" s="635"/>
      <c r="H13" s="633">
        <f>SUM(H8:H12)</f>
        <v>20453</v>
      </c>
      <c r="I13" s="632">
        <f>SUM(I8:I12)</f>
        <v>0</v>
      </c>
      <c r="J13" s="632">
        <f>SUM(J8:J12)</f>
        <v>20453</v>
      </c>
      <c r="K13" s="588"/>
      <c r="L13" s="634"/>
      <c r="M13" s="786">
        <f>SUM(M9:M12)</f>
        <v>20453.75</v>
      </c>
      <c r="N13" s="768">
        <f>SUM(N9:N12)</f>
        <v>3087.8599999999997</v>
      </c>
      <c r="O13" s="633">
        <f>SUM(O9:O12)</f>
        <v>2135.98</v>
      </c>
      <c r="P13" s="778">
        <f>SUM(P9:P12)</f>
        <v>951.87999999999977</v>
      </c>
      <c r="Q13" s="735">
        <f>SUM(Q9:Q12)</f>
        <v>17365.89</v>
      </c>
      <c r="R13" s="588">
        <f>Q13/M13</f>
        <v>0.84903208458106705</v>
      </c>
      <c r="S13" s="587">
        <f>R13-K13</f>
        <v>0.84903208458106705</v>
      </c>
      <c r="T13" s="631"/>
    </row>
    <row r="14" spans="2:20" ht="15.75" x14ac:dyDescent="0.25">
      <c r="B14" s="614" t="s">
        <v>151</v>
      </c>
      <c r="C14" s="584"/>
      <c r="E14" s="610"/>
      <c r="G14" s="583"/>
      <c r="H14" s="603"/>
      <c r="I14" s="602"/>
      <c r="J14" s="601"/>
      <c r="K14" s="600"/>
      <c r="L14" s="604"/>
      <c r="M14" s="603"/>
      <c r="N14" s="766"/>
      <c r="O14" s="774"/>
      <c r="P14" s="775"/>
      <c r="Q14" s="601"/>
      <c r="R14" s="600"/>
      <c r="S14" s="599"/>
      <c r="T14" s="578"/>
    </row>
    <row r="15" spans="2:20" x14ac:dyDescent="0.25">
      <c r="B15" s="585"/>
      <c r="C15" s="584"/>
      <c r="E15" s="580"/>
      <c r="G15" s="583"/>
      <c r="H15" s="603"/>
      <c r="I15" s="602"/>
      <c r="J15" s="601"/>
      <c r="K15" s="600"/>
      <c r="L15" s="604"/>
      <c r="M15" s="603"/>
      <c r="N15" s="766"/>
      <c r="O15" s="774"/>
      <c r="P15" s="775"/>
      <c r="Q15" s="601"/>
      <c r="R15" s="600"/>
      <c r="S15" s="599"/>
      <c r="T15" s="578"/>
    </row>
    <row r="16" spans="2:20" x14ac:dyDescent="0.25">
      <c r="B16" s="581" t="s">
        <v>1291</v>
      </c>
      <c r="C16" s="580" t="s">
        <v>151</v>
      </c>
      <c r="D16" s="548" t="s">
        <v>408</v>
      </c>
      <c r="E16" s="580" t="s">
        <v>1233</v>
      </c>
      <c r="F16" s="548" t="s">
        <v>865</v>
      </c>
      <c r="G16" s="583" t="s">
        <v>403</v>
      </c>
      <c r="H16" s="603">
        <v>2821.99</v>
      </c>
      <c r="I16" s="602">
        <v>0</v>
      </c>
      <c r="J16" s="607">
        <f t="shared" ref="J16:J29" si="0">+H16-I16</f>
        <v>2821.99</v>
      </c>
      <c r="K16" s="600">
        <f t="shared" ref="K16:K29" si="1">IFERROR(J16/H16,0)</f>
        <v>1</v>
      </c>
      <c r="L16" s="604"/>
      <c r="M16" s="609">
        <v>2821.99</v>
      </c>
      <c r="N16" s="767">
        <v>445.18</v>
      </c>
      <c r="O16" s="776">
        <v>445.18</v>
      </c>
      <c r="P16" s="777">
        <f>+N16-O16</f>
        <v>0</v>
      </c>
      <c r="Q16" s="607">
        <f>M16-N16</f>
        <v>2376.81</v>
      </c>
      <c r="R16" s="600">
        <f>IFERROR(Q16/M16,0)</f>
        <v>0.84224607457857759</v>
      </c>
      <c r="S16" s="599">
        <f>R16-K16</f>
        <v>-0.15775392542142241</v>
      </c>
      <c r="T16" s="578"/>
    </row>
    <row r="17" spans="2:21" x14ac:dyDescent="0.25">
      <c r="B17" s="581" t="s">
        <v>1292</v>
      </c>
      <c r="C17" s="580" t="s">
        <v>151</v>
      </c>
      <c r="D17" s="548" t="s">
        <v>408</v>
      </c>
      <c r="E17" s="580" t="s">
        <v>1304</v>
      </c>
      <c r="F17" s="548" t="s">
        <v>885</v>
      </c>
      <c r="G17" s="583" t="s">
        <v>403</v>
      </c>
      <c r="H17" s="603">
        <v>3709.56</v>
      </c>
      <c r="I17" s="602">
        <v>377.1</v>
      </c>
      <c r="J17" s="607">
        <f t="shared" si="0"/>
        <v>3332.46</v>
      </c>
      <c r="K17" s="600">
        <f t="shared" si="1"/>
        <v>0.89834373888008279</v>
      </c>
      <c r="L17" s="604"/>
      <c r="M17" s="609">
        <v>3709.56</v>
      </c>
      <c r="N17" s="767">
        <v>744.26</v>
      </c>
      <c r="O17" s="776">
        <v>367.16</v>
      </c>
      <c r="P17" s="777">
        <f t="shared" ref="P17:P29" si="2">+N17-O17</f>
        <v>377.09999999999997</v>
      </c>
      <c r="Q17" s="607">
        <f>M17-N17</f>
        <v>2965.3</v>
      </c>
      <c r="R17" s="600">
        <f>IFERROR(Q17/M17,0)</f>
        <v>0.79936704083503174</v>
      </c>
      <c r="S17" s="599">
        <f>R17-K17</f>
        <v>-9.8976698045051048E-2</v>
      </c>
      <c r="T17" s="578"/>
      <c r="U17" s="629"/>
    </row>
    <row r="18" spans="2:21" x14ac:dyDescent="0.25">
      <c r="B18" s="581" t="s">
        <v>1293</v>
      </c>
      <c r="C18" s="580" t="s">
        <v>151</v>
      </c>
      <c r="D18" s="548" t="s">
        <v>408</v>
      </c>
      <c r="E18" s="580" t="s">
        <v>1304</v>
      </c>
      <c r="F18" s="548" t="s">
        <v>885</v>
      </c>
      <c r="G18" s="583" t="s">
        <v>403</v>
      </c>
      <c r="H18" s="603">
        <v>3711.15</v>
      </c>
      <c r="I18" s="602">
        <v>185.73</v>
      </c>
      <c r="J18" s="607">
        <f t="shared" si="0"/>
        <v>3525.42</v>
      </c>
      <c r="K18" s="600">
        <f t="shared" si="1"/>
        <v>0.94995351845115394</v>
      </c>
      <c r="L18" s="604"/>
      <c r="M18" s="609">
        <v>3711.15</v>
      </c>
      <c r="N18" s="767">
        <v>535.02</v>
      </c>
      <c r="O18" s="776">
        <v>349.29</v>
      </c>
      <c r="P18" s="777">
        <f t="shared" si="2"/>
        <v>185.72999999999996</v>
      </c>
      <c r="Q18" s="607">
        <f>M18-N18</f>
        <v>3176.13</v>
      </c>
      <c r="R18" s="600">
        <f>IFERROR(Q18/M18,0)</f>
        <v>0.8558344448486318</v>
      </c>
      <c r="S18" s="599"/>
      <c r="T18" s="578"/>
      <c r="U18" s="629"/>
    </row>
    <row r="19" spans="2:21" x14ac:dyDescent="0.25">
      <c r="B19" s="581" t="s">
        <v>1294</v>
      </c>
      <c r="C19" s="580" t="s">
        <v>151</v>
      </c>
      <c r="D19" s="548" t="s">
        <v>408</v>
      </c>
      <c r="E19" s="580" t="s">
        <v>1304</v>
      </c>
      <c r="F19" s="548" t="s">
        <v>885</v>
      </c>
      <c r="G19" s="583" t="s">
        <v>403</v>
      </c>
      <c r="H19" s="603">
        <v>10908.76</v>
      </c>
      <c r="I19" s="602">
        <v>0</v>
      </c>
      <c r="J19" s="607">
        <f t="shared" si="0"/>
        <v>10908.76</v>
      </c>
      <c r="K19" s="600">
        <f t="shared" si="1"/>
        <v>1</v>
      </c>
      <c r="L19" s="604"/>
      <c r="M19" s="609">
        <v>10908.76</v>
      </c>
      <c r="N19" s="767">
        <v>915.23</v>
      </c>
      <c r="O19" s="776">
        <v>915.23</v>
      </c>
      <c r="P19" s="777">
        <f t="shared" si="2"/>
        <v>0</v>
      </c>
      <c r="Q19" s="607">
        <f>M19-N19</f>
        <v>9993.5300000000007</v>
      </c>
      <c r="R19" s="600">
        <f>IFERROR(Q19/M19,0)</f>
        <v>0.91610137174160955</v>
      </c>
      <c r="S19" s="599"/>
      <c r="T19" s="578"/>
      <c r="U19" s="629"/>
    </row>
    <row r="20" spans="2:21" x14ac:dyDescent="0.25">
      <c r="B20" s="581" t="s">
        <v>1295</v>
      </c>
      <c r="C20" s="580" t="s">
        <v>151</v>
      </c>
      <c r="D20" s="548" t="s">
        <v>408</v>
      </c>
      <c r="E20" s="580" t="s">
        <v>1304</v>
      </c>
      <c r="F20" s="548" t="s">
        <v>885</v>
      </c>
      <c r="G20" s="583" t="s">
        <v>403</v>
      </c>
      <c r="H20" s="603">
        <v>371.33</v>
      </c>
      <c r="I20" s="602">
        <v>0</v>
      </c>
      <c r="J20" s="607">
        <f t="shared" si="0"/>
        <v>371.33</v>
      </c>
      <c r="K20" s="600">
        <f t="shared" si="1"/>
        <v>1</v>
      </c>
      <c r="L20" s="604"/>
      <c r="M20" s="609">
        <v>371.33</v>
      </c>
      <c r="N20" s="767">
        <v>65.14</v>
      </c>
      <c r="O20" s="776">
        <v>65.14</v>
      </c>
      <c r="P20" s="777">
        <f t="shared" si="2"/>
        <v>0</v>
      </c>
      <c r="Q20" s="607">
        <f>M20-N20</f>
        <v>306.19</v>
      </c>
      <c r="R20" s="600">
        <f>IFERROR(Q20/M20,0)</f>
        <v>0.82457652223089972</v>
      </c>
      <c r="S20" s="599">
        <f>R20-K20</f>
        <v>-0.17542347776910028</v>
      </c>
      <c r="T20" s="578"/>
    </row>
    <row r="21" spans="2:21" x14ac:dyDescent="0.25">
      <c r="B21" s="581" t="s">
        <v>1296</v>
      </c>
      <c r="C21" s="580" t="s">
        <v>151</v>
      </c>
      <c r="D21" s="548" t="s">
        <v>408</v>
      </c>
      <c r="E21" s="580" t="s">
        <v>1304</v>
      </c>
      <c r="F21" s="548" t="s">
        <v>885</v>
      </c>
      <c r="G21" s="583" t="s">
        <v>403</v>
      </c>
      <c r="H21" s="603">
        <v>4711.08</v>
      </c>
      <c r="I21" s="602">
        <v>0</v>
      </c>
      <c r="J21" s="607">
        <f t="shared" si="0"/>
        <v>4711.08</v>
      </c>
      <c r="K21" s="600">
        <f t="shared" si="1"/>
        <v>1</v>
      </c>
      <c r="L21" s="604"/>
      <c r="M21" s="609">
        <v>4711.08</v>
      </c>
      <c r="N21" s="767">
        <v>757.97</v>
      </c>
      <c r="O21" s="776">
        <v>757.97</v>
      </c>
      <c r="P21" s="777">
        <f t="shared" si="2"/>
        <v>0</v>
      </c>
      <c r="Q21" s="607">
        <f t="shared" ref="Q21:Q29" si="3">M21-N21</f>
        <v>3953.1099999999997</v>
      </c>
      <c r="R21" s="600">
        <f t="shared" ref="R21:R29" si="4">IFERROR(Q21/M21,0)</f>
        <v>0.83910907902221987</v>
      </c>
      <c r="S21" s="599"/>
      <c r="T21" s="578"/>
    </row>
    <row r="22" spans="2:21" x14ac:dyDescent="0.25">
      <c r="B22" s="581" t="s">
        <v>1297</v>
      </c>
      <c r="C22" s="580" t="s">
        <v>151</v>
      </c>
      <c r="D22" s="548" t="s">
        <v>408</v>
      </c>
      <c r="E22" s="610" t="s">
        <v>1304</v>
      </c>
      <c r="F22" s="734" t="s">
        <v>885</v>
      </c>
      <c r="G22" s="583" t="s">
        <v>403</v>
      </c>
      <c r="H22" s="603">
        <v>10885.16</v>
      </c>
      <c r="I22" s="602">
        <v>0</v>
      </c>
      <c r="J22" s="607">
        <f t="shared" si="0"/>
        <v>10885.16</v>
      </c>
      <c r="K22" s="600">
        <f t="shared" si="1"/>
        <v>1</v>
      </c>
      <c r="L22" s="604"/>
      <c r="M22" s="609">
        <v>10885.16</v>
      </c>
      <c r="N22" s="767">
        <v>1211.07</v>
      </c>
      <c r="O22" s="776">
        <v>831.11</v>
      </c>
      <c r="P22" s="777">
        <f t="shared" si="2"/>
        <v>379.95999999999992</v>
      </c>
      <c r="Q22" s="607">
        <f t="shared" si="3"/>
        <v>9674.09</v>
      </c>
      <c r="R22" s="600">
        <f t="shared" si="4"/>
        <v>0.88874118524670287</v>
      </c>
      <c r="S22" s="599"/>
      <c r="T22" s="578"/>
    </row>
    <row r="23" spans="2:21" x14ac:dyDescent="0.25">
      <c r="B23" s="581" t="s">
        <v>1298</v>
      </c>
      <c r="C23" s="580" t="s">
        <v>151</v>
      </c>
      <c r="D23" s="548" t="s">
        <v>408</v>
      </c>
      <c r="E23" s="610" t="s">
        <v>1304</v>
      </c>
      <c r="F23" s="734" t="s">
        <v>885</v>
      </c>
      <c r="G23" s="583" t="s">
        <v>403</v>
      </c>
      <c r="H23" s="603">
        <v>4711.08</v>
      </c>
      <c r="I23" s="602">
        <v>0</v>
      </c>
      <c r="J23" s="607">
        <f t="shared" si="0"/>
        <v>4711.08</v>
      </c>
      <c r="K23" s="600">
        <f t="shared" si="1"/>
        <v>1</v>
      </c>
      <c r="L23" s="604"/>
      <c r="M23" s="609">
        <v>4711.08</v>
      </c>
      <c r="N23" s="767">
        <v>337.33</v>
      </c>
      <c r="O23" s="776">
        <v>337.33</v>
      </c>
      <c r="P23" s="777">
        <f t="shared" si="2"/>
        <v>0</v>
      </c>
      <c r="Q23" s="607">
        <f t="shared" si="3"/>
        <v>4373.75</v>
      </c>
      <c r="R23" s="600">
        <f t="shared" si="4"/>
        <v>0.92839646110870544</v>
      </c>
      <c r="S23" s="599"/>
      <c r="T23" s="578"/>
    </row>
    <row r="24" spans="2:21" x14ac:dyDescent="0.25">
      <c r="B24" s="581" t="s">
        <v>1299</v>
      </c>
      <c r="C24" s="580" t="s">
        <v>151</v>
      </c>
      <c r="D24" s="548" t="s">
        <v>408</v>
      </c>
      <c r="E24" s="610" t="s">
        <v>1304</v>
      </c>
      <c r="F24" s="734" t="s">
        <v>885</v>
      </c>
      <c r="G24" s="583" t="s">
        <v>403</v>
      </c>
      <c r="H24" s="603">
        <v>10885.16</v>
      </c>
      <c r="I24" s="602">
        <v>0</v>
      </c>
      <c r="J24" s="607">
        <f t="shared" si="0"/>
        <v>10885.16</v>
      </c>
      <c r="K24" s="600">
        <f t="shared" si="1"/>
        <v>1</v>
      </c>
      <c r="L24" s="604"/>
      <c r="M24" s="609">
        <v>10885.16</v>
      </c>
      <c r="N24" s="767">
        <v>262.3</v>
      </c>
      <c r="O24" s="776">
        <v>262.3</v>
      </c>
      <c r="P24" s="777">
        <f t="shared" si="2"/>
        <v>0</v>
      </c>
      <c r="Q24" s="607">
        <f t="shared" si="3"/>
        <v>10622.86</v>
      </c>
      <c r="R24" s="600">
        <f t="shared" si="4"/>
        <v>0.97590297248731306</v>
      </c>
      <c r="S24" s="599"/>
      <c r="T24" s="578"/>
    </row>
    <row r="25" spans="2:21" x14ac:dyDescent="0.25">
      <c r="B25" s="581" t="s">
        <v>1300</v>
      </c>
      <c r="C25" s="580" t="s">
        <v>151</v>
      </c>
      <c r="D25" s="548" t="s">
        <v>408</v>
      </c>
      <c r="E25" s="610" t="s">
        <v>1304</v>
      </c>
      <c r="F25" s="734" t="s">
        <v>885</v>
      </c>
      <c r="G25" s="583" t="s">
        <v>403</v>
      </c>
      <c r="H25" s="603">
        <v>4075.76</v>
      </c>
      <c r="I25" s="602">
        <v>0</v>
      </c>
      <c r="J25" s="607">
        <f t="shared" si="0"/>
        <v>4075.76</v>
      </c>
      <c r="K25" s="600">
        <f t="shared" si="1"/>
        <v>1</v>
      </c>
      <c r="L25" s="604"/>
      <c r="M25" s="609">
        <v>4075.76</v>
      </c>
      <c r="N25" s="767">
        <v>658.84</v>
      </c>
      <c r="O25" s="776">
        <v>262.3</v>
      </c>
      <c r="P25" s="777">
        <f t="shared" si="2"/>
        <v>396.54</v>
      </c>
      <c r="Q25" s="607">
        <f t="shared" si="3"/>
        <v>3416.92</v>
      </c>
      <c r="R25" s="600">
        <f t="shared" si="4"/>
        <v>0.83835162031130384</v>
      </c>
      <c r="S25" s="599"/>
      <c r="T25" s="578"/>
    </row>
    <row r="26" spans="2:21" x14ac:dyDescent="0.25">
      <c r="B26" s="581" t="s">
        <v>1301</v>
      </c>
      <c r="C26" s="580" t="s">
        <v>151</v>
      </c>
      <c r="D26" s="548" t="s">
        <v>408</v>
      </c>
      <c r="E26" s="610" t="s">
        <v>410</v>
      </c>
      <c r="F26" s="734" t="s">
        <v>1099</v>
      </c>
      <c r="G26" s="583" t="s">
        <v>403</v>
      </c>
      <c r="H26" s="603">
        <v>21598.68</v>
      </c>
      <c r="I26" s="602">
        <v>0</v>
      </c>
      <c r="J26" s="607">
        <f t="shared" si="0"/>
        <v>21598.68</v>
      </c>
      <c r="K26" s="600">
        <f t="shared" si="1"/>
        <v>1</v>
      </c>
      <c r="L26" s="604"/>
      <c r="M26" s="609">
        <v>21166.71</v>
      </c>
      <c r="N26" s="767">
        <v>3891.09</v>
      </c>
      <c r="O26" s="776">
        <v>3740.09</v>
      </c>
      <c r="P26" s="777">
        <f t="shared" si="2"/>
        <v>151</v>
      </c>
      <c r="Q26" s="607">
        <f t="shared" si="3"/>
        <v>17275.62</v>
      </c>
      <c r="R26" s="600">
        <f t="shared" si="4"/>
        <v>0.8161693527241598</v>
      </c>
      <c r="S26" s="599"/>
      <c r="T26" s="578"/>
    </row>
    <row r="27" spans="2:21" x14ac:dyDescent="0.25">
      <c r="B27" s="581" t="s">
        <v>1302</v>
      </c>
      <c r="C27" s="580" t="s">
        <v>151</v>
      </c>
      <c r="D27" s="548" t="s">
        <v>408</v>
      </c>
      <c r="E27" s="610" t="s">
        <v>1305</v>
      </c>
      <c r="F27" s="734" t="s">
        <v>860</v>
      </c>
      <c r="G27" s="583" t="s">
        <v>403</v>
      </c>
      <c r="H27" s="603">
        <v>1704.35</v>
      </c>
      <c r="I27" s="602">
        <v>0</v>
      </c>
      <c r="J27" s="607">
        <f t="shared" si="0"/>
        <v>1704.35</v>
      </c>
      <c r="K27" s="600">
        <f t="shared" si="1"/>
        <v>1</v>
      </c>
      <c r="L27" s="604"/>
      <c r="M27" s="609">
        <v>1670.26</v>
      </c>
      <c r="N27" s="767">
        <v>288.35000000000002</v>
      </c>
      <c r="O27" s="776">
        <v>288.35000000000002</v>
      </c>
      <c r="P27" s="777">
        <f t="shared" si="2"/>
        <v>0</v>
      </c>
      <c r="Q27" s="607">
        <f t="shared" si="3"/>
        <v>1381.9099999999999</v>
      </c>
      <c r="R27" s="600">
        <f t="shared" si="4"/>
        <v>0.82736220708153219</v>
      </c>
      <c r="S27" s="599"/>
      <c r="T27" s="578"/>
    </row>
    <row r="28" spans="2:21" x14ac:dyDescent="0.25">
      <c r="B28" s="581" t="s">
        <v>1303</v>
      </c>
      <c r="C28" s="580" t="s">
        <v>151</v>
      </c>
      <c r="D28" s="548" t="s">
        <v>408</v>
      </c>
      <c r="E28" s="610" t="s">
        <v>866</v>
      </c>
      <c r="F28" s="734" t="s">
        <v>879</v>
      </c>
      <c r="G28" s="583" t="s">
        <v>403</v>
      </c>
      <c r="H28" s="603">
        <v>3791.48</v>
      </c>
      <c r="I28" s="602">
        <v>0</v>
      </c>
      <c r="J28" s="607">
        <f t="shared" si="0"/>
        <v>3791.48</v>
      </c>
      <c r="K28" s="600">
        <f t="shared" si="1"/>
        <v>1</v>
      </c>
      <c r="L28" s="604"/>
      <c r="M28" s="609">
        <v>3715.65</v>
      </c>
      <c r="N28" s="767">
        <v>447.59</v>
      </c>
      <c r="O28" s="776">
        <v>447.59</v>
      </c>
      <c r="P28" s="777">
        <f t="shared" si="2"/>
        <v>0</v>
      </c>
      <c r="Q28" s="607">
        <f t="shared" si="3"/>
        <v>3268.06</v>
      </c>
      <c r="R28" s="600">
        <f t="shared" si="4"/>
        <v>0.87953924616150603</v>
      </c>
      <c r="S28" s="599"/>
      <c r="T28" s="578"/>
    </row>
    <row r="29" spans="2:21" x14ac:dyDescent="0.25">
      <c r="B29" s="581" t="s">
        <v>1045</v>
      </c>
      <c r="C29" s="580" t="s">
        <v>151</v>
      </c>
      <c r="D29" s="548" t="s">
        <v>408</v>
      </c>
      <c r="E29" s="610" t="s">
        <v>1306</v>
      </c>
      <c r="F29" s="734" t="s">
        <v>879</v>
      </c>
      <c r="G29" s="583" t="s">
        <v>403</v>
      </c>
      <c r="H29" s="603">
        <v>42695.89</v>
      </c>
      <c r="I29" s="602">
        <v>679.96</v>
      </c>
      <c r="J29" s="607">
        <f t="shared" si="0"/>
        <v>42015.93</v>
      </c>
      <c r="K29" s="600">
        <f t="shared" si="1"/>
        <v>0.98407434532925775</v>
      </c>
      <c r="L29" s="604"/>
      <c r="M29" s="609">
        <v>42695.89</v>
      </c>
      <c r="N29" s="767">
        <v>7356.46</v>
      </c>
      <c r="O29" s="776">
        <v>6307.24</v>
      </c>
      <c r="P29" s="777">
        <f t="shared" si="2"/>
        <v>1049.2200000000003</v>
      </c>
      <c r="Q29" s="607">
        <f t="shared" si="3"/>
        <v>35339.43</v>
      </c>
      <c r="R29" s="600">
        <f t="shared" si="4"/>
        <v>0.82770098011775839</v>
      </c>
      <c r="S29" s="599"/>
      <c r="T29" s="578"/>
    </row>
    <row r="30" spans="2:21" x14ac:dyDescent="0.25">
      <c r="B30" s="585"/>
      <c r="C30" s="584"/>
      <c r="E30" s="580"/>
      <c r="G30" s="583"/>
      <c r="H30" s="603"/>
      <c r="I30" s="602"/>
      <c r="J30" s="601"/>
      <c r="K30" s="600"/>
      <c r="L30" s="604"/>
      <c r="M30" s="603"/>
      <c r="N30" s="766"/>
      <c r="O30" s="774"/>
      <c r="P30" s="775"/>
      <c r="Q30" s="601"/>
      <c r="R30" s="600"/>
      <c r="S30" s="599"/>
      <c r="T30" s="598"/>
    </row>
    <row r="31" spans="2:21" s="612" customFormat="1" ht="15.75" x14ac:dyDescent="0.25">
      <c r="B31" s="597" t="s">
        <v>413</v>
      </c>
      <c r="C31" s="596"/>
      <c r="D31" s="596"/>
      <c r="E31" s="595"/>
      <c r="F31" s="594"/>
      <c r="G31" s="593"/>
      <c r="H31" s="590">
        <f>SUM(H16:H30)</f>
        <v>126581.43000000001</v>
      </c>
      <c r="I31" s="589">
        <f>SUM(I16:I30)</f>
        <v>1242.79</v>
      </c>
      <c r="J31" s="589">
        <f>SUM(J16:J30)</f>
        <v>125338.64000000001</v>
      </c>
      <c r="K31" s="592"/>
      <c r="L31" s="591"/>
      <c r="M31" s="590">
        <f>SUM(M15:M30)</f>
        <v>126039.54</v>
      </c>
      <c r="N31" s="769">
        <f>SUM(N15:N30)</f>
        <v>17915.830000000002</v>
      </c>
      <c r="O31" s="590">
        <f>SUM(O15:O30)</f>
        <v>15376.28</v>
      </c>
      <c r="P31" s="779">
        <f>SUM(P15:P30)</f>
        <v>2539.5500000000002</v>
      </c>
      <c r="Q31" s="737">
        <f>SUM(Q15:Q30)</f>
        <v>108123.70999999999</v>
      </c>
      <c r="R31" s="588">
        <f>Q31/M31</f>
        <v>0.85785547932021966</v>
      </c>
      <c r="S31" s="587">
        <f>R31-K31</f>
        <v>0.85785547932021966</v>
      </c>
      <c r="T31" s="586"/>
    </row>
    <row r="32" spans="2:21" s="612" customFormat="1" ht="15.75" x14ac:dyDescent="0.25">
      <c r="B32" s="628"/>
      <c r="C32" s="627"/>
      <c r="D32" s="626"/>
      <c r="E32" s="625"/>
      <c r="F32" s="624"/>
      <c r="G32" s="623"/>
      <c r="H32" s="620"/>
      <c r="I32" s="619"/>
      <c r="J32" s="618"/>
      <c r="K32" s="622"/>
      <c r="L32" s="621"/>
      <c r="M32" s="620"/>
      <c r="N32" s="770"/>
      <c r="O32" s="780"/>
      <c r="P32" s="781"/>
      <c r="Q32" s="618"/>
      <c r="R32" s="617"/>
      <c r="S32" s="616"/>
      <c r="T32" s="615"/>
    </row>
    <row r="33" spans="2:20" s="612" customFormat="1" ht="15.75" x14ac:dyDescent="0.25">
      <c r="B33" s="614" t="s">
        <v>270</v>
      </c>
      <c r="C33" s="584"/>
      <c r="D33" s="549"/>
      <c r="E33" s="610"/>
      <c r="F33" s="548"/>
      <c r="G33" s="583"/>
      <c r="H33" s="603"/>
      <c r="I33" s="613"/>
      <c r="J33" s="601"/>
      <c r="K33" s="600"/>
      <c r="L33" s="604"/>
      <c r="M33" s="603"/>
      <c r="N33" s="766"/>
      <c r="O33" s="774"/>
      <c r="P33" s="775"/>
      <c r="Q33" s="601"/>
      <c r="R33" s="600"/>
      <c r="S33" s="599"/>
      <c r="T33" s="578"/>
    </row>
    <row r="34" spans="2:20" s="612" customFormat="1" ht="15.75" x14ac:dyDescent="0.25">
      <c r="B34" s="585"/>
      <c r="C34" s="584"/>
      <c r="D34" s="549"/>
      <c r="E34" s="580"/>
      <c r="F34" s="548"/>
      <c r="G34" s="583"/>
      <c r="H34" s="603"/>
      <c r="I34" s="602"/>
      <c r="J34" s="601"/>
      <c r="K34" s="600"/>
      <c r="L34" s="604"/>
      <c r="M34" s="603"/>
      <c r="N34" s="766"/>
      <c r="O34" s="774"/>
      <c r="P34" s="775"/>
      <c r="Q34" s="601"/>
      <c r="R34" s="600"/>
      <c r="S34" s="599"/>
      <c r="T34" s="578"/>
    </row>
    <row r="35" spans="2:20" s="612" customFormat="1" ht="15.75" x14ac:dyDescent="0.25">
      <c r="B35" s="581" t="s">
        <v>1307</v>
      </c>
      <c r="C35" s="580" t="s">
        <v>270</v>
      </c>
      <c r="D35" s="548" t="s">
        <v>1368</v>
      </c>
      <c r="E35" s="610" t="s">
        <v>875</v>
      </c>
      <c r="F35" s="548" t="s">
        <v>1128</v>
      </c>
      <c r="G35" s="583" t="s">
        <v>403</v>
      </c>
      <c r="H35" s="609" t="s">
        <v>1391</v>
      </c>
      <c r="I35" s="608" t="s">
        <v>1391</v>
      </c>
      <c r="J35" s="607">
        <f t="shared" ref="J35:J95" si="5">+H35-I35</f>
        <v>0</v>
      </c>
      <c r="K35" s="600">
        <f t="shared" ref="K35:K95" si="6">IFERROR(J35/H35,0)</f>
        <v>0</v>
      </c>
      <c r="L35" s="604"/>
      <c r="M35" s="609">
        <v>0</v>
      </c>
      <c r="N35" s="767">
        <v>0</v>
      </c>
      <c r="O35" s="776">
        <v>0</v>
      </c>
      <c r="P35" s="777">
        <f t="shared" ref="P35:P95" si="7">+N35-O35</f>
        <v>0</v>
      </c>
      <c r="Q35" s="607">
        <f t="shared" ref="Q35:Q95" si="8">M35-N35</f>
        <v>0</v>
      </c>
      <c r="R35" s="600">
        <f t="shared" ref="R35:R95" si="9">IFERROR(Q35/M35,0)</f>
        <v>0</v>
      </c>
      <c r="S35" s="599">
        <f t="shared" ref="S35:S88" si="10">R35-K35</f>
        <v>0</v>
      </c>
      <c r="T35" s="578"/>
    </row>
    <row r="36" spans="2:20" s="612" customFormat="1" ht="15.75" x14ac:dyDescent="0.25">
      <c r="B36" s="581" t="s">
        <v>1308</v>
      </c>
      <c r="C36" s="580" t="s">
        <v>270</v>
      </c>
      <c r="D36" s="548" t="s">
        <v>414</v>
      </c>
      <c r="E36" s="610" t="s">
        <v>1389</v>
      </c>
      <c r="F36" s="548" t="s">
        <v>1099</v>
      </c>
      <c r="G36" s="583" t="s">
        <v>403</v>
      </c>
      <c r="H36" s="609" t="s">
        <v>1392</v>
      </c>
      <c r="I36" s="608" t="s">
        <v>1391</v>
      </c>
      <c r="J36" s="607">
        <f t="shared" si="5"/>
        <v>270.43</v>
      </c>
      <c r="K36" s="600">
        <f t="shared" si="6"/>
        <v>1</v>
      </c>
      <c r="L36" s="604"/>
      <c r="M36" s="609">
        <v>270.43</v>
      </c>
      <c r="N36" s="767">
        <v>0</v>
      </c>
      <c r="O36" s="776">
        <v>0</v>
      </c>
      <c r="P36" s="777">
        <f t="shared" si="7"/>
        <v>0</v>
      </c>
      <c r="Q36" s="607">
        <f t="shared" si="8"/>
        <v>270.43</v>
      </c>
      <c r="R36" s="600">
        <f t="shared" si="9"/>
        <v>1</v>
      </c>
      <c r="S36" s="599"/>
      <c r="T36" s="578"/>
    </row>
    <row r="37" spans="2:20" s="612" customFormat="1" ht="15.75" x14ac:dyDescent="0.25">
      <c r="B37" s="581" t="s">
        <v>1309</v>
      </c>
      <c r="C37" s="580" t="s">
        <v>270</v>
      </c>
      <c r="D37" s="548" t="s">
        <v>414</v>
      </c>
      <c r="E37" s="610" t="s">
        <v>1118</v>
      </c>
      <c r="F37" s="548" t="s">
        <v>860</v>
      </c>
      <c r="G37" s="583" t="s">
        <v>403</v>
      </c>
      <c r="H37" s="609" t="s">
        <v>1393</v>
      </c>
      <c r="I37" s="608" t="s">
        <v>1394</v>
      </c>
      <c r="J37" s="607">
        <f t="shared" si="5"/>
        <v>354.74</v>
      </c>
      <c r="K37" s="600">
        <f t="shared" si="6"/>
        <v>0.94753993268871206</v>
      </c>
      <c r="L37" s="604"/>
      <c r="M37" s="609">
        <v>374.38</v>
      </c>
      <c r="N37" s="767">
        <v>19.64</v>
      </c>
      <c r="O37" s="776">
        <v>0</v>
      </c>
      <c r="P37" s="777">
        <f t="shared" si="7"/>
        <v>19.64</v>
      </c>
      <c r="Q37" s="607">
        <f t="shared" si="8"/>
        <v>354.74</v>
      </c>
      <c r="R37" s="600">
        <f t="shared" si="9"/>
        <v>0.94753993268871206</v>
      </c>
      <c r="S37" s="599"/>
      <c r="T37" s="578"/>
    </row>
    <row r="38" spans="2:20" s="612" customFormat="1" ht="15.75" x14ac:dyDescent="0.25">
      <c r="B38" s="581" t="s">
        <v>1310</v>
      </c>
      <c r="C38" s="580" t="s">
        <v>270</v>
      </c>
      <c r="D38" s="548" t="s">
        <v>414</v>
      </c>
      <c r="E38" s="610" t="s">
        <v>1118</v>
      </c>
      <c r="F38" s="548" t="s">
        <v>860</v>
      </c>
      <c r="G38" s="583" t="s">
        <v>403</v>
      </c>
      <c r="H38" s="609" t="s">
        <v>1395</v>
      </c>
      <c r="I38" s="608" t="s">
        <v>1391</v>
      </c>
      <c r="J38" s="607">
        <f t="shared" si="5"/>
        <v>374.14</v>
      </c>
      <c r="K38" s="600">
        <f t="shared" si="6"/>
        <v>1</v>
      </c>
      <c r="L38" s="604"/>
      <c r="M38" s="609">
        <v>374.14</v>
      </c>
      <c r="N38" s="767">
        <v>0</v>
      </c>
      <c r="O38" s="776">
        <v>0</v>
      </c>
      <c r="P38" s="777">
        <f t="shared" si="7"/>
        <v>0</v>
      </c>
      <c r="Q38" s="607">
        <f t="shared" si="8"/>
        <v>374.14</v>
      </c>
      <c r="R38" s="600">
        <f t="shared" si="9"/>
        <v>1</v>
      </c>
      <c r="S38" s="599"/>
      <c r="T38" s="578"/>
    </row>
    <row r="39" spans="2:20" s="612" customFormat="1" ht="15.75" x14ac:dyDescent="0.25">
      <c r="B39" s="581" t="s">
        <v>1311</v>
      </c>
      <c r="C39" s="580" t="s">
        <v>270</v>
      </c>
      <c r="D39" s="548" t="s">
        <v>414</v>
      </c>
      <c r="E39" s="610" t="s">
        <v>1118</v>
      </c>
      <c r="F39" s="548" t="s">
        <v>860</v>
      </c>
      <c r="G39" s="583" t="s">
        <v>403</v>
      </c>
      <c r="H39" s="609" t="s">
        <v>1396</v>
      </c>
      <c r="I39" s="608" t="s">
        <v>1391</v>
      </c>
      <c r="J39" s="607">
        <f t="shared" si="5"/>
        <v>366.36</v>
      </c>
      <c r="K39" s="600">
        <f t="shared" si="6"/>
        <v>1</v>
      </c>
      <c r="L39" s="604"/>
      <c r="M39" s="609">
        <v>366.36</v>
      </c>
      <c r="N39" s="767">
        <v>0</v>
      </c>
      <c r="O39" s="776">
        <v>0</v>
      </c>
      <c r="P39" s="777">
        <f t="shared" si="7"/>
        <v>0</v>
      </c>
      <c r="Q39" s="607">
        <f t="shared" si="8"/>
        <v>366.36</v>
      </c>
      <c r="R39" s="600">
        <f t="shared" si="9"/>
        <v>1</v>
      </c>
      <c r="S39" s="599"/>
      <c r="T39" s="578"/>
    </row>
    <row r="40" spans="2:20" s="612" customFormat="1" ht="15.75" x14ac:dyDescent="0.25">
      <c r="B40" s="581" t="s">
        <v>1312</v>
      </c>
      <c r="C40" s="580" t="s">
        <v>270</v>
      </c>
      <c r="D40" s="548" t="s">
        <v>414</v>
      </c>
      <c r="E40" s="610" t="s">
        <v>1118</v>
      </c>
      <c r="F40" s="548" t="s">
        <v>860</v>
      </c>
      <c r="G40" s="583" t="s">
        <v>403</v>
      </c>
      <c r="H40" s="609" t="s">
        <v>1397</v>
      </c>
      <c r="I40" s="608" t="s">
        <v>1391</v>
      </c>
      <c r="J40" s="607">
        <f t="shared" si="5"/>
        <v>171.41</v>
      </c>
      <c r="K40" s="600">
        <f t="shared" si="6"/>
        <v>1</v>
      </c>
      <c r="L40" s="604"/>
      <c r="M40" s="609">
        <v>171.41</v>
      </c>
      <c r="N40" s="767">
        <v>0</v>
      </c>
      <c r="O40" s="776">
        <v>0</v>
      </c>
      <c r="P40" s="777">
        <f t="shared" si="7"/>
        <v>0</v>
      </c>
      <c r="Q40" s="607">
        <f t="shared" si="8"/>
        <v>171.41</v>
      </c>
      <c r="R40" s="600">
        <f t="shared" si="9"/>
        <v>1</v>
      </c>
      <c r="S40" s="599"/>
      <c r="T40" s="578"/>
    </row>
    <row r="41" spans="2:20" s="612" customFormat="1" ht="15.75" x14ac:dyDescent="0.25">
      <c r="B41" s="581" t="s">
        <v>1313</v>
      </c>
      <c r="C41" s="580" t="s">
        <v>270</v>
      </c>
      <c r="D41" s="548" t="s">
        <v>414</v>
      </c>
      <c r="E41" s="610" t="s">
        <v>1118</v>
      </c>
      <c r="F41" s="548" t="s">
        <v>860</v>
      </c>
      <c r="G41" s="583" t="s">
        <v>403</v>
      </c>
      <c r="H41" s="609" t="s">
        <v>1398</v>
      </c>
      <c r="I41" s="608" t="s">
        <v>1399</v>
      </c>
      <c r="J41" s="607">
        <f t="shared" si="5"/>
        <v>1235.3999999999999</v>
      </c>
      <c r="K41" s="600">
        <f t="shared" si="6"/>
        <v>0.98330905704529714</v>
      </c>
      <c r="L41" s="604"/>
      <c r="M41" s="609">
        <v>1256.3699999999999</v>
      </c>
      <c r="N41" s="767">
        <v>20.97</v>
      </c>
      <c r="O41" s="776">
        <v>0</v>
      </c>
      <c r="P41" s="777">
        <f t="shared" si="7"/>
        <v>20.97</v>
      </c>
      <c r="Q41" s="607">
        <f t="shared" si="8"/>
        <v>1235.3999999999999</v>
      </c>
      <c r="R41" s="600">
        <f t="shared" si="9"/>
        <v>0.98330905704529714</v>
      </c>
      <c r="S41" s="599"/>
      <c r="T41" s="578"/>
    </row>
    <row r="42" spans="2:20" s="612" customFormat="1" ht="15.75" x14ac:dyDescent="0.25">
      <c r="B42" s="581" t="s">
        <v>1314</v>
      </c>
      <c r="C42" s="580" t="s">
        <v>270</v>
      </c>
      <c r="D42" s="548" t="s">
        <v>414</v>
      </c>
      <c r="E42" s="610" t="s">
        <v>1118</v>
      </c>
      <c r="F42" s="548" t="s">
        <v>860</v>
      </c>
      <c r="G42" s="583" t="s">
        <v>403</v>
      </c>
      <c r="H42" s="609" t="s">
        <v>1400</v>
      </c>
      <c r="I42" s="608" t="s">
        <v>1401</v>
      </c>
      <c r="J42" s="607">
        <f t="shared" si="5"/>
        <v>230.57999999999998</v>
      </c>
      <c r="K42" s="600">
        <f t="shared" si="6"/>
        <v>0.88855491329479763</v>
      </c>
      <c r="L42" s="604"/>
      <c r="M42" s="609">
        <v>259.5</v>
      </c>
      <c r="N42" s="767">
        <v>28.92</v>
      </c>
      <c r="O42" s="776">
        <v>0</v>
      </c>
      <c r="P42" s="777">
        <f t="shared" si="7"/>
        <v>28.92</v>
      </c>
      <c r="Q42" s="607">
        <f t="shared" si="8"/>
        <v>230.57999999999998</v>
      </c>
      <c r="R42" s="600">
        <f t="shared" si="9"/>
        <v>0.88855491329479763</v>
      </c>
      <c r="S42" s="599"/>
      <c r="T42" s="578"/>
    </row>
    <row r="43" spans="2:20" s="612" customFormat="1" ht="15.75" x14ac:dyDescent="0.25">
      <c r="B43" s="581" t="s">
        <v>1315</v>
      </c>
      <c r="C43" s="580" t="s">
        <v>270</v>
      </c>
      <c r="D43" s="548" t="s">
        <v>1369</v>
      </c>
      <c r="E43" s="610" t="s">
        <v>1118</v>
      </c>
      <c r="F43" s="548" t="s">
        <v>860</v>
      </c>
      <c r="G43" s="583" t="s">
        <v>403</v>
      </c>
      <c r="H43" s="609" t="s">
        <v>1402</v>
      </c>
      <c r="I43" s="608" t="s">
        <v>1403</v>
      </c>
      <c r="J43" s="607">
        <f t="shared" si="5"/>
        <v>1366.1</v>
      </c>
      <c r="K43" s="600">
        <f t="shared" si="6"/>
        <v>0.77929264118653729</v>
      </c>
      <c r="L43" s="604"/>
      <c r="M43" s="609">
        <v>1753</v>
      </c>
      <c r="N43" s="767">
        <v>386.9</v>
      </c>
      <c r="O43" s="776">
        <v>0</v>
      </c>
      <c r="P43" s="777">
        <f t="shared" si="7"/>
        <v>386.9</v>
      </c>
      <c r="Q43" s="607">
        <f t="shared" si="8"/>
        <v>1366.1</v>
      </c>
      <c r="R43" s="600">
        <f t="shared" si="9"/>
        <v>0.77929264118653729</v>
      </c>
      <c r="S43" s="599"/>
      <c r="T43" s="578"/>
    </row>
    <row r="44" spans="2:20" s="612" customFormat="1" ht="15.75" x14ac:dyDescent="0.25">
      <c r="B44" s="581" t="s">
        <v>1316</v>
      </c>
      <c r="C44" s="580" t="s">
        <v>270</v>
      </c>
      <c r="D44" s="548" t="s">
        <v>414</v>
      </c>
      <c r="E44" s="610" t="s">
        <v>1118</v>
      </c>
      <c r="F44" s="548" t="s">
        <v>858</v>
      </c>
      <c r="G44" s="583" t="s">
        <v>403</v>
      </c>
      <c r="H44" s="609" t="s">
        <v>1404</v>
      </c>
      <c r="I44" s="608" t="s">
        <v>1391</v>
      </c>
      <c r="J44" s="607">
        <f t="shared" si="5"/>
        <v>437.73</v>
      </c>
      <c r="K44" s="600">
        <f t="shared" si="6"/>
        <v>1</v>
      </c>
      <c r="L44" s="604"/>
      <c r="M44" s="609">
        <v>437.73</v>
      </c>
      <c r="N44" s="767">
        <v>0</v>
      </c>
      <c r="O44" s="776">
        <v>0</v>
      </c>
      <c r="P44" s="777">
        <f t="shared" si="7"/>
        <v>0</v>
      </c>
      <c r="Q44" s="607">
        <f t="shared" si="8"/>
        <v>437.73</v>
      </c>
      <c r="R44" s="600">
        <f t="shared" si="9"/>
        <v>1</v>
      </c>
      <c r="S44" s="599"/>
      <c r="T44" s="578"/>
    </row>
    <row r="45" spans="2:20" s="612" customFormat="1" ht="15.75" x14ac:dyDescent="0.25">
      <c r="B45" s="581" t="s">
        <v>1317</v>
      </c>
      <c r="C45" s="580" t="s">
        <v>270</v>
      </c>
      <c r="D45" s="548" t="s">
        <v>419</v>
      </c>
      <c r="E45" s="610" t="s">
        <v>1118</v>
      </c>
      <c r="F45" s="548" t="s">
        <v>858</v>
      </c>
      <c r="G45" s="583" t="s">
        <v>403</v>
      </c>
      <c r="H45" s="609" t="s">
        <v>1405</v>
      </c>
      <c r="I45" s="608" t="s">
        <v>1391</v>
      </c>
      <c r="J45" s="607">
        <f t="shared" si="5"/>
        <v>2131.37</v>
      </c>
      <c r="K45" s="600">
        <f t="shared" si="6"/>
        <v>1</v>
      </c>
      <c r="L45" s="604"/>
      <c r="M45" s="609">
        <v>2131.37</v>
      </c>
      <c r="N45" s="767">
        <v>0</v>
      </c>
      <c r="O45" s="776">
        <v>0</v>
      </c>
      <c r="P45" s="777">
        <f t="shared" si="7"/>
        <v>0</v>
      </c>
      <c r="Q45" s="607">
        <f t="shared" si="8"/>
        <v>2131.37</v>
      </c>
      <c r="R45" s="600">
        <f t="shared" si="9"/>
        <v>1</v>
      </c>
      <c r="S45" s="599"/>
      <c r="T45" s="578"/>
    </row>
    <row r="46" spans="2:20" s="612" customFormat="1" ht="15.75" x14ac:dyDescent="0.25">
      <c r="B46" s="581" t="s">
        <v>1318</v>
      </c>
      <c r="C46" s="580" t="s">
        <v>270</v>
      </c>
      <c r="D46" s="548" t="s">
        <v>1370</v>
      </c>
      <c r="E46" s="610" t="s">
        <v>1118</v>
      </c>
      <c r="F46" s="548" t="s">
        <v>858</v>
      </c>
      <c r="G46" s="583" t="s">
        <v>403</v>
      </c>
      <c r="H46" s="609" t="s">
        <v>1406</v>
      </c>
      <c r="I46" s="608" t="s">
        <v>1391</v>
      </c>
      <c r="J46" s="607">
        <f t="shared" si="5"/>
        <v>2892.47</v>
      </c>
      <c r="K46" s="600">
        <f t="shared" si="6"/>
        <v>1</v>
      </c>
      <c r="L46" s="604"/>
      <c r="M46" s="609">
        <v>2892.47</v>
      </c>
      <c r="N46" s="767">
        <v>0</v>
      </c>
      <c r="O46" s="776">
        <v>0</v>
      </c>
      <c r="P46" s="777">
        <f t="shared" si="7"/>
        <v>0</v>
      </c>
      <c r="Q46" s="607">
        <f t="shared" si="8"/>
        <v>2892.47</v>
      </c>
      <c r="R46" s="600">
        <f t="shared" si="9"/>
        <v>1</v>
      </c>
      <c r="S46" s="599"/>
      <c r="T46" s="578"/>
    </row>
    <row r="47" spans="2:20" s="612" customFormat="1" ht="15.75" x14ac:dyDescent="0.25">
      <c r="B47" s="581" t="s">
        <v>1319</v>
      </c>
      <c r="C47" s="580" t="s">
        <v>270</v>
      </c>
      <c r="D47" s="548" t="s">
        <v>1371</v>
      </c>
      <c r="E47" s="610" t="s">
        <v>1118</v>
      </c>
      <c r="F47" s="548" t="s">
        <v>858</v>
      </c>
      <c r="G47" s="583" t="s">
        <v>403</v>
      </c>
      <c r="H47" s="609" t="s">
        <v>1407</v>
      </c>
      <c r="I47" s="608" t="s">
        <v>1391</v>
      </c>
      <c r="J47" s="607">
        <f t="shared" si="5"/>
        <v>332.03</v>
      </c>
      <c r="K47" s="600">
        <f t="shared" si="6"/>
        <v>1</v>
      </c>
      <c r="L47" s="604"/>
      <c r="M47" s="609">
        <v>332.03</v>
      </c>
      <c r="N47" s="767">
        <v>0</v>
      </c>
      <c r="O47" s="776">
        <v>0</v>
      </c>
      <c r="P47" s="777">
        <f t="shared" si="7"/>
        <v>0</v>
      </c>
      <c r="Q47" s="607">
        <f t="shared" si="8"/>
        <v>332.03</v>
      </c>
      <c r="R47" s="600">
        <f t="shared" si="9"/>
        <v>1</v>
      </c>
      <c r="S47" s="599"/>
      <c r="T47" s="578"/>
    </row>
    <row r="48" spans="2:20" s="612" customFormat="1" ht="15.75" x14ac:dyDescent="0.25">
      <c r="B48" s="581" t="s">
        <v>1320</v>
      </c>
      <c r="C48" s="580" t="s">
        <v>270</v>
      </c>
      <c r="D48" s="548" t="s">
        <v>1372</v>
      </c>
      <c r="E48" s="610" t="s">
        <v>1118</v>
      </c>
      <c r="F48" s="548" t="s">
        <v>858</v>
      </c>
      <c r="G48" s="583" t="s">
        <v>403</v>
      </c>
      <c r="H48" s="609" t="s">
        <v>1408</v>
      </c>
      <c r="I48" s="608" t="s">
        <v>1391</v>
      </c>
      <c r="J48" s="607">
        <f t="shared" si="5"/>
        <v>369.81</v>
      </c>
      <c r="K48" s="600">
        <f t="shared" si="6"/>
        <v>1</v>
      </c>
      <c r="L48" s="604"/>
      <c r="M48" s="609">
        <v>369.81</v>
      </c>
      <c r="N48" s="767">
        <v>0</v>
      </c>
      <c r="O48" s="776">
        <v>0</v>
      </c>
      <c r="P48" s="777">
        <f t="shared" si="7"/>
        <v>0</v>
      </c>
      <c r="Q48" s="607">
        <f t="shared" si="8"/>
        <v>369.81</v>
      </c>
      <c r="R48" s="600">
        <f t="shared" si="9"/>
        <v>1</v>
      </c>
      <c r="S48" s="599"/>
      <c r="T48" s="578"/>
    </row>
    <row r="49" spans="2:20" s="612" customFormat="1" ht="15.75" x14ac:dyDescent="0.25">
      <c r="B49" s="581" t="s">
        <v>1321</v>
      </c>
      <c r="C49" s="580" t="s">
        <v>270</v>
      </c>
      <c r="D49" s="548" t="s">
        <v>1373</v>
      </c>
      <c r="E49" s="610" t="s">
        <v>1118</v>
      </c>
      <c r="F49" s="548" t="s">
        <v>860</v>
      </c>
      <c r="G49" s="583" t="s">
        <v>403</v>
      </c>
      <c r="H49" s="609" t="s">
        <v>1409</v>
      </c>
      <c r="I49" s="608" t="s">
        <v>1391</v>
      </c>
      <c r="J49" s="607">
        <f t="shared" si="5"/>
        <v>261.01</v>
      </c>
      <c r="K49" s="600">
        <f t="shared" si="6"/>
        <v>1</v>
      </c>
      <c r="L49" s="604"/>
      <c r="M49" s="609">
        <v>261.01</v>
      </c>
      <c r="N49" s="767">
        <v>0</v>
      </c>
      <c r="O49" s="776">
        <v>0</v>
      </c>
      <c r="P49" s="777">
        <f t="shared" si="7"/>
        <v>0</v>
      </c>
      <c r="Q49" s="607">
        <f t="shared" si="8"/>
        <v>261.01</v>
      </c>
      <c r="R49" s="600">
        <f t="shared" si="9"/>
        <v>1</v>
      </c>
      <c r="S49" s="599"/>
      <c r="T49" s="578"/>
    </row>
    <row r="50" spans="2:20" s="612" customFormat="1" ht="15.75" x14ac:dyDescent="0.25">
      <c r="B50" s="581" t="s">
        <v>1322</v>
      </c>
      <c r="C50" s="580" t="s">
        <v>270</v>
      </c>
      <c r="D50" s="548" t="s">
        <v>1374</v>
      </c>
      <c r="E50" s="610" t="s">
        <v>1118</v>
      </c>
      <c r="F50" s="548" t="s">
        <v>860</v>
      </c>
      <c r="G50" s="583" t="s">
        <v>403</v>
      </c>
      <c r="H50" s="609" t="s">
        <v>1410</v>
      </c>
      <c r="I50" s="608" t="s">
        <v>1391</v>
      </c>
      <c r="J50" s="607">
        <f t="shared" si="5"/>
        <v>2384.84</v>
      </c>
      <c r="K50" s="600">
        <f t="shared" si="6"/>
        <v>1</v>
      </c>
      <c r="L50" s="604"/>
      <c r="M50" s="609">
        <v>2384.84</v>
      </c>
      <c r="N50" s="767">
        <v>0</v>
      </c>
      <c r="O50" s="776">
        <v>0</v>
      </c>
      <c r="P50" s="777">
        <f t="shared" si="7"/>
        <v>0</v>
      </c>
      <c r="Q50" s="607">
        <f t="shared" si="8"/>
        <v>2384.84</v>
      </c>
      <c r="R50" s="600">
        <f t="shared" si="9"/>
        <v>1</v>
      </c>
      <c r="S50" s="599"/>
      <c r="T50" s="578"/>
    </row>
    <row r="51" spans="2:20" s="612" customFormat="1" ht="15.75" x14ac:dyDescent="0.25">
      <c r="B51" s="581" t="s">
        <v>1323</v>
      </c>
      <c r="C51" s="580" t="s">
        <v>270</v>
      </c>
      <c r="D51" s="548" t="s">
        <v>1375</v>
      </c>
      <c r="E51" s="610" t="s">
        <v>1118</v>
      </c>
      <c r="F51" s="548" t="s">
        <v>860</v>
      </c>
      <c r="G51" s="583" t="s">
        <v>403</v>
      </c>
      <c r="H51" s="609" t="s">
        <v>1411</v>
      </c>
      <c r="I51" s="608" t="s">
        <v>1412</v>
      </c>
      <c r="J51" s="607">
        <f t="shared" si="5"/>
        <v>2224.2800000000002</v>
      </c>
      <c r="K51" s="600">
        <f t="shared" si="6"/>
        <v>0.94881157540908079</v>
      </c>
      <c r="L51" s="604"/>
      <c r="M51" s="609">
        <v>2344.2800000000002</v>
      </c>
      <c r="N51" s="767">
        <v>120</v>
      </c>
      <c r="O51" s="776">
        <v>0</v>
      </c>
      <c r="P51" s="777">
        <f t="shared" si="7"/>
        <v>120</v>
      </c>
      <c r="Q51" s="607">
        <f t="shared" si="8"/>
        <v>2224.2800000000002</v>
      </c>
      <c r="R51" s="600">
        <f t="shared" si="9"/>
        <v>0.94881157540908079</v>
      </c>
      <c r="S51" s="599"/>
      <c r="T51" s="578"/>
    </row>
    <row r="52" spans="2:20" s="612" customFormat="1" ht="15.75" x14ac:dyDescent="0.25">
      <c r="B52" s="581" t="s">
        <v>1324</v>
      </c>
      <c r="C52" s="580" t="s">
        <v>270</v>
      </c>
      <c r="D52" s="548" t="s">
        <v>1376</v>
      </c>
      <c r="E52" s="610" t="s">
        <v>858</v>
      </c>
      <c r="F52" s="548" t="s">
        <v>1233</v>
      </c>
      <c r="G52" s="583" t="s">
        <v>403</v>
      </c>
      <c r="H52" s="609" t="s">
        <v>1413</v>
      </c>
      <c r="I52" s="608" t="s">
        <v>1391</v>
      </c>
      <c r="J52" s="607">
        <f t="shared" si="5"/>
        <v>293.8</v>
      </c>
      <c r="K52" s="600">
        <f t="shared" si="6"/>
        <v>1</v>
      </c>
      <c r="L52" s="604"/>
      <c r="M52" s="609">
        <v>293.8</v>
      </c>
      <c r="N52" s="767">
        <v>0</v>
      </c>
      <c r="O52" s="776">
        <v>0</v>
      </c>
      <c r="P52" s="777">
        <f t="shared" si="7"/>
        <v>0</v>
      </c>
      <c r="Q52" s="607">
        <f t="shared" si="8"/>
        <v>293.8</v>
      </c>
      <c r="R52" s="600">
        <f t="shared" si="9"/>
        <v>1</v>
      </c>
      <c r="S52" s="599"/>
      <c r="T52" s="578"/>
    </row>
    <row r="53" spans="2:20" s="612" customFormat="1" ht="15.75" x14ac:dyDescent="0.25">
      <c r="B53" s="581" t="s">
        <v>1325</v>
      </c>
      <c r="C53" s="580" t="s">
        <v>270</v>
      </c>
      <c r="D53" s="548" t="s">
        <v>1377</v>
      </c>
      <c r="E53" s="610" t="s">
        <v>1390</v>
      </c>
      <c r="F53" s="548" t="s">
        <v>1124</v>
      </c>
      <c r="G53" s="583" t="s">
        <v>403</v>
      </c>
      <c r="H53" s="609" t="s">
        <v>1414</v>
      </c>
      <c r="I53" s="608" t="s">
        <v>1415</v>
      </c>
      <c r="J53" s="607">
        <f t="shared" si="5"/>
        <v>2157.9299999999998</v>
      </c>
      <c r="K53" s="600">
        <f t="shared" si="6"/>
        <v>0.96855026929982035</v>
      </c>
      <c r="L53" s="604"/>
      <c r="M53" s="609">
        <v>2228</v>
      </c>
      <c r="N53" s="767">
        <v>70.069999999999993</v>
      </c>
      <c r="O53" s="776">
        <v>0</v>
      </c>
      <c r="P53" s="777">
        <f t="shared" si="7"/>
        <v>70.069999999999993</v>
      </c>
      <c r="Q53" s="607">
        <f t="shared" si="8"/>
        <v>2157.9299999999998</v>
      </c>
      <c r="R53" s="600">
        <f t="shared" si="9"/>
        <v>0.96855026929982035</v>
      </c>
      <c r="S53" s="599"/>
      <c r="T53" s="578"/>
    </row>
    <row r="54" spans="2:20" s="612" customFormat="1" ht="15.75" x14ac:dyDescent="0.25">
      <c r="B54" s="581" t="s">
        <v>1326</v>
      </c>
      <c r="C54" s="580" t="s">
        <v>270</v>
      </c>
      <c r="D54" s="548" t="s">
        <v>1378</v>
      </c>
      <c r="E54" s="610" t="s">
        <v>1124</v>
      </c>
      <c r="F54" s="548" t="s">
        <v>1124</v>
      </c>
      <c r="G54" s="583" t="s">
        <v>403</v>
      </c>
      <c r="H54" s="609" t="s">
        <v>1416</v>
      </c>
      <c r="I54" s="608" t="s">
        <v>1391</v>
      </c>
      <c r="J54" s="607">
        <f t="shared" si="5"/>
        <v>307.95</v>
      </c>
      <c r="K54" s="600">
        <f t="shared" si="6"/>
        <v>1</v>
      </c>
      <c r="L54" s="604"/>
      <c r="M54" s="609">
        <v>307.95</v>
      </c>
      <c r="N54" s="767">
        <v>0</v>
      </c>
      <c r="O54" s="776">
        <v>0</v>
      </c>
      <c r="P54" s="777">
        <f t="shared" si="7"/>
        <v>0</v>
      </c>
      <c r="Q54" s="607">
        <f t="shared" si="8"/>
        <v>307.95</v>
      </c>
      <c r="R54" s="600">
        <f t="shared" si="9"/>
        <v>1</v>
      </c>
      <c r="S54" s="599"/>
      <c r="T54" s="578"/>
    </row>
    <row r="55" spans="2:20" s="612" customFormat="1" ht="15.75" x14ac:dyDescent="0.25">
      <c r="B55" s="581" t="s">
        <v>1327</v>
      </c>
      <c r="C55" s="580" t="s">
        <v>270</v>
      </c>
      <c r="D55" s="548" t="s">
        <v>1379</v>
      </c>
      <c r="E55" s="610" t="s">
        <v>1390</v>
      </c>
      <c r="F55" s="548" t="s">
        <v>1124</v>
      </c>
      <c r="G55" s="583" t="s">
        <v>403</v>
      </c>
      <c r="H55" s="609" t="s">
        <v>1417</v>
      </c>
      <c r="I55" s="608" t="s">
        <v>1418</v>
      </c>
      <c r="J55" s="607">
        <f t="shared" si="5"/>
        <v>17116.48</v>
      </c>
      <c r="K55" s="600">
        <f t="shared" si="6"/>
        <v>0.98653779095737482</v>
      </c>
      <c r="L55" s="604"/>
      <c r="M55" s="609">
        <v>17350.05</v>
      </c>
      <c r="N55" s="767">
        <v>233.57</v>
      </c>
      <c r="O55" s="776">
        <v>0</v>
      </c>
      <c r="P55" s="777">
        <f t="shared" si="7"/>
        <v>233.57</v>
      </c>
      <c r="Q55" s="607">
        <f t="shared" si="8"/>
        <v>17116.48</v>
      </c>
      <c r="R55" s="600">
        <f t="shared" si="9"/>
        <v>0.98653779095737482</v>
      </c>
      <c r="S55" s="599"/>
      <c r="T55" s="578"/>
    </row>
    <row r="56" spans="2:20" s="612" customFormat="1" ht="15.75" x14ac:dyDescent="0.25">
      <c r="B56" s="581" t="s">
        <v>1328</v>
      </c>
      <c r="C56" s="580" t="s">
        <v>270</v>
      </c>
      <c r="D56" s="548" t="s">
        <v>1068</v>
      </c>
      <c r="E56" s="610" t="s">
        <v>1390</v>
      </c>
      <c r="F56" s="548" t="s">
        <v>1124</v>
      </c>
      <c r="G56" s="583" t="s">
        <v>403</v>
      </c>
      <c r="H56" s="609" t="s">
        <v>1391</v>
      </c>
      <c r="I56" s="608" t="s">
        <v>1391</v>
      </c>
      <c r="J56" s="607">
        <f t="shared" si="5"/>
        <v>0</v>
      </c>
      <c r="K56" s="600">
        <f t="shared" si="6"/>
        <v>0</v>
      </c>
      <c r="L56" s="604"/>
      <c r="M56" s="609">
        <v>0</v>
      </c>
      <c r="N56" s="767">
        <v>0</v>
      </c>
      <c r="O56" s="776">
        <v>0</v>
      </c>
      <c r="P56" s="777">
        <f t="shared" si="7"/>
        <v>0</v>
      </c>
      <c r="Q56" s="607">
        <f t="shared" si="8"/>
        <v>0</v>
      </c>
      <c r="R56" s="600">
        <f t="shared" si="9"/>
        <v>0</v>
      </c>
      <c r="S56" s="599"/>
      <c r="T56" s="578"/>
    </row>
    <row r="57" spans="2:20" s="612" customFormat="1" ht="15.75" x14ac:dyDescent="0.25">
      <c r="B57" s="581" t="s">
        <v>1329</v>
      </c>
      <c r="C57" s="580" t="s">
        <v>270</v>
      </c>
      <c r="D57" s="548" t="s">
        <v>414</v>
      </c>
      <c r="E57" s="610" t="s">
        <v>1390</v>
      </c>
      <c r="F57" s="548" t="s">
        <v>1099</v>
      </c>
      <c r="G57" s="583" t="s">
        <v>403</v>
      </c>
      <c r="H57" s="609" t="s">
        <v>1419</v>
      </c>
      <c r="I57" s="608" t="s">
        <v>1420</v>
      </c>
      <c r="J57" s="607">
        <f t="shared" si="5"/>
        <v>336.49</v>
      </c>
      <c r="K57" s="600">
        <f t="shared" si="6"/>
        <v>0.96230731832870986</v>
      </c>
      <c r="L57" s="604"/>
      <c r="M57" s="609">
        <v>349.67</v>
      </c>
      <c r="N57" s="767">
        <v>13.18</v>
      </c>
      <c r="O57" s="776">
        <v>0</v>
      </c>
      <c r="P57" s="777">
        <f t="shared" si="7"/>
        <v>13.18</v>
      </c>
      <c r="Q57" s="607">
        <f t="shared" si="8"/>
        <v>336.49</v>
      </c>
      <c r="R57" s="600">
        <f t="shared" si="9"/>
        <v>0.96230731832870986</v>
      </c>
      <c r="S57" s="599"/>
      <c r="T57" s="578"/>
    </row>
    <row r="58" spans="2:20" s="612" customFormat="1" ht="15.75" x14ac:dyDescent="0.25">
      <c r="B58" s="581" t="s">
        <v>1330</v>
      </c>
      <c r="C58" s="580" t="s">
        <v>270</v>
      </c>
      <c r="D58" s="548" t="s">
        <v>414</v>
      </c>
      <c r="E58" s="610" t="s">
        <v>1389</v>
      </c>
      <c r="F58" s="548" t="s">
        <v>1099</v>
      </c>
      <c r="G58" s="583" t="s">
        <v>403</v>
      </c>
      <c r="H58" s="609" t="s">
        <v>1421</v>
      </c>
      <c r="I58" s="608" t="s">
        <v>1391</v>
      </c>
      <c r="J58" s="607">
        <f t="shared" si="5"/>
        <v>104.73</v>
      </c>
      <c r="K58" s="600">
        <f t="shared" si="6"/>
        <v>1</v>
      </c>
      <c r="L58" s="604"/>
      <c r="M58" s="609">
        <v>104.73</v>
      </c>
      <c r="N58" s="767">
        <v>0</v>
      </c>
      <c r="O58" s="776">
        <v>0</v>
      </c>
      <c r="P58" s="777">
        <f t="shared" si="7"/>
        <v>0</v>
      </c>
      <c r="Q58" s="607">
        <f t="shared" si="8"/>
        <v>104.73</v>
      </c>
      <c r="R58" s="600">
        <f t="shared" si="9"/>
        <v>1</v>
      </c>
      <c r="S58" s="599"/>
      <c r="T58" s="578"/>
    </row>
    <row r="59" spans="2:20" s="612" customFormat="1" ht="15.75" x14ac:dyDescent="0.25">
      <c r="B59" s="581" t="s">
        <v>1331</v>
      </c>
      <c r="C59" s="580" t="s">
        <v>270</v>
      </c>
      <c r="D59" s="548" t="s">
        <v>1370</v>
      </c>
      <c r="E59" s="610" t="s">
        <v>1389</v>
      </c>
      <c r="F59" s="548" t="s">
        <v>1099</v>
      </c>
      <c r="G59" s="583" t="s">
        <v>403</v>
      </c>
      <c r="H59" s="609" t="s">
        <v>1422</v>
      </c>
      <c r="I59" s="608" t="s">
        <v>1391</v>
      </c>
      <c r="J59" s="607">
        <f t="shared" si="5"/>
        <v>3310.17</v>
      </c>
      <c r="K59" s="600">
        <f t="shared" si="6"/>
        <v>1</v>
      </c>
      <c r="L59" s="604"/>
      <c r="M59" s="609">
        <v>3310.17</v>
      </c>
      <c r="N59" s="767">
        <v>0</v>
      </c>
      <c r="O59" s="776">
        <v>0</v>
      </c>
      <c r="P59" s="777">
        <f t="shared" si="7"/>
        <v>0</v>
      </c>
      <c r="Q59" s="607">
        <f t="shared" si="8"/>
        <v>3310.17</v>
      </c>
      <c r="R59" s="600">
        <f t="shared" si="9"/>
        <v>1</v>
      </c>
      <c r="S59" s="599"/>
      <c r="T59" s="578"/>
    </row>
    <row r="60" spans="2:20" s="612" customFormat="1" ht="30" x14ac:dyDescent="0.25">
      <c r="B60" s="581" t="s">
        <v>1332</v>
      </c>
      <c r="C60" s="580" t="s">
        <v>270</v>
      </c>
      <c r="D60" s="548" t="s">
        <v>414</v>
      </c>
      <c r="E60" s="610" t="s">
        <v>1389</v>
      </c>
      <c r="F60" s="548" t="s">
        <v>1099</v>
      </c>
      <c r="G60" s="583" t="s">
        <v>403</v>
      </c>
      <c r="H60" s="609" t="s">
        <v>1423</v>
      </c>
      <c r="I60" s="608" t="s">
        <v>1424</v>
      </c>
      <c r="J60" s="607">
        <f t="shared" si="5"/>
        <v>291.90999999999997</v>
      </c>
      <c r="K60" s="600">
        <f t="shared" si="6"/>
        <v>0.59272269487705331</v>
      </c>
      <c r="L60" s="604"/>
      <c r="M60" s="609">
        <v>492.49</v>
      </c>
      <c r="N60" s="767">
        <v>200.58</v>
      </c>
      <c r="O60" s="776">
        <v>0</v>
      </c>
      <c r="P60" s="777">
        <f t="shared" si="7"/>
        <v>200.58</v>
      </c>
      <c r="Q60" s="607">
        <f t="shared" si="8"/>
        <v>291.90999999999997</v>
      </c>
      <c r="R60" s="600">
        <f t="shared" si="9"/>
        <v>0.59272269487705331</v>
      </c>
      <c r="S60" s="599"/>
      <c r="T60" s="578" t="s">
        <v>1473</v>
      </c>
    </row>
    <row r="61" spans="2:20" s="612" customFormat="1" ht="15.75" x14ac:dyDescent="0.25">
      <c r="B61" s="581" t="s">
        <v>1333</v>
      </c>
      <c r="C61" s="580" t="s">
        <v>270</v>
      </c>
      <c r="D61" s="548" t="s">
        <v>420</v>
      </c>
      <c r="E61" s="610" t="s">
        <v>1389</v>
      </c>
      <c r="F61" s="548" t="s">
        <v>1099</v>
      </c>
      <c r="G61" s="583" t="s">
        <v>403</v>
      </c>
      <c r="H61" s="609" t="s">
        <v>1425</v>
      </c>
      <c r="I61" s="608" t="s">
        <v>1391</v>
      </c>
      <c r="J61" s="607">
        <f t="shared" si="5"/>
        <v>461.11</v>
      </c>
      <c r="K61" s="600">
        <f t="shared" si="6"/>
        <v>1</v>
      </c>
      <c r="L61" s="604"/>
      <c r="M61" s="609">
        <v>461.11</v>
      </c>
      <c r="N61" s="767">
        <v>0</v>
      </c>
      <c r="O61" s="776">
        <v>0</v>
      </c>
      <c r="P61" s="777">
        <f t="shared" si="7"/>
        <v>0</v>
      </c>
      <c r="Q61" s="607">
        <f t="shared" si="8"/>
        <v>461.11</v>
      </c>
      <c r="R61" s="600">
        <f t="shared" si="9"/>
        <v>1</v>
      </c>
      <c r="S61" s="599"/>
      <c r="T61" s="578"/>
    </row>
    <row r="62" spans="2:20" s="612" customFormat="1" ht="15.75" x14ac:dyDescent="0.25">
      <c r="B62" s="581" t="s">
        <v>1334</v>
      </c>
      <c r="C62" s="580" t="s">
        <v>270</v>
      </c>
      <c r="D62" s="548" t="s">
        <v>419</v>
      </c>
      <c r="E62" s="610" t="s">
        <v>1124</v>
      </c>
      <c r="F62" s="548" t="s">
        <v>1152</v>
      </c>
      <c r="G62" s="583" t="s">
        <v>403</v>
      </c>
      <c r="H62" s="609" t="s">
        <v>1426</v>
      </c>
      <c r="I62" s="608" t="s">
        <v>1391</v>
      </c>
      <c r="J62" s="607">
        <f t="shared" si="5"/>
        <v>365.89</v>
      </c>
      <c r="K62" s="600">
        <f t="shared" si="6"/>
        <v>1</v>
      </c>
      <c r="L62" s="604"/>
      <c r="M62" s="609">
        <v>365.89</v>
      </c>
      <c r="N62" s="767">
        <v>0</v>
      </c>
      <c r="O62" s="776">
        <v>0</v>
      </c>
      <c r="P62" s="777">
        <f t="shared" si="7"/>
        <v>0</v>
      </c>
      <c r="Q62" s="607">
        <f t="shared" si="8"/>
        <v>365.89</v>
      </c>
      <c r="R62" s="600">
        <f t="shared" si="9"/>
        <v>1</v>
      </c>
      <c r="S62" s="599"/>
      <c r="T62" s="578"/>
    </row>
    <row r="63" spans="2:20" s="612" customFormat="1" ht="15.75" x14ac:dyDescent="0.25">
      <c r="B63" s="581" t="s">
        <v>1335</v>
      </c>
      <c r="C63" s="580" t="s">
        <v>270</v>
      </c>
      <c r="D63" s="548" t="s">
        <v>423</v>
      </c>
      <c r="E63" s="610" t="s">
        <v>1389</v>
      </c>
      <c r="F63" s="548" t="s">
        <v>1152</v>
      </c>
      <c r="G63" s="583" t="s">
        <v>403</v>
      </c>
      <c r="H63" s="609" t="s">
        <v>1427</v>
      </c>
      <c r="I63" s="608" t="s">
        <v>1391</v>
      </c>
      <c r="J63" s="607">
        <f t="shared" si="5"/>
        <v>689.71</v>
      </c>
      <c r="K63" s="600">
        <f t="shared" si="6"/>
        <v>1</v>
      </c>
      <c r="L63" s="604"/>
      <c r="M63" s="609">
        <v>689.71</v>
      </c>
      <c r="N63" s="767">
        <v>0</v>
      </c>
      <c r="O63" s="776">
        <v>0</v>
      </c>
      <c r="P63" s="777">
        <f t="shared" si="7"/>
        <v>0</v>
      </c>
      <c r="Q63" s="607">
        <f t="shared" si="8"/>
        <v>689.71</v>
      </c>
      <c r="R63" s="600">
        <f t="shared" si="9"/>
        <v>1</v>
      </c>
      <c r="S63" s="599"/>
      <c r="T63" s="578"/>
    </row>
    <row r="64" spans="2:20" s="612" customFormat="1" ht="30" x14ac:dyDescent="0.25">
      <c r="B64" s="581" t="s">
        <v>1336</v>
      </c>
      <c r="C64" s="580" t="s">
        <v>270</v>
      </c>
      <c r="D64" s="548" t="s">
        <v>1380</v>
      </c>
      <c r="E64" s="610" t="s">
        <v>1099</v>
      </c>
      <c r="F64" s="548" t="s">
        <v>691</v>
      </c>
      <c r="G64" s="583" t="s">
        <v>403</v>
      </c>
      <c r="H64" s="609" t="s">
        <v>1428</v>
      </c>
      <c r="I64" s="608" t="s">
        <v>1428</v>
      </c>
      <c r="J64" s="607">
        <f t="shared" si="5"/>
        <v>0</v>
      </c>
      <c r="K64" s="600">
        <f t="shared" si="6"/>
        <v>0</v>
      </c>
      <c r="L64" s="604"/>
      <c r="M64" s="609">
        <v>500</v>
      </c>
      <c r="N64" s="767">
        <v>500</v>
      </c>
      <c r="O64" s="776">
        <v>0</v>
      </c>
      <c r="P64" s="777">
        <f t="shared" si="7"/>
        <v>500</v>
      </c>
      <c r="Q64" s="607">
        <f t="shared" si="8"/>
        <v>0</v>
      </c>
      <c r="R64" s="600">
        <f t="shared" si="9"/>
        <v>0</v>
      </c>
      <c r="S64" s="599"/>
      <c r="T64" s="578" t="s">
        <v>1472</v>
      </c>
    </row>
    <row r="65" spans="2:20" s="612" customFormat="1" ht="15.75" x14ac:dyDescent="0.25">
      <c r="B65" s="581" t="s">
        <v>1337</v>
      </c>
      <c r="C65" s="580" t="s">
        <v>270</v>
      </c>
      <c r="D65" s="548" t="s">
        <v>1371</v>
      </c>
      <c r="E65" s="610" t="s">
        <v>1152</v>
      </c>
      <c r="F65" s="548" t="s">
        <v>865</v>
      </c>
      <c r="G65" s="583" t="s">
        <v>403</v>
      </c>
      <c r="H65" s="609" t="s">
        <v>1429</v>
      </c>
      <c r="I65" s="608" t="s">
        <v>1430</v>
      </c>
      <c r="J65" s="607">
        <f t="shared" si="5"/>
        <v>3010.87</v>
      </c>
      <c r="K65" s="600">
        <f t="shared" si="6"/>
        <v>0.96771777804204662</v>
      </c>
      <c r="L65" s="604"/>
      <c r="M65" s="609">
        <v>3111.31</v>
      </c>
      <c r="N65" s="767">
        <v>100.44</v>
      </c>
      <c r="O65" s="776">
        <v>0</v>
      </c>
      <c r="P65" s="777">
        <f t="shared" si="7"/>
        <v>100.44</v>
      </c>
      <c r="Q65" s="607">
        <f t="shared" si="8"/>
        <v>3010.87</v>
      </c>
      <c r="R65" s="600">
        <f t="shared" si="9"/>
        <v>0.96771777804204662</v>
      </c>
      <c r="S65" s="599"/>
      <c r="T65" s="578"/>
    </row>
    <row r="66" spans="2:20" s="612" customFormat="1" ht="15.75" x14ac:dyDescent="0.25">
      <c r="B66" s="581" t="s">
        <v>1338</v>
      </c>
      <c r="C66" s="580" t="s">
        <v>270</v>
      </c>
      <c r="D66" s="548" t="s">
        <v>1381</v>
      </c>
      <c r="E66" s="610" t="s">
        <v>865</v>
      </c>
      <c r="F66" s="548" t="s">
        <v>1125</v>
      </c>
      <c r="G66" s="583" t="s">
        <v>403</v>
      </c>
      <c r="H66" s="609" t="s">
        <v>1431</v>
      </c>
      <c r="I66" s="608" t="s">
        <v>1391</v>
      </c>
      <c r="J66" s="607">
        <f t="shared" si="5"/>
        <v>393.92</v>
      </c>
      <c r="K66" s="600">
        <f t="shared" si="6"/>
        <v>1</v>
      </c>
      <c r="L66" s="604"/>
      <c r="M66" s="609">
        <v>393.92</v>
      </c>
      <c r="N66" s="767">
        <v>0</v>
      </c>
      <c r="O66" s="776">
        <v>0</v>
      </c>
      <c r="P66" s="777">
        <f t="shared" si="7"/>
        <v>0</v>
      </c>
      <c r="Q66" s="607">
        <f t="shared" si="8"/>
        <v>393.92</v>
      </c>
      <c r="R66" s="600">
        <f t="shared" si="9"/>
        <v>1</v>
      </c>
      <c r="S66" s="599"/>
      <c r="T66" s="578"/>
    </row>
    <row r="67" spans="2:20" s="612" customFormat="1" ht="15.75" x14ac:dyDescent="0.25">
      <c r="B67" s="581" t="s">
        <v>1339</v>
      </c>
      <c r="C67" s="580" t="s">
        <v>270</v>
      </c>
      <c r="D67" s="548" t="s">
        <v>417</v>
      </c>
      <c r="E67" s="610" t="s">
        <v>1125</v>
      </c>
      <c r="F67" s="548" t="s">
        <v>869</v>
      </c>
      <c r="G67" s="583" t="s">
        <v>403</v>
      </c>
      <c r="H67" s="609" t="s">
        <v>1432</v>
      </c>
      <c r="I67" s="608" t="s">
        <v>1391</v>
      </c>
      <c r="J67" s="607">
        <f t="shared" si="5"/>
        <v>625.83000000000004</v>
      </c>
      <c r="K67" s="600">
        <f t="shared" si="6"/>
        <v>1</v>
      </c>
      <c r="L67" s="604"/>
      <c r="M67" s="609">
        <v>625.83000000000004</v>
      </c>
      <c r="N67" s="767">
        <v>0</v>
      </c>
      <c r="O67" s="776">
        <v>0</v>
      </c>
      <c r="P67" s="777">
        <f t="shared" si="7"/>
        <v>0</v>
      </c>
      <c r="Q67" s="607">
        <f t="shared" si="8"/>
        <v>625.83000000000004</v>
      </c>
      <c r="R67" s="600">
        <f t="shared" si="9"/>
        <v>1</v>
      </c>
      <c r="S67" s="599">
        <f t="shared" si="10"/>
        <v>0</v>
      </c>
      <c r="T67" s="578"/>
    </row>
    <row r="68" spans="2:20" s="612" customFormat="1" ht="15.75" x14ac:dyDescent="0.25">
      <c r="B68" s="581" t="s">
        <v>1340</v>
      </c>
      <c r="C68" s="580" t="s">
        <v>270</v>
      </c>
      <c r="D68" s="548" t="s">
        <v>1370</v>
      </c>
      <c r="E68" s="610" t="s">
        <v>1125</v>
      </c>
      <c r="F68" s="548" t="s">
        <v>869</v>
      </c>
      <c r="G68" s="583" t="s">
        <v>403</v>
      </c>
      <c r="H68" s="609" t="s">
        <v>1433</v>
      </c>
      <c r="I68" s="608" t="s">
        <v>1391</v>
      </c>
      <c r="J68" s="607">
        <f t="shared" si="5"/>
        <v>618.67999999999995</v>
      </c>
      <c r="K68" s="600">
        <f t="shared" si="6"/>
        <v>1</v>
      </c>
      <c r="L68" s="604"/>
      <c r="M68" s="609">
        <v>618.67999999999995</v>
      </c>
      <c r="N68" s="767">
        <v>0</v>
      </c>
      <c r="O68" s="776">
        <v>0</v>
      </c>
      <c r="P68" s="777">
        <f t="shared" si="7"/>
        <v>0</v>
      </c>
      <c r="Q68" s="607">
        <f t="shared" si="8"/>
        <v>618.67999999999995</v>
      </c>
      <c r="R68" s="600">
        <f t="shared" si="9"/>
        <v>1</v>
      </c>
      <c r="S68" s="599">
        <f t="shared" si="10"/>
        <v>0</v>
      </c>
      <c r="T68" s="578"/>
    </row>
    <row r="69" spans="2:20" s="612" customFormat="1" ht="15.75" x14ac:dyDescent="0.25">
      <c r="B69" s="581" t="s">
        <v>1341</v>
      </c>
      <c r="C69" s="580" t="s">
        <v>270</v>
      </c>
      <c r="D69" s="548" t="s">
        <v>1382</v>
      </c>
      <c r="E69" s="610" t="s">
        <v>1125</v>
      </c>
      <c r="F69" s="548" t="s">
        <v>869</v>
      </c>
      <c r="G69" s="583" t="s">
        <v>403</v>
      </c>
      <c r="H69" s="609" t="s">
        <v>1434</v>
      </c>
      <c r="I69" s="608" t="s">
        <v>1391</v>
      </c>
      <c r="J69" s="607">
        <f t="shared" si="5"/>
        <v>3272.68</v>
      </c>
      <c r="K69" s="600">
        <f t="shared" si="6"/>
        <v>1</v>
      </c>
      <c r="L69" s="604"/>
      <c r="M69" s="609">
        <v>3272.68</v>
      </c>
      <c r="N69" s="767">
        <v>0</v>
      </c>
      <c r="O69" s="776">
        <v>0</v>
      </c>
      <c r="P69" s="777">
        <f t="shared" si="7"/>
        <v>0</v>
      </c>
      <c r="Q69" s="607">
        <f t="shared" si="8"/>
        <v>3272.68</v>
      </c>
      <c r="R69" s="600">
        <f t="shared" si="9"/>
        <v>1</v>
      </c>
      <c r="S69" s="599">
        <f t="shared" si="10"/>
        <v>0</v>
      </c>
      <c r="T69" s="578"/>
    </row>
    <row r="70" spans="2:20" s="612" customFormat="1" ht="15.75" x14ac:dyDescent="0.25">
      <c r="B70" s="581" t="s">
        <v>1342</v>
      </c>
      <c r="C70" s="580" t="s">
        <v>270</v>
      </c>
      <c r="D70" s="548" t="s">
        <v>1377</v>
      </c>
      <c r="E70" s="610" t="s">
        <v>869</v>
      </c>
      <c r="F70" s="548" t="s">
        <v>693</v>
      </c>
      <c r="G70" s="583" t="s">
        <v>403</v>
      </c>
      <c r="H70" s="609" t="s">
        <v>1435</v>
      </c>
      <c r="I70" s="608" t="s">
        <v>1436</v>
      </c>
      <c r="J70" s="607">
        <f t="shared" si="5"/>
        <v>3719.67</v>
      </c>
      <c r="K70" s="600">
        <f t="shared" si="6"/>
        <v>0.99785388728079472</v>
      </c>
      <c r="L70" s="604"/>
      <c r="M70" s="609">
        <v>3727.67</v>
      </c>
      <c r="N70" s="767">
        <v>8</v>
      </c>
      <c r="O70" s="776">
        <v>0</v>
      </c>
      <c r="P70" s="777">
        <f t="shared" si="7"/>
        <v>8</v>
      </c>
      <c r="Q70" s="607">
        <f t="shared" si="8"/>
        <v>3719.67</v>
      </c>
      <c r="R70" s="600">
        <f t="shared" si="9"/>
        <v>0.99785388728079472</v>
      </c>
      <c r="S70" s="599">
        <f t="shared" si="10"/>
        <v>0</v>
      </c>
      <c r="T70" s="578"/>
    </row>
    <row r="71" spans="2:20" x14ac:dyDescent="0.25">
      <c r="B71" s="581" t="s">
        <v>1343</v>
      </c>
      <c r="C71" s="580" t="s">
        <v>270</v>
      </c>
      <c r="D71" s="548" t="s">
        <v>1383</v>
      </c>
      <c r="E71" s="610" t="s">
        <v>869</v>
      </c>
      <c r="F71" s="548" t="s">
        <v>693</v>
      </c>
      <c r="G71" s="583" t="s">
        <v>403</v>
      </c>
      <c r="H71" s="609" t="s">
        <v>1437</v>
      </c>
      <c r="I71" s="608" t="s">
        <v>1391</v>
      </c>
      <c r="J71" s="607">
        <f t="shared" si="5"/>
        <v>15135</v>
      </c>
      <c r="K71" s="600">
        <f t="shared" si="6"/>
        <v>1</v>
      </c>
      <c r="L71" s="604"/>
      <c r="M71" s="609">
        <v>15135</v>
      </c>
      <c r="N71" s="767">
        <v>0</v>
      </c>
      <c r="O71" s="776">
        <v>0</v>
      </c>
      <c r="P71" s="777">
        <f t="shared" si="7"/>
        <v>0</v>
      </c>
      <c r="Q71" s="607">
        <f t="shared" si="8"/>
        <v>15135</v>
      </c>
      <c r="R71" s="600">
        <f t="shared" si="9"/>
        <v>1</v>
      </c>
      <c r="S71" s="606">
        <f t="shared" si="10"/>
        <v>0</v>
      </c>
      <c r="T71" s="578"/>
    </row>
    <row r="72" spans="2:20" s="612" customFormat="1" ht="15.75" x14ac:dyDescent="0.25">
      <c r="B72" s="581" t="s">
        <v>1344</v>
      </c>
      <c r="C72" s="580" t="s">
        <v>270</v>
      </c>
      <c r="D72" s="548" t="s">
        <v>1370</v>
      </c>
      <c r="E72" s="610" t="s">
        <v>693</v>
      </c>
      <c r="F72" s="548" t="s">
        <v>872</v>
      </c>
      <c r="G72" s="583" t="s">
        <v>403</v>
      </c>
      <c r="H72" s="609" t="s">
        <v>1438</v>
      </c>
      <c r="I72" s="608" t="s">
        <v>1391</v>
      </c>
      <c r="J72" s="607">
        <f t="shared" si="5"/>
        <v>1127.56</v>
      </c>
      <c r="K72" s="600">
        <f t="shared" si="6"/>
        <v>1</v>
      </c>
      <c r="L72" s="604"/>
      <c r="M72" s="609">
        <v>1127.56</v>
      </c>
      <c r="N72" s="767">
        <v>0</v>
      </c>
      <c r="O72" s="776">
        <v>0</v>
      </c>
      <c r="P72" s="777">
        <f t="shared" si="7"/>
        <v>0</v>
      </c>
      <c r="Q72" s="607">
        <f t="shared" si="8"/>
        <v>1127.56</v>
      </c>
      <c r="R72" s="600">
        <f t="shared" si="9"/>
        <v>1</v>
      </c>
      <c r="S72" s="606">
        <f t="shared" si="10"/>
        <v>0</v>
      </c>
      <c r="T72" s="578"/>
    </row>
    <row r="73" spans="2:20" x14ac:dyDescent="0.25">
      <c r="B73" s="581" t="s">
        <v>1345</v>
      </c>
      <c r="C73" s="580" t="s">
        <v>270</v>
      </c>
      <c r="D73" s="548" t="s">
        <v>414</v>
      </c>
      <c r="E73" s="610" t="s">
        <v>872</v>
      </c>
      <c r="F73" s="548" t="s">
        <v>873</v>
      </c>
      <c r="G73" s="583" t="s">
        <v>403</v>
      </c>
      <c r="H73" s="609" t="s">
        <v>1423</v>
      </c>
      <c r="I73" s="608" t="s">
        <v>1439</v>
      </c>
      <c r="J73" s="607">
        <f t="shared" si="5"/>
        <v>379.22</v>
      </c>
      <c r="K73" s="600">
        <f t="shared" si="6"/>
        <v>0.77000548234481925</v>
      </c>
      <c r="L73" s="604"/>
      <c r="M73" s="609">
        <v>492.49</v>
      </c>
      <c r="N73" s="767">
        <v>113.27</v>
      </c>
      <c r="O73" s="776">
        <v>0</v>
      </c>
      <c r="P73" s="777">
        <f t="shared" si="7"/>
        <v>113.27</v>
      </c>
      <c r="Q73" s="607">
        <f t="shared" si="8"/>
        <v>379.22</v>
      </c>
      <c r="R73" s="600">
        <f t="shared" si="9"/>
        <v>0.77000548234481925</v>
      </c>
      <c r="S73" s="606">
        <f t="shared" si="10"/>
        <v>0</v>
      </c>
      <c r="T73" s="578"/>
    </row>
    <row r="74" spans="2:20" x14ac:dyDescent="0.25">
      <c r="B74" s="581" t="s">
        <v>1346</v>
      </c>
      <c r="C74" s="580" t="s">
        <v>270</v>
      </c>
      <c r="D74" s="548" t="s">
        <v>1068</v>
      </c>
      <c r="E74" s="610" t="s">
        <v>872</v>
      </c>
      <c r="F74" s="548" t="s">
        <v>873</v>
      </c>
      <c r="G74" s="583" t="s">
        <v>403</v>
      </c>
      <c r="H74" s="609" t="s">
        <v>1440</v>
      </c>
      <c r="I74" s="608" t="s">
        <v>1441</v>
      </c>
      <c r="J74" s="607">
        <f t="shared" si="5"/>
        <v>5639.26</v>
      </c>
      <c r="K74" s="600">
        <f t="shared" si="6"/>
        <v>0.99621248255516104</v>
      </c>
      <c r="L74" s="604"/>
      <c r="M74" s="609">
        <v>5660.7</v>
      </c>
      <c r="N74" s="767">
        <v>21.44</v>
      </c>
      <c r="O74" s="776">
        <v>0</v>
      </c>
      <c r="P74" s="777">
        <f t="shared" si="7"/>
        <v>21.44</v>
      </c>
      <c r="Q74" s="607">
        <f t="shared" si="8"/>
        <v>5639.26</v>
      </c>
      <c r="R74" s="600">
        <f t="shared" si="9"/>
        <v>0.99621248255516104</v>
      </c>
      <c r="S74" s="606">
        <f t="shared" si="10"/>
        <v>0</v>
      </c>
      <c r="T74" s="578"/>
    </row>
    <row r="75" spans="2:20" x14ac:dyDescent="0.25">
      <c r="B75" s="581" t="s">
        <v>1347</v>
      </c>
      <c r="C75" s="580" t="s">
        <v>270</v>
      </c>
      <c r="D75" s="548" t="s">
        <v>1032</v>
      </c>
      <c r="E75" s="610" t="s">
        <v>872</v>
      </c>
      <c r="F75" s="548" t="s">
        <v>873</v>
      </c>
      <c r="G75" s="583" t="s">
        <v>403</v>
      </c>
      <c r="H75" s="609" t="s">
        <v>1442</v>
      </c>
      <c r="I75" s="608" t="s">
        <v>1391</v>
      </c>
      <c r="J75" s="607">
        <f t="shared" si="5"/>
        <v>3290.84</v>
      </c>
      <c r="K75" s="600">
        <f t="shared" si="6"/>
        <v>1</v>
      </c>
      <c r="L75" s="604"/>
      <c r="M75" s="609">
        <v>3290.84</v>
      </c>
      <c r="N75" s="767">
        <v>0</v>
      </c>
      <c r="O75" s="776">
        <v>0</v>
      </c>
      <c r="P75" s="777">
        <f t="shared" si="7"/>
        <v>0</v>
      </c>
      <c r="Q75" s="607">
        <f t="shared" si="8"/>
        <v>3290.84</v>
      </c>
      <c r="R75" s="600">
        <f t="shared" si="9"/>
        <v>1</v>
      </c>
      <c r="S75" s="606">
        <f t="shared" si="10"/>
        <v>0</v>
      </c>
      <c r="T75" s="578"/>
    </row>
    <row r="76" spans="2:20" x14ac:dyDescent="0.25">
      <c r="B76" s="581" t="s">
        <v>1348</v>
      </c>
      <c r="C76" s="580" t="s">
        <v>270</v>
      </c>
      <c r="D76" s="548" t="s">
        <v>414</v>
      </c>
      <c r="E76" s="610" t="s">
        <v>872</v>
      </c>
      <c r="F76" s="548" t="s">
        <v>873</v>
      </c>
      <c r="G76" s="583" t="s">
        <v>403</v>
      </c>
      <c r="H76" s="609" t="s">
        <v>1423</v>
      </c>
      <c r="I76" s="608" t="s">
        <v>1443</v>
      </c>
      <c r="J76" s="607">
        <f t="shared" si="5"/>
        <v>379.23</v>
      </c>
      <c r="K76" s="600">
        <f t="shared" si="6"/>
        <v>0.77002578732563098</v>
      </c>
      <c r="L76" s="604"/>
      <c r="M76" s="609">
        <v>492.49</v>
      </c>
      <c r="N76" s="767">
        <v>113.26</v>
      </c>
      <c r="O76" s="776">
        <v>0</v>
      </c>
      <c r="P76" s="777">
        <f t="shared" si="7"/>
        <v>113.26</v>
      </c>
      <c r="Q76" s="607">
        <f t="shared" si="8"/>
        <v>379.23</v>
      </c>
      <c r="R76" s="600">
        <f t="shared" si="9"/>
        <v>0.77002578732563098</v>
      </c>
      <c r="S76" s="606">
        <f t="shared" si="10"/>
        <v>0</v>
      </c>
      <c r="T76" s="578"/>
    </row>
    <row r="77" spans="2:20" ht="30" x14ac:dyDescent="0.25">
      <c r="B77" s="581" t="s">
        <v>1349</v>
      </c>
      <c r="C77" s="580" t="s">
        <v>270</v>
      </c>
      <c r="D77" s="548" t="s">
        <v>414</v>
      </c>
      <c r="E77" s="610" t="s">
        <v>872</v>
      </c>
      <c r="F77" s="548" t="s">
        <v>873</v>
      </c>
      <c r="G77" s="583" t="s">
        <v>403</v>
      </c>
      <c r="H77" s="609" t="s">
        <v>1404</v>
      </c>
      <c r="I77" s="608" t="s">
        <v>1444</v>
      </c>
      <c r="J77" s="607">
        <f t="shared" si="5"/>
        <v>35.31</v>
      </c>
      <c r="K77" s="600">
        <f t="shared" si="6"/>
        <v>8.0666164073744093E-2</v>
      </c>
      <c r="L77" s="604"/>
      <c r="M77" s="609">
        <v>437.73</v>
      </c>
      <c r="N77" s="767">
        <v>402.42</v>
      </c>
      <c r="O77" s="776">
        <v>0</v>
      </c>
      <c r="P77" s="777">
        <f t="shared" si="7"/>
        <v>402.42</v>
      </c>
      <c r="Q77" s="607">
        <f t="shared" si="8"/>
        <v>35.31</v>
      </c>
      <c r="R77" s="600">
        <f t="shared" si="9"/>
        <v>8.0666164073744093E-2</v>
      </c>
      <c r="S77" s="606">
        <f t="shared" si="10"/>
        <v>0</v>
      </c>
      <c r="T77" s="578" t="s">
        <v>1471</v>
      </c>
    </row>
    <row r="78" spans="2:20" x14ac:dyDescent="0.25">
      <c r="B78" s="581" t="s">
        <v>1350</v>
      </c>
      <c r="C78" s="580" t="s">
        <v>270</v>
      </c>
      <c r="D78" s="548" t="s">
        <v>1384</v>
      </c>
      <c r="E78" s="610" t="s">
        <v>872</v>
      </c>
      <c r="F78" s="548" t="s">
        <v>873</v>
      </c>
      <c r="G78" s="583" t="s">
        <v>403</v>
      </c>
      <c r="H78" s="609" t="s">
        <v>1445</v>
      </c>
      <c r="I78" s="608" t="s">
        <v>1391</v>
      </c>
      <c r="J78" s="607">
        <f t="shared" si="5"/>
        <v>5769.21</v>
      </c>
      <c r="K78" s="600">
        <f t="shared" si="6"/>
        <v>1</v>
      </c>
      <c r="L78" s="604"/>
      <c r="M78" s="609">
        <v>5769.21</v>
      </c>
      <c r="N78" s="767">
        <v>0</v>
      </c>
      <c r="O78" s="776">
        <v>0</v>
      </c>
      <c r="P78" s="777">
        <f t="shared" si="7"/>
        <v>0</v>
      </c>
      <c r="Q78" s="607">
        <f t="shared" si="8"/>
        <v>5769.21</v>
      </c>
      <c r="R78" s="600">
        <f t="shared" si="9"/>
        <v>1</v>
      </c>
      <c r="S78" s="606">
        <f t="shared" si="10"/>
        <v>0</v>
      </c>
      <c r="T78" s="578"/>
    </row>
    <row r="79" spans="2:20" x14ac:dyDescent="0.25">
      <c r="B79" s="581" t="s">
        <v>1351</v>
      </c>
      <c r="C79" s="580" t="s">
        <v>270</v>
      </c>
      <c r="D79" s="548" t="s">
        <v>1372</v>
      </c>
      <c r="E79" s="610" t="s">
        <v>875</v>
      </c>
      <c r="F79" s="548" t="s">
        <v>1128</v>
      </c>
      <c r="G79" s="583" t="s">
        <v>403</v>
      </c>
      <c r="H79" s="609" t="s">
        <v>1446</v>
      </c>
      <c r="I79" s="608" t="s">
        <v>1391</v>
      </c>
      <c r="J79" s="607">
        <f t="shared" si="5"/>
        <v>5969.59</v>
      </c>
      <c r="K79" s="600">
        <f t="shared" si="6"/>
        <v>1</v>
      </c>
      <c r="L79" s="604"/>
      <c r="M79" s="609">
        <v>5969.59</v>
      </c>
      <c r="N79" s="767">
        <v>0</v>
      </c>
      <c r="O79" s="776">
        <v>0</v>
      </c>
      <c r="P79" s="777">
        <f t="shared" si="7"/>
        <v>0</v>
      </c>
      <c r="Q79" s="607">
        <f t="shared" si="8"/>
        <v>5969.59</v>
      </c>
      <c r="R79" s="600">
        <f t="shared" si="9"/>
        <v>1</v>
      </c>
      <c r="S79" s="606">
        <f t="shared" si="10"/>
        <v>0</v>
      </c>
      <c r="T79" s="578"/>
    </row>
    <row r="80" spans="2:20" x14ac:dyDescent="0.25">
      <c r="B80" s="581" t="s">
        <v>1352</v>
      </c>
      <c r="C80" s="580" t="s">
        <v>270</v>
      </c>
      <c r="D80" s="548" t="s">
        <v>414</v>
      </c>
      <c r="E80" s="610" t="s">
        <v>875</v>
      </c>
      <c r="F80" s="548" t="s">
        <v>1128</v>
      </c>
      <c r="G80" s="583" t="s">
        <v>403</v>
      </c>
      <c r="H80" s="609" t="s">
        <v>1447</v>
      </c>
      <c r="I80" s="608" t="s">
        <v>1448</v>
      </c>
      <c r="J80" s="607">
        <f t="shared" si="5"/>
        <v>2380.17</v>
      </c>
      <c r="K80" s="600">
        <f t="shared" si="6"/>
        <v>0.87180285476728558</v>
      </c>
      <c r="L80" s="604"/>
      <c r="M80" s="609">
        <v>2730.17</v>
      </c>
      <c r="N80" s="767">
        <v>350</v>
      </c>
      <c r="O80" s="776">
        <v>0</v>
      </c>
      <c r="P80" s="777">
        <f t="shared" si="7"/>
        <v>350</v>
      </c>
      <c r="Q80" s="607">
        <f t="shared" si="8"/>
        <v>2380.17</v>
      </c>
      <c r="R80" s="600">
        <f t="shared" si="9"/>
        <v>0.87180285476728558</v>
      </c>
      <c r="S80" s="606">
        <f t="shared" si="10"/>
        <v>0</v>
      </c>
      <c r="T80" s="578"/>
    </row>
    <row r="81" spans="2:20" x14ac:dyDescent="0.25">
      <c r="B81" s="581" t="s">
        <v>1353</v>
      </c>
      <c r="C81" s="580" t="s">
        <v>270</v>
      </c>
      <c r="D81" s="548" t="s">
        <v>1377</v>
      </c>
      <c r="E81" s="610" t="s">
        <v>1128</v>
      </c>
      <c r="F81" s="548" t="s">
        <v>1100</v>
      </c>
      <c r="G81" s="583" t="s">
        <v>403</v>
      </c>
      <c r="H81" s="609" t="s">
        <v>1449</v>
      </c>
      <c r="I81" s="608" t="s">
        <v>1391</v>
      </c>
      <c r="J81" s="607">
        <f t="shared" si="5"/>
        <v>8729.5300000000007</v>
      </c>
      <c r="K81" s="600">
        <f t="shared" si="6"/>
        <v>1</v>
      </c>
      <c r="L81" s="604"/>
      <c r="M81" s="609">
        <v>8729.5300000000007</v>
      </c>
      <c r="N81" s="767">
        <v>0</v>
      </c>
      <c r="O81" s="776">
        <v>0</v>
      </c>
      <c r="P81" s="777">
        <f t="shared" si="7"/>
        <v>0</v>
      </c>
      <c r="Q81" s="607">
        <f t="shared" si="8"/>
        <v>8729.5300000000007</v>
      </c>
      <c r="R81" s="600">
        <f t="shared" si="9"/>
        <v>1</v>
      </c>
      <c r="S81" s="606">
        <f t="shared" si="10"/>
        <v>0</v>
      </c>
      <c r="T81" s="578"/>
    </row>
    <row r="82" spans="2:20" x14ac:dyDescent="0.25">
      <c r="B82" s="581" t="s">
        <v>1354</v>
      </c>
      <c r="C82" s="580" t="s">
        <v>270</v>
      </c>
      <c r="D82" s="548" t="s">
        <v>1385</v>
      </c>
      <c r="E82" s="610" t="s">
        <v>875</v>
      </c>
      <c r="F82" s="548" t="s">
        <v>1128</v>
      </c>
      <c r="G82" s="583" t="s">
        <v>403</v>
      </c>
      <c r="H82" s="609" t="s">
        <v>1450</v>
      </c>
      <c r="I82" s="608" t="s">
        <v>1391</v>
      </c>
      <c r="J82" s="607">
        <f t="shared" si="5"/>
        <v>325.83999999999997</v>
      </c>
      <c r="K82" s="600">
        <f t="shared" si="6"/>
        <v>1</v>
      </c>
      <c r="L82" s="604"/>
      <c r="M82" s="609">
        <v>325.83999999999997</v>
      </c>
      <c r="N82" s="767">
        <v>0</v>
      </c>
      <c r="O82" s="776">
        <v>0</v>
      </c>
      <c r="P82" s="777">
        <f t="shared" si="7"/>
        <v>0</v>
      </c>
      <c r="Q82" s="607">
        <f t="shared" si="8"/>
        <v>325.83999999999997</v>
      </c>
      <c r="R82" s="600">
        <f t="shared" si="9"/>
        <v>1</v>
      </c>
      <c r="S82" s="611">
        <f t="shared" si="10"/>
        <v>0</v>
      </c>
      <c r="T82" s="578"/>
    </row>
    <row r="83" spans="2:20" x14ac:dyDescent="0.25">
      <c r="B83" s="581" t="s">
        <v>1355</v>
      </c>
      <c r="C83" s="580" t="s">
        <v>270</v>
      </c>
      <c r="D83" s="548" t="s">
        <v>1371</v>
      </c>
      <c r="E83" s="610" t="s">
        <v>875</v>
      </c>
      <c r="F83" s="548" t="s">
        <v>1128</v>
      </c>
      <c r="G83" s="583" t="s">
        <v>403</v>
      </c>
      <c r="H83" s="609" t="s">
        <v>1451</v>
      </c>
      <c r="I83" s="608" t="s">
        <v>1452</v>
      </c>
      <c r="J83" s="607">
        <f t="shared" si="5"/>
        <v>1249.47</v>
      </c>
      <c r="K83" s="600">
        <f t="shared" si="6"/>
        <v>0.98649118097554056</v>
      </c>
      <c r="L83" s="604"/>
      <c r="M83" s="609">
        <v>1266.58</v>
      </c>
      <c r="N83" s="767">
        <v>17.11</v>
      </c>
      <c r="O83" s="776">
        <v>0</v>
      </c>
      <c r="P83" s="777">
        <f t="shared" si="7"/>
        <v>17.11</v>
      </c>
      <c r="Q83" s="607">
        <f t="shared" si="8"/>
        <v>1249.47</v>
      </c>
      <c r="R83" s="600">
        <f t="shared" si="9"/>
        <v>0.98649118097554056</v>
      </c>
      <c r="S83" s="606">
        <f t="shared" si="10"/>
        <v>0</v>
      </c>
      <c r="T83" s="578"/>
    </row>
    <row r="84" spans="2:20" x14ac:dyDescent="0.25">
      <c r="B84" s="581" t="s">
        <v>1356</v>
      </c>
      <c r="C84" s="580" t="s">
        <v>270</v>
      </c>
      <c r="D84" s="548" t="s">
        <v>424</v>
      </c>
      <c r="E84" s="610" t="s">
        <v>875</v>
      </c>
      <c r="F84" s="548" t="s">
        <v>1128</v>
      </c>
      <c r="G84" s="583" t="s">
        <v>403</v>
      </c>
      <c r="H84" s="609" t="s">
        <v>1453</v>
      </c>
      <c r="I84" s="608" t="s">
        <v>1391</v>
      </c>
      <c r="J84" s="607">
        <f t="shared" si="5"/>
        <v>484.01</v>
      </c>
      <c r="K84" s="600">
        <f t="shared" si="6"/>
        <v>1</v>
      </c>
      <c r="L84" s="604"/>
      <c r="M84" s="609">
        <v>484.01</v>
      </c>
      <c r="N84" s="767">
        <v>0</v>
      </c>
      <c r="O84" s="776">
        <v>0</v>
      </c>
      <c r="P84" s="777">
        <f t="shared" si="7"/>
        <v>0</v>
      </c>
      <c r="Q84" s="607">
        <f t="shared" si="8"/>
        <v>484.01</v>
      </c>
      <c r="R84" s="600">
        <f t="shared" si="9"/>
        <v>1</v>
      </c>
      <c r="S84" s="606">
        <f t="shared" si="10"/>
        <v>0</v>
      </c>
      <c r="T84" s="578"/>
    </row>
    <row r="85" spans="2:20" x14ac:dyDescent="0.25">
      <c r="B85" s="581" t="s">
        <v>1357</v>
      </c>
      <c r="C85" s="580" t="s">
        <v>270</v>
      </c>
      <c r="D85" s="548" t="s">
        <v>1386</v>
      </c>
      <c r="E85" s="610" t="s">
        <v>1128</v>
      </c>
      <c r="F85" s="548" t="s">
        <v>1100</v>
      </c>
      <c r="G85" s="583" t="s">
        <v>403</v>
      </c>
      <c r="H85" s="609" t="s">
        <v>1454</v>
      </c>
      <c r="I85" s="608" t="s">
        <v>1455</v>
      </c>
      <c r="J85" s="607">
        <f t="shared" si="5"/>
        <v>5210.88</v>
      </c>
      <c r="K85" s="600">
        <f t="shared" si="6"/>
        <v>0.96923523328398076</v>
      </c>
      <c r="L85" s="604"/>
      <c r="M85" s="609">
        <v>5376.28</v>
      </c>
      <c r="N85" s="767">
        <v>165.4</v>
      </c>
      <c r="O85" s="776">
        <v>0</v>
      </c>
      <c r="P85" s="777">
        <f t="shared" si="7"/>
        <v>165.4</v>
      </c>
      <c r="Q85" s="607">
        <f t="shared" si="8"/>
        <v>5210.88</v>
      </c>
      <c r="R85" s="600">
        <f t="shared" si="9"/>
        <v>0.96923523328398076</v>
      </c>
      <c r="S85" s="606">
        <f t="shared" si="10"/>
        <v>0</v>
      </c>
      <c r="T85" s="578"/>
    </row>
    <row r="86" spans="2:20" x14ac:dyDescent="0.25">
      <c r="B86" s="581" t="s">
        <v>1358</v>
      </c>
      <c r="C86" s="580" t="s">
        <v>270</v>
      </c>
      <c r="D86" s="548" t="s">
        <v>1387</v>
      </c>
      <c r="E86" s="610" t="s">
        <v>1100</v>
      </c>
      <c r="F86" s="548" t="s">
        <v>876</v>
      </c>
      <c r="G86" s="583" t="s">
        <v>403</v>
      </c>
      <c r="H86" s="609" t="s">
        <v>1456</v>
      </c>
      <c r="I86" s="608" t="s">
        <v>1391</v>
      </c>
      <c r="J86" s="607">
        <f t="shared" si="5"/>
        <v>1392.26</v>
      </c>
      <c r="K86" s="600">
        <f t="shared" si="6"/>
        <v>1</v>
      </c>
      <c r="L86" s="604"/>
      <c r="M86" s="609">
        <v>1392.26</v>
      </c>
      <c r="N86" s="767">
        <v>0</v>
      </c>
      <c r="O86" s="776">
        <v>0</v>
      </c>
      <c r="P86" s="777">
        <f t="shared" si="7"/>
        <v>0</v>
      </c>
      <c r="Q86" s="607">
        <f t="shared" si="8"/>
        <v>1392.26</v>
      </c>
      <c r="R86" s="600">
        <f t="shared" si="9"/>
        <v>1</v>
      </c>
      <c r="S86" s="606">
        <f t="shared" si="10"/>
        <v>0</v>
      </c>
      <c r="T86" s="578"/>
    </row>
    <row r="87" spans="2:20" x14ac:dyDescent="0.25">
      <c r="B87" s="581" t="s">
        <v>1359</v>
      </c>
      <c r="C87" s="580" t="s">
        <v>270</v>
      </c>
      <c r="D87" s="548" t="s">
        <v>419</v>
      </c>
      <c r="E87" s="610" t="s">
        <v>1200</v>
      </c>
      <c r="F87" s="548" t="s">
        <v>879</v>
      </c>
      <c r="G87" s="583" t="s">
        <v>403</v>
      </c>
      <c r="H87" s="609" t="s">
        <v>1457</v>
      </c>
      <c r="I87" s="608" t="s">
        <v>1391</v>
      </c>
      <c r="J87" s="607">
        <f t="shared" si="5"/>
        <v>1884.43</v>
      </c>
      <c r="K87" s="600">
        <f t="shared" si="6"/>
        <v>1</v>
      </c>
      <c r="L87" s="604"/>
      <c r="M87" s="609">
        <v>1884.43</v>
      </c>
      <c r="N87" s="767">
        <v>0</v>
      </c>
      <c r="O87" s="776">
        <v>0</v>
      </c>
      <c r="P87" s="777">
        <f t="shared" si="7"/>
        <v>0</v>
      </c>
      <c r="Q87" s="607">
        <f t="shared" si="8"/>
        <v>1884.43</v>
      </c>
      <c r="R87" s="600">
        <f t="shared" si="9"/>
        <v>1</v>
      </c>
      <c r="S87" s="606">
        <f t="shared" si="10"/>
        <v>0</v>
      </c>
      <c r="T87" s="578"/>
    </row>
    <row r="88" spans="2:20" x14ac:dyDescent="0.25">
      <c r="B88" s="581" t="s">
        <v>1360</v>
      </c>
      <c r="C88" s="580" t="s">
        <v>270</v>
      </c>
      <c r="D88" s="548" t="s">
        <v>414</v>
      </c>
      <c r="E88" s="610" t="s">
        <v>1200</v>
      </c>
      <c r="F88" s="548" t="s">
        <v>879</v>
      </c>
      <c r="G88" s="583" t="s">
        <v>403</v>
      </c>
      <c r="H88" s="609" t="s">
        <v>1458</v>
      </c>
      <c r="I88" s="608" t="s">
        <v>1459</v>
      </c>
      <c r="J88" s="607">
        <f t="shared" si="5"/>
        <v>508.69000000000005</v>
      </c>
      <c r="K88" s="600">
        <f t="shared" si="6"/>
        <v>0.93108686898268478</v>
      </c>
      <c r="L88" s="604"/>
      <c r="M88" s="609">
        <v>546.34</v>
      </c>
      <c r="N88" s="767">
        <v>37.65</v>
      </c>
      <c r="O88" s="776">
        <v>0</v>
      </c>
      <c r="P88" s="777">
        <f t="shared" si="7"/>
        <v>37.65</v>
      </c>
      <c r="Q88" s="607">
        <f t="shared" si="8"/>
        <v>508.69000000000005</v>
      </c>
      <c r="R88" s="600">
        <f t="shared" si="9"/>
        <v>0.93108686898268478</v>
      </c>
      <c r="S88" s="606">
        <f t="shared" si="10"/>
        <v>0</v>
      </c>
      <c r="T88" s="578"/>
    </row>
    <row r="89" spans="2:20" x14ac:dyDescent="0.25">
      <c r="B89" s="581" t="s">
        <v>1361</v>
      </c>
      <c r="C89" s="580" t="s">
        <v>270</v>
      </c>
      <c r="D89" s="548" t="s">
        <v>419</v>
      </c>
      <c r="E89" s="610" t="s">
        <v>1200</v>
      </c>
      <c r="F89" s="548" t="s">
        <v>879</v>
      </c>
      <c r="G89" s="583" t="s">
        <v>403</v>
      </c>
      <c r="H89" s="609" t="s">
        <v>1460</v>
      </c>
      <c r="I89" s="608" t="s">
        <v>1391</v>
      </c>
      <c r="J89" s="607">
        <f t="shared" si="5"/>
        <v>3783.85</v>
      </c>
      <c r="K89" s="600">
        <f t="shared" si="6"/>
        <v>1</v>
      </c>
      <c r="L89" s="604"/>
      <c r="M89" s="609">
        <v>3783.85</v>
      </c>
      <c r="N89" s="767">
        <v>0</v>
      </c>
      <c r="O89" s="776">
        <v>0</v>
      </c>
      <c r="P89" s="777">
        <f t="shared" si="7"/>
        <v>0</v>
      </c>
      <c r="Q89" s="607">
        <f t="shared" si="8"/>
        <v>3783.85</v>
      </c>
      <c r="R89" s="600">
        <f t="shared" si="9"/>
        <v>1</v>
      </c>
      <c r="S89" s="606"/>
      <c r="T89" s="578"/>
    </row>
    <row r="90" spans="2:20" x14ac:dyDescent="0.25">
      <c r="B90" s="581" t="s">
        <v>1362</v>
      </c>
      <c r="C90" s="580" t="s">
        <v>270</v>
      </c>
      <c r="D90" s="548" t="s">
        <v>1370</v>
      </c>
      <c r="E90" s="610" t="s">
        <v>697</v>
      </c>
      <c r="F90" s="548" t="s">
        <v>885</v>
      </c>
      <c r="G90" s="583" t="s">
        <v>403</v>
      </c>
      <c r="H90" s="609" t="s">
        <v>1461</v>
      </c>
      <c r="I90" s="608" t="s">
        <v>1462</v>
      </c>
      <c r="J90" s="607">
        <f t="shared" si="5"/>
        <v>1402.45</v>
      </c>
      <c r="K90" s="600">
        <f t="shared" si="6"/>
        <v>0.9866056039789235</v>
      </c>
      <c r="L90" s="604"/>
      <c r="M90" s="609">
        <v>1421.49</v>
      </c>
      <c r="N90" s="767">
        <v>19.04</v>
      </c>
      <c r="O90" s="776">
        <v>0</v>
      </c>
      <c r="P90" s="777">
        <f t="shared" si="7"/>
        <v>19.04</v>
      </c>
      <c r="Q90" s="607">
        <f t="shared" si="8"/>
        <v>1402.45</v>
      </c>
      <c r="R90" s="600">
        <f t="shared" si="9"/>
        <v>0.9866056039789235</v>
      </c>
      <c r="S90" s="606"/>
      <c r="T90" s="578"/>
    </row>
    <row r="91" spans="2:20" x14ac:dyDescent="0.25">
      <c r="B91" s="581" t="s">
        <v>1363</v>
      </c>
      <c r="C91" s="580" t="s">
        <v>270</v>
      </c>
      <c r="D91" s="548" t="s">
        <v>423</v>
      </c>
      <c r="E91" s="610" t="s">
        <v>697</v>
      </c>
      <c r="F91" s="548" t="s">
        <v>885</v>
      </c>
      <c r="G91" s="583" t="s">
        <v>403</v>
      </c>
      <c r="H91" s="609" t="s">
        <v>1463</v>
      </c>
      <c r="I91" s="608" t="s">
        <v>1391</v>
      </c>
      <c r="J91" s="607">
        <f t="shared" si="5"/>
        <v>1150.8800000000001</v>
      </c>
      <c r="K91" s="600">
        <f t="shared" si="6"/>
        <v>1</v>
      </c>
      <c r="L91" s="604"/>
      <c r="M91" s="609">
        <v>1150.8800000000001</v>
      </c>
      <c r="N91" s="767">
        <v>0</v>
      </c>
      <c r="O91" s="776">
        <v>0</v>
      </c>
      <c r="P91" s="777">
        <f t="shared" si="7"/>
        <v>0</v>
      </c>
      <c r="Q91" s="607">
        <f t="shared" si="8"/>
        <v>1150.8800000000001</v>
      </c>
      <c r="R91" s="600">
        <f t="shared" si="9"/>
        <v>1</v>
      </c>
      <c r="S91" s="606"/>
      <c r="T91" s="578"/>
    </row>
    <row r="92" spans="2:20" x14ac:dyDescent="0.25">
      <c r="B92" s="581" t="s">
        <v>1364</v>
      </c>
      <c r="C92" s="580" t="s">
        <v>270</v>
      </c>
      <c r="D92" s="548" t="s">
        <v>1370</v>
      </c>
      <c r="E92" s="610" t="s">
        <v>885</v>
      </c>
      <c r="F92" s="548" t="s">
        <v>887</v>
      </c>
      <c r="G92" s="583" t="s">
        <v>403</v>
      </c>
      <c r="H92" s="609" t="s">
        <v>1464</v>
      </c>
      <c r="I92" s="608" t="s">
        <v>1391</v>
      </c>
      <c r="J92" s="607">
        <f t="shared" si="5"/>
        <v>3024.33</v>
      </c>
      <c r="K92" s="600">
        <f t="shared" si="6"/>
        <v>1</v>
      </c>
      <c r="L92" s="604"/>
      <c r="M92" s="609">
        <v>3024.33</v>
      </c>
      <c r="N92" s="767">
        <v>0</v>
      </c>
      <c r="O92" s="776">
        <v>0</v>
      </c>
      <c r="P92" s="777">
        <f t="shared" si="7"/>
        <v>0</v>
      </c>
      <c r="Q92" s="607">
        <f t="shared" si="8"/>
        <v>3024.33</v>
      </c>
      <c r="R92" s="600">
        <f t="shared" si="9"/>
        <v>1</v>
      </c>
      <c r="S92" s="606"/>
      <c r="T92" s="578"/>
    </row>
    <row r="93" spans="2:20" x14ac:dyDescent="0.25">
      <c r="B93" s="581" t="s">
        <v>1365</v>
      </c>
      <c r="C93" s="580" t="s">
        <v>270</v>
      </c>
      <c r="D93" s="548" t="s">
        <v>420</v>
      </c>
      <c r="E93" s="610" t="s">
        <v>885</v>
      </c>
      <c r="F93" s="548" t="s">
        <v>887</v>
      </c>
      <c r="G93" s="583" t="s">
        <v>403</v>
      </c>
      <c r="H93" s="609" t="s">
        <v>1465</v>
      </c>
      <c r="I93" s="608" t="s">
        <v>1391</v>
      </c>
      <c r="J93" s="607">
        <f t="shared" si="5"/>
        <v>1086.02</v>
      </c>
      <c r="K93" s="600">
        <f t="shared" si="6"/>
        <v>1</v>
      </c>
      <c r="L93" s="604"/>
      <c r="M93" s="609">
        <v>1086.02</v>
      </c>
      <c r="N93" s="767">
        <v>0</v>
      </c>
      <c r="O93" s="776">
        <v>0</v>
      </c>
      <c r="P93" s="777">
        <f t="shared" si="7"/>
        <v>0</v>
      </c>
      <c r="Q93" s="607">
        <f t="shared" si="8"/>
        <v>1086.02</v>
      </c>
      <c r="R93" s="600">
        <f t="shared" si="9"/>
        <v>1</v>
      </c>
      <c r="S93" s="606"/>
      <c r="T93" s="578"/>
    </row>
    <row r="94" spans="2:20" x14ac:dyDescent="0.25">
      <c r="B94" s="581" t="s">
        <v>1366</v>
      </c>
      <c r="C94" s="580" t="s">
        <v>270</v>
      </c>
      <c r="D94" s="548" t="s">
        <v>1388</v>
      </c>
      <c r="E94" s="610" t="s">
        <v>885</v>
      </c>
      <c r="F94" s="548" t="s">
        <v>887</v>
      </c>
      <c r="G94" s="583" t="s">
        <v>403</v>
      </c>
      <c r="H94" s="609" t="s">
        <v>1466</v>
      </c>
      <c r="I94" s="608" t="s">
        <v>1391</v>
      </c>
      <c r="J94" s="607">
        <f t="shared" si="5"/>
        <v>223.32</v>
      </c>
      <c r="K94" s="600">
        <f t="shared" si="6"/>
        <v>1</v>
      </c>
      <c r="L94" s="604"/>
      <c r="M94" s="609">
        <v>223.32</v>
      </c>
      <c r="N94" s="767">
        <v>0</v>
      </c>
      <c r="O94" s="776">
        <v>0</v>
      </c>
      <c r="P94" s="777">
        <f t="shared" si="7"/>
        <v>0</v>
      </c>
      <c r="Q94" s="607">
        <f t="shared" si="8"/>
        <v>223.32</v>
      </c>
      <c r="R94" s="600">
        <f t="shared" si="9"/>
        <v>1</v>
      </c>
      <c r="S94" s="606"/>
      <c r="T94" s="578"/>
    </row>
    <row r="95" spans="2:20" x14ac:dyDescent="0.25">
      <c r="B95" s="581" t="s">
        <v>1367</v>
      </c>
      <c r="C95" s="580" t="s">
        <v>270</v>
      </c>
      <c r="D95" s="548" t="s">
        <v>422</v>
      </c>
      <c r="E95" s="610" t="s">
        <v>885</v>
      </c>
      <c r="F95" s="548" t="s">
        <v>887</v>
      </c>
      <c r="G95" s="583" t="s">
        <v>403</v>
      </c>
      <c r="H95" s="609" t="s">
        <v>1467</v>
      </c>
      <c r="I95" s="608" t="s">
        <v>1391</v>
      </c>
      <c r="J95" s="607">
        <f t="shared" si="5"/>
        <v>2271.42</v>
      </c>
      <c r="K95" s="600">
        <f t="shared" si="6"/>
        <v>1</v>
      </c>
      <c r="L95" s="604"/>
      <c r="M95" s="609">
        <v>2271.42</v>
      </c>
      <c r="N95" s="767">
        <v>0</v>
      </c>
      <c r="O95" s="776">
        <v>0</v>
      </c>
      <c r="P95" s="777">
        <f t="shared" si="7"/>
        <v>0</v>
      </c>
      <c r="Q95" s="607">
        <f t="shared" si="8"/>
        <v>2271.42</v>
      </c>
      <c r="R95" s="600">
        <f t="shared" si="9"/>
        <v>1</v>
      </c>
      <c r="S95" s="606"/>
      <c r="T95" s="578"/>
    </row>
    <row r="96" spans="2:20" x14ac:dyDescent="0.25">
      <c r="B96" s="585"/>
      <c r="C96" s="584"/>
      <c r="E96" s="580"/>
      <c r="G96" s="583"/>
      <c r="H96" s="603"/>
      <c r="I96" s="605"/>
      <c r="J96" s="601"/>
      <c r="K96" s="600"/>
      <c r="L96" s="604"/>
      <c r="M96" s="603"/>
      <c r="N96" s="766"/>
      <c r="O96" s="774"/>
      <c r="P96" s="782"/>
      <c r="Q96" s="601"/>
      <c r="R96" s="600"/>
      <c r="S96" s="599"/>
      <c r="T96" s="598"/>
    </row>
    <row r="97" spans="2:20" ht="15.75" x14ac:dyDescent="0.25">
      <c r="B97" s="597" t="s">
        <v>427</v>
      </c>
      <c r="C97" s="596"/>
      <c r="D97" s="596"/>
      <c r="E97" s="595"/>
      <c r="F97" s="594"/>
      <c r="G97" s="593"/>
      <c r="H97" s="590">
        <f>SUM(H35:H95)</f>
        <v>0</v>
      </c>
      <c r="I97" s="589">
        <f>SUM(I35:I96)</f>
        <v>0</v>
      </c>
      <c r="J97" s="589">
        <f>SUM(J35:J96)</f>
        <v>125313.29</v>
      </c>
      <c r="K97" s="592"/>
      <c r="L97" s="591"/>
      <c r="M97" s="590">
        <f>SUM(M34:M96)</f>
        <v>128255.15</v>
      </c>
      <c r="N97" s="771">
        <f>SUM(N34:N96)</f>
        <v>2941.86</v>
      </c>
      <c r="O97" s="590">
        <f>SUM(O34:O96)</f>
        <v>0</v>
      </c>
      <c r="P97" s="783">
        <f>SUM(P34:P96)</f>
        <v>2941.86</v>
      </c>
      <c r="Q97" s="737">
        <f>SUM(Q34:Q96)</f>
        <v>125313.29</v>
      </c>
      <c r="R97" s="588">
        <f>Q97/M97</f>
        <v>0.97706244154718158</v>
      </c>
      <c r="S97" s="587">
        <f>R97-K97</f>
        <v>0.97706244154718158</v>
      </c>
      <c r="T97" s="586"/>
    </row>
    <row r="98" spans="2:20" ht="15.75" thickBot="1" x14ac:dyDescent="0.3">
      <c r="B98" s="585"/>
      <c r="C98" s="584"/>
      <c r="E98" s="580"/>
      <c r="G98" s="583"/>
      <c r="H98" s="581"/>
      <c r="I98" s="580"/>
      <c r="K98" s="583"/>
      <c r="L98" s="582"/>
      <c r="M98" s="581"/>
      <c r="N98" s="772"/>
      <c r="O98" s="581"/>
      <c r="P98" s="784"/>
      <c r="R98" s="579"/>
      <c r="T98" s="578"/>
    </row>
    <row r="99" spans="2:20" ht="19.5" thickBot="1" x14ac:dyDescent="0.35">
      <c r="B99" s="577" t="s">
        <v>274</v>
      </c>
      <c r="C99" s="576"/>
      <c r="D99" s="576"/>
      <c r="E99" s="575"/>
      <c r="F99" s="574"/>
      <c r="G99" s="573"/>
      <c r="H99" s="571">
        <f>+H31+H13+H97</f>
        <v>147034.43</v>
      </c>
      <c r="I99" s="570">
        <f>+I31+I13+I97</f>
        <v>1242.79</v>
      </c>
      <c r="J99" s="570">
        <f>+J31+J13+J97</f>
        <v>271104.93</v>
      </c>
      <c r="K99" s="569">
        <f>J99/H99</f>
        <v>1.8438193693817155</v>
      </c>
      <c r="L99" s="572"/>
      <c r="M99" s="571">
        <f>+M31+M13+M97</f>
        <v>274748.43999999994</v>
      </c>
      <c r="N99" s="773">
        <f>+N31+N13+N97</f>
        <v>23945.550000000003</v>
      </c>
      <c r="O99" s="571">
        <f>+O31+O13+O97</f>
        <v>17512.260000000002</v>
      </c>
      <c r="P99" s="785">
        <f>+P31+P13+P97</f>
        <v>6433.29</v>
      </c>
      <c r="Q99" s="570">
        <f>+Q31+Q13+Q97</f>
        <v>250802.88999999998</v>
      </c>
      <c r="R99" s="569">
        <f>Q99/M99</f>
        <v>0.91284554700292397</v>
      </c>
      <c r="S99" s="568">
        <f>R99-K99</f>
        <v>-0.93097382237879156</v>
      </c>
      <c r="T99" s="567"/>
    </row>
    <row r="102" spans="2:20" ht="15.75" thickBot="1" x14ac:dyDescent="0.3"/>
    <row r="103" spans="2:20" ht="19.5" thickBot="1" x14ac:dyDescent="0.35">
      <c r="B103" s="566" t="s">
        <v>428</v>
      </c>
      <c r="C103" s="565"/>
      <c r="D103" s="565"/>
      <c r="E103" s="564"/>
      <c r="F103" s="564"/>
      <c r="G103" s="564"/>
      <c r="H103" s="564"/>
      <c r="I103" s="564"/>
      <c r="J103" s="564"/>
      <c r="K103" s="564"/>
      <c r="L103" s="564"/>
      <c r="M103" s="564"/>
      <c r="N103" s="564"/>
      <c r="O103" s="564"/>
      <c r="P103" s="564"/>
      <c r="Q103" s="564"/>
      <c r="R103" s="563"/>
    </row>
    <row r="104" spans="2:20" ht="15.75" thickBot="1" x14ac:dyDescent="0.3"/>
    <row r="105" spans="2:20" ht="37.5" customHeight="1" thickBot="1" x14ac:dyDescent="0.3">
      <c r="B105" s="562" t="s">
        <v>429</v>
      </c>
      <c r="C105" s="561" t="s">
        <v>151</v>
      </c>
      <c r="D105" s="560" t="s">
        <v>430</v>
      </c>
      <c r="E105" s="558" t="s">
        <v>431</v>
      </c>
      <c r="F105" s="559" t="s">
        <v>432</v>
      </c>
      <c r="G105" s="558" t="s">
        <v>403</v>
      </c>
      <c r="H105" s="557"/>
      <c r="I105" s="554"/>
      <c r="J105" s="553">
        <f>H105-I105</f>
        <v>0</v>
      </c>
      <c r="K105" s="556">
        <f>IFERROR(J105/H105,0)</f>
        <v>0</v>
      </c>
      <c r="L105" s="556"/>
      <c r="M105" s="555">
        <v>236639</v>
      </c>
      <c r="N105" s="554">
        <v>82086.080000000002</v>
      </c>
      <c r="O105" s="555"/>
      <c r="P105" s="555"/>
      <c r="Q105" s="553">
        <f>M105-N105</f>
        <v>154552.91999999998</v>
      </c>
      <c r="R105" s="552">
        <f>IFERROR(Q105/M105,0)</f>
        <v>0.65311685732275737</v>
      </c>
      <c r="S105" s="551">
        <f>R105-K105</f>
        <v>0.65311685732275737</v>
      </c>
    </row>
  </sheetData>
  <autoFilter ref="B6:T99" xr:uid="{2EAFFFDD-4700-4214-B5A3-016290703761}"/>
  <pageMargins left="0.7" right="0.7" top="0.75" bottom="0.75" header="0.3" footer="0.3"/>
  <pageSetup paperSize="9" orientation="portrait" r:id="rId1"/>
  <ignoredErrors>
    <ignoredError sqref="H35:I9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C079-E3C2-42F6-B242-5F8AA115E5AD}">
  <dimension ref="A1:Z96"/>
  <sheetViews>
    <sheetView showGridLines="0" workbookViewId="0">
      <pane ySplit="5" topLeftCell="A6" activePane="bottomLeft" state="frozen"/>
      <selection pane="bottomLeft" activeCell="A6" sqref="A6:A33"/>
    </sheetView>
  </sheetViews>
  <sheetFormatPr defaultColWidth="12.85546875" defaultRowHeight="15" x14ac:dyDescent="0.25"/>
  <cols>
    <col min="1" max="1" width="41.7109375" style="490" bestFit="1" customWidth="1"/>
    <col min="2" max="2" width="12.140625" style="490" customWidth="1"/>
    <col min="3" max="3" width="13.28515625" style="490" customWidth="1"/>
    <col min="4" max="4" width="11" style="490" customWidth="1"/>
    <col min="5" max="5" width="10.85546875" style="490" customWidth="1"/>
    <col min="6" max="7" width="10.140625" style="490" customWidth="1"/>
    <col min="8" max="8" width="10.85546875" style="490" customWidth="1"/>
    <col min="9" max="9" width="11.5703125" style="490" customWidth="1"/>
    <col min="10" max="10" width="15.42578125" style="490" customWidth="1"/>
    <col min="11" max="11" width="12.5703125" style="490" customWidth="1"/>
    <col min="12" max="12" width="15" style="490" customWidth="1"/>
    <col min="13" max="13" width="14.5703125" style="490" customWidth="1"/>
    <col min="14" max="14" width="12.140625" style="490" bestFit="1" customWidth="1"/>
    <col min="15" max="15" width="13.28515625" style="490" bestFit="1" customWidth="1"/>
    <col min="16" max="16" width="11" style="490" bestFit="1" customWidth="1"/>
    <col min="17" max="17" width="10.140625" style="490" bestFit="1" customWidth="1"/>
    <col min="18" max="18" width="10.85546875" style="490" bestFit="1" customWidth="1"/>
    <col min="19" max="20" width="10.140625" style="490" bestFit="1" customWidth="1"/>
    <col min="21" max="21" width="11.5703125" style="490" bestFit="1" customWidth="1"/>
    <col min="22" max="22" width="15.42578125" style="490" bestFit="1" customWidth="1"/>
    <col min="23" max="23" width="12.5703125" style="490" bestFit="1" customWidth="1"/>
    <col min="24" max="24" width="15" style="490" bestFit="1" customWidth="1"/>
    <col min="25" max="25" width="14.5703125" style="490" bestFit="1" customWidth="1"/>
    <col min="26" max="26" width="12.140625" style="490" bestFit="1" customWidth="1"/>
    <col min="27" max="16384" width="12.85546875" style="278"/>
  </cols>
  <sheetData>
    <row r="1" spans="1:26" x14ac:dyDescent="0.25">
      <c r="A1" s="895" t="s">
        <v>175</v>
      </c>
      <c r="B1" s="896"/>
      <c r="C1" s="896"/>
      <c r="D1" s="896"/>
      <c r="E1" s="896"/>
      <c r="F1" s="896"/>
      <c r="G1" s="896"/>
      <c r="H1" s="896"/>
      <c r="I1" s="896"/>
      <c r="J1" s="896"/>
      <c r="K1" s="896"/>
      <c r="L1" s="896"/>
      <c r="M1" s="896"/>
      <c r="N1" s="896"/>
      <c r="O1" s="896"/>
      <c r="P1" s="896"/>
      <c r="Q1" s="896"/>
      <c r="R1" s="896"/>
      <c r="S1" s="896"/>
      <c r="T1" s="896"/>
      <c r="U1" s="896"/>
      <c r="V1" s="896"/>
      <c r="W1" s="896"/>
      <c r="X1" s="896"/>
      <c r="Y1" s="896"/>
      <c r="Z1" s="896"/>
    </row>
    <row r="2" spans="1:26" x14ac:dyDescent="0.25">
      <c r="A2" s="895" t="s">
        <v>309</v>
      </c>
      <c r="B2" s="896"/>
      <c r="C2" s="896"/>
      <c r="D2" s="896"/>
      <c r="E2" s="896"/>
      <c r="F2" s="896"/>
      <c r="G2" s="896"/>
      <c r="H2" s="896"/>
      <c r="I2" s="896"/>
      <c r="J2" s="896"/>
      <c r="K2" s="896"/>
      <c r="L2" s="896"/>
      <c r="M2" s="896"/>
      <c r="N2" s="896"/>
      <c r="O2" s="896"/>
      <c r="P2" s="896"/>
      <c r="Q2" s="896"/>
      <c r="R2" s="896"/>
      <c r="S2" s="896"/>
      <c r="T2" s="896"/>
      <c r="U2" s="896"/>
      <c r="V2" s="896"/>
      <c r="W2" s="896"/>
      <c r="X2" s="896"/>
      <c r="Y2" s="896"/>
      <c r="Z2" s="896"/>
    </row>
    <row r="3" spans="1:26" x14ac:dyDescent="0.25">
      <c r="A3" s="895" t="s">
        <v>433</v>
      </c>
      <c r="B3" s="896"/>
      <c r="C3" s="896"/>
      <c r="D3" s="896"/>
      <c r="E3" s="896"/>
      <c r="F3" s="896"/>
      <c r="G3" s="896"/>
      <c r="H3" s="896"/>
      <c r="I3" s="896"/>
      <c r="J3" s="896"/>
      <c r="K3" s="896"/>
      <c r="L3" s="896"/>
      <c r="M3" s="896"/>
      <c r="N3" s="896"/>
      <c r="O3" s="896"/>
      <c r="P3" s="896"/>
      <c r="Q3" s="896"/>
      <c r="R3" s="896"/>
      <c r="S3" s="896"/>
      <c r="T3" s="896"/>
      <c r="U3" s="896"/>
      <c r="V3" s="896"/>
      <c r="W3" s="896"/>
      <c r="X3" s="896"/>
      <c r="Y3" s="896"/>
      <c r="Z3" s="896"/>
    </row>
    <row r="5" spans="1:26" ht="30" x14ac:dyDescent="0.25">
      <c r="A5" s="498"/>
      <c r="B5" s="498" t="s">
        <v>434</v>
      </c>
      <c r="C5" s="498" t="s">
        <v>435</v>
      </c>
      <c r="D5" s="498" t="s">
        <v>436</v>
      </c>
      <c r="E5" s="498" t="s">
        <v>437</v>
      </c>
      <c r="F5" s="498" t="s">
        <v>438</v>
      </c>
      <c r="G5" s="498" t="s">
        <v>439</v>
      </c>
      <c r="H5" s="498" t="s">
        <v>440</v>
      </c>
      <c r="I5" s="498" t="s">
        <v>441</v>
      </c>
      <c r="J5" s="498" t="s">
        <v>442</v>
      </c>
      <c r="K5" s="498" t="s">
        <v>443</v>
      </c>
      <c r="L5" s="498" t="s">
        <v>444</v>
      </c>
      <c r="M5" s="498" t="s">
        <v>445</v>
      </c>
      <c r="N5" s="498" t="s">
        <v>446</v>
      </c>
      <c r="O5" s="498" t="s">
        <v>447</v>
      </c>
      <c r="P5" s="498" t="s">
        <v>448</v>
      </c>
      <c r="Q5" s="498" t="s">
        <v>449</v>
      </c>
      <c r="R5" s="498" t="s">
        <v>450</v>
      </c>
      <c r="S5" s="498" t="s">
        <v>451</v>
      </c>
      <c r="T5" s="498" t="s">
        <v>452</v>
      </c>
      <c r="U5" s="498" t="s">
        <v>453</v>
      </c>
      <c r="V5" s="498" t="s">
        <v>454</v>
      </c>
      <c r="W5" s="498" t="s">
        <v>455</v>
      </c>
      <c r="X5" s="498" t="s">
        <v>456</v>
      </c>
      <c r="Y5" s="498" t="s">
        <v>457</v>
      </c>
      <c r="Z5" s="498" t="s">
        <v>310</v>
      </c>
    </row>
    <row r="6" spans="1:26" x14ac:dyDescent="0.25">
      <c r="A6" s="495" t="s">
        <v>183</v>
      </c>
    </row>
    <row r="7" spans="1:26" x14ac:dyDescent="0.25">
      <c r="A7" s="494" t="s">
        <v>316</v>
      </c>
      <c r="D7" s="493">
        <v>160800</v>
      </c>
      <c r="E7" s="493">
        <v>86405.81</v>
      </c>
      <c r="F7" s="493">
        <v>281848.49</v>
      </c>
      <c r="G7" s="493">
        <v>205251.5</v>
      </c>
      <c r="H7" s="493">
        <v>53294.2</v>
      </c>
      <c r="I7" s="493">
        <v>269577.84000000003</v>
      </c>
      <c r="J7" s="493">
        <v>274152.53000000003</v>
      </c>
      <c r="K7" s="493">
        <v>92931.94</v>
      </c>
      <c r="L7" s="493">
        <v>200450</v>
      </c>
      <c r="M7" s="493">
        <v>259565.22</v>
      </c>
      <c r="N7" s="493">
        <v>207696.48</v>
      </c>
      <c r="O7" s="493">
        <v>177054.69</v>
      </c>
      <c r="P7" s="493">
        <v>133247.20000000001</v>
      </c>
      <c r="Q7" s="493">
        <v>335220.65999999997</v>
      </c>
      <c r="R7" s="493">
        <v>160002.29999999999</v>
      </c>
      <c r="S7" s="493">
        <v>286386.5</v>
      </c>
      <c r="T7" s="493">
        <v>235174.74</v>
      </c>
      <c r="U7" s="493">
        <v>204282.18</v>
      </c>
      <c r="V7" s="493">
        <v>265773.51</v>
      </c>
      <c r="W7" s="493">
        <v>187319.89</v>
      </c>
      <c r="X7" s="493">
        <v>180412.92</v>
      </c>
      <c r="Y7" s="493">
        <v>352979.27</v>
      </c>
      <c r="Z7" s="493">
        <v>206737.15</v>
      </c>
    </row>
    <row r="8" spans="1:26" x14ac:dyDescent="0.25">
      <c r="A8" s="494" t="s">
        <v>317</v>
      </c>
      <c r="F8" s="493">
        <v>-273.08</v>
      </c>
      <c r="G8" s="493">
        <v>273.08</v>
      </c>
      <c r="H8" s="493">
        <v>-580.70000000000005</v>
      </c>
      <c r="I8" s="493">
        <v>-1002.5</v>
      </c>
      <c r="J8" s="493">
        <v>-209.6</v>
      </c>
      <c r="K8" s="493">
        <v>-209.3</v>
      </c>
      <c r="L8" s="493">
        <v>-260.41000000000003</v>
      </c>
      <c r="N8" s="493">
        <v>-1419.5</v>
      </c>
      <c r="O8" s="493">
        <v>-650.29999999999995</v>
      </c>
      <c r="P8" s="493">
        <v>-595.05999999999995</v>
      </c>
      <c r="Q8" s="493">
        <v>-488.96</v>
      </c>
      <c r="R8" s="493">
        <v>-2585.75</v>
      </c>
      <c r="S8" s="493">
        <v>-1153.8399999999999</v>
      </c>
      <c r="T8" s="493">
        <v>-1885.94</v>
      </c>
      <c r="U8" s="493">
        <v>-610.92999999999995</v>
      </c>
      <c r="V8" s="493">
        <v>-946.52</v>
      </c>
      <c r="W8" s="493">
        <v>-1953.82</v>
      </c>
      <c r="X8" s="493">
        <v>-451.57</v>
      </c>
      <c r="Y8" s="493">
        <v>-371.04</v>
      </c>
      <c r="Z8" s="493">
        <v>-1952.59</v>
      </c>
    </row>
    <row r="9" spans="1:26" s="501" customFormat="1" x14ac:dyDescent="0.25">
      <c r="A9" s="499" t="s">
        <v>318</v>
      </c>
      <c r="B9" s="500"/>
      <c r="C9" s="500"/>
      <c r="D9" s="500">
        <f t="shared" ref="D9:Z9" si="0">D7+D8</f>
        <v>160800</v>
      </c>
      <c r="E9" s="500">
        <f t="shared" si="0"/>
        <v>86405.81</v>
      </c>
      <c r="F9" s="500">
        <f t="shared" si="0"/>
        <v>281575.40999999997</v>
      </c>
      <c r="G9" s="500">
        <f t="shared" si="0"/>
        <v>205524.58</v>
      </c>
      <c r="H9" s="500">
        <f t="shared" si="0"/>
        <v>52713.5</v>
      </c>
      <c r="I9" s="500">
        <f t="shared" si="0"/>
        <v>268575.34000000003</v>
      </c>
      <c r="J9" s="500">
        <f t="shared" si="0"/>
        <v>273942.93000000005</v>
      </c>
      <c r="K9" s="500">
        <f t="shared" si="0"/>
        <v>92722.64</v>
      </c>
      <c r="L9" s="500">
        <f t="shared" si="0"/>
        <v>200189.59</v>
      </c>
      <c r="M9" s="500">
        <f t="shared" si="0"/>
        <v>259565.22</v>
      </c>
      <c r="N9" s="500">
        <f t="shared" si="0"/>
        <v>206276.98</v>
      </c>
      <c r="O9" s="500">
        <f t="shared" si="0"/>
        <v>176404.39</v>
      </c>
      <c r="P9" s="500">
        <f t="shared" si="0"/>
        <v>132652.14000000001</v>
      </c>
      <c r="Q9" s="500">
        <f t="shared" si="0"/>
        <v>334731.69999999995</v>
      </c>
      <c r="R9" s="500">
        <f t="shared" si="0"/>
        <v>157416.54999999999</v>
      </c>
      <c r="S9" s="500">
        <f t="shared" si="0"/>
        <v>285232.65999999997</v>
      </c>
      <c r="T9" s="500">
        <f t="shared" si="0"/>
        <v>233288.8</v>
      </c>
      <c r="U9" s="500">
        <f t="shared" si="0"/>
        <v>203671.25</v>
      </c>
      <c r="V9" s="500">
        <f t="shared" si="0"/>
        <v>264826.99</v>
      </c>
      <c r="W9" s="500">
        <f t="shared" si="0"/>
        <v>185366.07</v>
      </c>
      <c r="X9" s="500">
        <f t="shared" si="0"/>
        <v>179961.35</v>
      </c>
      <c r="Y9" s="500">
        <f t="shared" si="0"/>
        <v>352608.23000000004</v>
      </c>
      <c r="Z9" s="500">
        <f t="shared" si="0"/>
        <v>204784.56</v>
      </c>
    </row>
    <row r="10" spans="1:26" x14ac:dyDescent="0.25">
      <c r="A10" s="495" t="s">
        <v>187</v>
      </c>
    </row>
    <row r="11" spans="1:26" x14ac:dyDescent="0.25">
      <c r="A11" s="494" t="s">
        <v>319</v>
      </c>
      <c r="D11" s="493">
        <v>2177.15</v>
      </c>
      <c r="E11" s="493">
        <v>105790.33</v>
      </c>
      <c r="F11" s="493">
        <v>43432.639999999999</v>
      </c>
      <c r="G11" s="493">
        <v>68498.97</v>
      </c>
      <c r="H11" s="493">
        <v>50001.29</v>
      </c>
      <c r="I11" s="493">
        <v>12668.25</v>
      </c>
      <c r="J11" s="493">
        <v>12239.85</v>
      </c>
      <c r="K11" s="493">
        <v>23943.119999999999</v>
      </c>
      <c r="L11" s="493">
        <v>27779.439999999999</v>
      </c>
      <c r="M11" s="493">
        <v>29884.91</v>
      </c>
      <c r="N11" s="493">
        <v>28964.880000000001</v>
      </c>
      <c r="O11" s="493">
        <v>20756.25</v>
      </c>
      <c r="P11" s="493">
        <v>58522.3</v>
      </c>
      <c r="Q11" s="493">
        <v>38706.959999999999</v>
      </c>
      <c r="R11" s="493">
        <v>62034.32</v>
      </c>
      <c r="S11" s="493">
        <v>6283.12</v>
      </c>
      <c r="T11" s="493">
        <v>67589.84</v>
      </c>
      <c r="U11" s="493">
        <v>21191.07</v>
      </c>
      <c r="V11" s="493">
        <v>17500.75</v>
      </c>
      <c r="W11" s="493">
        <v>47675.03</v>
      </c>
      <c r="X11" s="493">
        <v>14393.97</v>
      </c>
      <c r="Y11" s="493">
        <v>15209.15</v>
      </c>
      <c r="Z11" s="493">
        <v>28418.22</v>
      </c>
    </row>
    <row r="12" spans="1:26" x14ac:dyDescent="0.25">
      <c r="A12" s="494" t="s">
        <v>320</v>
      </c>
      <c r="D12" s="493">
        <v>0</v>
      </c>
      <c r="E12" s="493">
        <v>0</v>
      </c>
      <c r="F12" s="493">
        <v>0</v>
      </c>
      <c r="G12" s="493">
        <v>0</v>
      </c>
      <c r="H12" s="493">
        <v>0</v>
      </c>
      <c r="I12" s="493">
        <v>25405.64</v>
      </c>
      <c r="J12" s="493">
        <v>44735.92</v>
      </c>
      <c r="K12" s="493">
        <v>30720.19</v>
      </c>
      <c r="L12" s="493">
        <v>56246.48</v>
      </c>
      <c r="M12" s="493">
        <v>36292.769999999997</v>
      </c>
      <c r="N12" s="493">
        <v>0</v>
      </c>
      <c r="O12" s="493">
        <v>0</v>
      </c>
      <c r="P12" s="493">
        <v>0</v>
      </c>
      <c r="Q12" s="493">
        <v>0</v>
      </c>
      <c r="R12" s="493">
        <v>0</v>
      </c>
      <c r="S12" s="493">
        <v>0</v>
      </c>
      <c r="T12" s="493">
        <v>0</v>
      </c>
      <c r="U12" s="493">
        <v>0</v>
      </c>
      <c r="V12" s="493">
        <v>0</v>
      </c>
      <c r="W12" s="493">
        <v>0</v>
      </c>
      <c r="X12" s="493">
        <v>0</v>
      </c>
      <c r="Y12" s="493">
        <v>0</v>
      </c>
      <c r="Z12" s="493">
        <v>0</v>
      </c>
    </row>
    <row r="13" spans="1:26" x14ac:dyDescent="0.25">
      <c r="A13" s="494" t="s">
        <v>324</v>
      </c>
      <c r="N13" s="493">
        <v>671.42</v>
      </c>
      <c r="O13" s="493">
        <v>1342.1</v>
      </c>
      <c r="P13" s="493">
        <v>1915.16</v>
      </c>
      <c r="Q13" s="493">
        <v>1382.08</v>
      </c>
      <c r="R13" s="493">
        <v>1671.51</v>
      </c>
      <c r="S13" s="493">
        <v>2227.59</v>
      </c>
      <c r="T13" s="493">
        <v>684.66</v>
      </c>
      <c r="U13" s="493">
        <v>425.2</v>
      </c>
      <c r="W13" s="493">
        <v>719.11</v>
      </c>
    </row>
    <row r="14" spans="1:26" x14ac:dyDescent="0.25">
      <c r="A14" s="494" t="s">
        <v>458</v>
      </c>
      <c r="E14" s="493">
        <v>213.1</v>
      </c>
      <c r="F14" s="493">
        <v>211.8</v>
      </c>
      <c r="G14" s="493">
        <v>518.66</v>
      </c>
      <c r="H14" s="493">
        <v>432.6</v>
      </c>
    </row>
    <row r="15" spans="1:26" x14ac:dyDescent="0.25">
      <c r="A15" s="494" t="s">
        <v>459</v>
      </c>
      <c r="D15" s="493">
        <v>7325</v>
      </c>
    </row>
    <row r="16" spans="1:26" x14ac:dyDescent="0.25">
      <c r="A16" s="494" t="s">
        <v>460</v>
      </c>
      <c r="F16" s="493">
        <v>0</v>
      </c>
    </row>
    <row r="17" spans="1:26" x14ac:dyDescent="0.25">
      <c r="A17" s="494" t="s">
        <v>461</v>
      </c>
      <c r="M17" s="493">
        <v>1440</v>
      </c>
    </row>
    <row r="18" spans="1:26" x14ac:dyDescent="0.25">
      <c r="A18" s="494" t="s">
        <v>321</v>
      </c>
      <c r="N18" s="493">
        <v>73276.92</v>
      </c>
      <c r="O18" s="493">
        <v>61729.67</v>
      </c>
      <c r="P18" s="493">
        <v>74367.5</v>
      </c>
      <c r="Q18" s="493">
        <v>67689.399999999994</v>
      </c>
      <c r="R18" s="493">
        <v>72832.98</v>
      </c>
      <c r="S18" s="493">
        <v>66266.39</v>
      </c>
      <c r="T18" s="493">
        <v>69598.649999999994</v>
      </c>
      <c r="U18" s="493">
        <v>67841.8</v>
      </c>
      <c r="V18" s="493">
        <v>66652.649999999994</v>
      </c>
      <c r="W18" s="493">
        <v>66298.899999999994</v>
      </c>
      <c r="X18" s="493">
        <v>72858.89</v>
      </c>
      <c r="Y18" s="493">
        <v>73268.149999999994</v>
      </c>
      <c r="Z18" s="493">
        <v>90285.21</v>
      </c>
    </row>
    <row r="19" spans="1:26" x14ac:dyDescent="0.25">
      <c r="A19" s="494" t="s">
        <v>322</v>
      </c>
      <c r="N19" s="493">
        <v>7193.64</v>
      </c>
      <c r="O19" s="493">
        <v>4363.63</v>
      </c>
      <c r="P19" s="493">
        <v>5305.6</v>
      </c>
      <c r="Q19" s="493">
        <v>5166.96</v>
      </c>
      <c r="R19" s="493">
        <v>5763.62</v>
      </c>
      <c r="S19" s="493">
        <v>5383.55</v>
      </c>
      <c r="T19" s="493">
        <v>5618.96</v>
      </c>
      <c r="U19" s="493">
        <v>5362.65</v>
      </c>
      <c r="V19" s="493">
        <v>5215.68</v>
      </c>
      <c r="W19" s="493">
        <v>5243.23</v>
      </c>
      <c r="X19" s="493">
        <v>5849.2</v>
      </c>
      <c r="Y19" s="493">
        <v>7090.66</v>
      </c>
      <c r="Z19" s="493">
        <v>9791.27</v>
      </c>
    </row>
    <row r="20" spans="1:26" x14ac:dyDescent="0.25">
      <c r="A20" s="494" t="s">
        <v>323</v>
      </c>
      <c r="N20" s="493">
        <v>2815</v>
      </c>
      <c r="O20" s="493">
        <v>2712.55</v>
      </c>
      <c r="P20" s="493">
        <v>2996.17</v>
      </c>
      <c r="Q20" s="493">
        <v>2837.07</v>
      </c>
      <c r="R20" s="493">
        <v>3175.41</v>
      </c>
      <c r="S20" s="493">
        <v>2932.59</v>
      </c>
      <c r="T20" s="493">
        <v>3206.34</v>
      </c>
      <c r="U20" s="493">
        <v>2618.81</v>
      </c>
      <c r="V20" s="493">
        <v>3329.74</v>
      </c>
      <c r="W20" s="493">
        <v>3505.14</v>
      </c>
      <c r="X20" s="493">
        <v>3497.47</v>
      </c>
      <c r="Y20" s="493">
        <v>3749.04</v>
      </c>
      <c r="Z20" s="493">
        <v>3351.49</v>
      </c>
    </row>
    <row r="21" spans="1:26" x14ac:dyDescent="0.25">
      <c r="A21" s="492" t="s">
        <v>325</v>
      </c>
      <c r="B21" s="491"/>
      <c r="C21" s="491"/>
      <c r="D21" s="491">
        <f t="shared" ref="D21:Z21" si="1">D11+D12+D13+D14+D15+D16+D17+D18+D19+D20</f>
        <v>9502.15</v>
      </c>
      <c r="E21" s="491">
        <f t="shared" si="1"/>
        <v>106003.43000000001</v>
      </c>
      <c r="F21" s="491">
        <f t="shared" si="1"/>
        <v>43644.44</v>
      </c>
      <c r="G21" s="491">
        <f t="shared" si="1"/>
        <v>69017.63</v>
      </c>
      <c r="H21" s="491">
        <f t="shared" si="1"/>
        <v>50433.89</v>
      </c>
      <c r="I21" s="491">
        <f t="shared" si="1"/>
        <v>38073.89</v>
      </c>
      <c r="J21" s="491">
        <f t="shared" si="1"/>
        <v>56975.77</v>
      </c>
      <c r="K21" s="491">
        <f t="shared" si="1"/>
        <v>54663.31</v>
      </c>
      <c r="L21" s="491">
        <f t="shared" si="1"/>
        <v>84025.919999999998</v>
      </c>
      <c r="M21" s="491">
        <f t="shared" si="1"/>
        <v>67617.679999999993</v>
      </c>
      <c r="N21" s="491">
        <f t="shared" si="1"/>
        <v>112921.86</v>
      </c>
      <c r="O21" s="491">
        <f t="shared" si="1"/>
        <v>90904.2</v>
      </c>
      <c r="P21" s="491">
        <f t="shared" si="1"/>
        <v>143106.73000000004</v>
      </c>
      <c r="Q21" s="491">
        <f t="shared" si="1"/>
        <v>115782.47000000002</v>
      </c>
      <c r="R21" s="491">
        <f t="shared" si="1"/>
        <v>145477.84</v>
      </c>
      <c r="S21" s="491">
        <f t="shared" si="1"/>
        <v>83093.240000000005</v>
      </c>
      <c r="T21" s="491">
        <f t="shared" si="1"/>
        <v>146698.44999999998</v>
      </c>
      <c r="U21" s="491">
        <f t="shared" si="1"/>
        <v>97439.53</v>
      </c>
      <c r="V21" s="491">
        <f t="shared" si="1"/>
        <v>92698.819999999992</v>
      </c>
      <c r="W21" s="491">
        <f t="shared" si="1"/>
        <v>123441.40999999999</v>
      </c>
      <c r="X21" s="491">
        <f t="shared" si="1"/>
        <v>96599.53</v>
      </c>
      <c r="Y21" s="491">
        <f t="shared" si="1"/>
        <v>99316.999999999985</v>
      </c>
      <c r="Z21" s="491">
        <f t="shared" si="1"/>
        <v>131846.19</v>
      </c>
    </row>
    <row r="22" spans="1:26" x14ac:dyDescent="0.25">
      <c r="A22" s="492" t="s">
        <v>152</v>
      </c>
      <c r="B22" s="491"/>
      <c r="C22" s="491"/>
      <c r="D22" s="491">
        <f t="shared" ref="D22:Z22" si="2">D9-D21</f>
        <v>151297.85</v>
      </c>
      <c r="E22" s="491">
        <f t="shared" si="2"/>
        <v>-19597.62000000001</v>
      </c>
      <c r="F22" s="491">
        <f t="shared" si="2"/>
        <v>237930.96999999997</v>
      </c>
      <c r="G22" s="491">
        <f t="shared" si="2"/>
        <v>136506.94999999998</v>
      </c>
      <c r="H22" s="491">
        <f t="shared" si="2"/>
        <v>2279.6100000000006</v>
      </c>
      <c r="I22" s="491">
        <f t="shared" si="2"/>
        <v>230501.45</v>
      </c>
      <c r="J22" s="491">
        <f t="shared" si="2"/>
        <v>216967.16000000006</v>
      </c>
      <c r="K22" s="491">
        <f t="shared" si="2"/>
        <v>38059.33</v>
      </c>
      <c r="L22" s="491">
        <f t="shared" si="2"/>
        <v>116163.67</v>
      </c>
      <c r="M22" s="491">
        <f t="shared" si="2"/>
        <v>191947.54</v>
      </c>
      <c r="N22" s="491">
        <f t="shared" si="2"/>
        <v>93355.12000000001</v>
      </c>
      <c r="O22" s="491">
        <f t="shared" si="2"/>
        <v>85500.190000000017</v>
      </c>
      <c r="P22" s="491">
        <f t="shared" si="2"/>
        <v>-10454.590000000026</v>
      </c>
      <c r="Q22" s="491">
        <f t="shared" si="2"/>
        <v>218949.22999999992</v>
      </c>
      <c r="R22" s="491">
        <f t="shared" si="2"/>
        <v>11938.709999999992</v>
      </c>
      <c r="S22" s="491">
        <f t="shared" si="2"/>
        <v>202139.41999999998</v>
      </c>
      <c r="T22" s="491">
        <f t="shared" si="2"/>
        <v>86590.35</v>
      </c>
      <c r="U22" s="491">
        <f t="shared" si="2"/>
        <v>106231.72</v>
      </c>
      <c r="V22" s="491">
        <f t="shared" si="2"/>
        <v>172128.16999999998</v>
      </c>
      <c r="W22" s="491">
        <f t="shared" si="2"/>
        <v>61924.660000000018</v>
      </c>
      <c r="X22" s="491">
        <f t="shared" si="2"/>
        <v>83361.820000000007</v>
      </c>
      <c r="Y22" s="491">
        <f t="shared" si="2"/>
        <v>253291.23000000004</v>
      </c>
      <c r="Z22" s="491">
        <f t="shared" si="2"/>
        <v>72938.37</v>
      </c>
    </row>
    <row r="23" spans="1:26" x14ac:dyDescent="0.25">
      <c r="A23" s="495" t="s">
        <v>193</v>
      </c>
    </row>
    <row r="24" spans="1:26" x14ac:dyDescent="0.25">
      <c r="A24" s="494" t="s">
        <v>326</v>
      </c>
    </row>
    <row r="25" spans="1:26" x14ac:dyDescent="0.25">
      <c r="A25" s="497" t="s">
        <v>327</v>
      </c>
      <c r="D25" s="493">
        <v>30595.03</v>
      </c>
      <c r="E25" s="493">
        <v>111247.49</v>
      </c>
      <c r="F25" s="493">
        <v>81915.789999999994</v>
      </c>
      <c r="G25" s="493">
        <v>89130.27</v>
      </c>
      <c r="H25" s="493">
        <v>88563.02</v>
      </c>
      <c r="I25" s="493">
        <v>85709.02</v>
      </c>
      <c r="J25" s="493">
        <v>68207.89</v>
      </c>
      <c r="K25" s="493">
        <v>60564.15</v>
      </c>
      <c r="L25" s="493">
        <v>42450.38</v>
      </c>
      <c r="M25" s="493">
        <v>57654.73</v>
      </c>
      <c r="N25" s="493">
        <v>21679.69</v>
      </c>
      <c r="O25" s="493">
        <v>19512.650000000001</v>
      </c>
      <c r="P25" s="493">
        <v>27867.34</v>
      </c>
      <c r="Q25" s="493">
        <v>30950.82</v>
      </c>
      <c r="R25" s="493">
        <v>37564.080000000002</v>
      </c>
      <c r="S25" s="493">
        <v>35474.29</v>
      </c>
      <c r="T25" s="493">
        <v>47631.95</v>
      </c>
      <c r="U25" s="493">
        <v>31578.77</v>
      </c>
      <c r="V25" s="493">
        <v>27279.41</v>
      </c>
      <c r="W25" s="493">
        <v>22688.31</v>
      </c>
      <c r="X25" s="493">
        <v>35130.550000000003</v>
      </c>
      <c r="Y25" s="493">
        <v>39895.599999999999</v>
      </c>
      <c r="Z25" s="493">
        <v>23690.14</v>
      </c>
    </row>
    <row r="26" spans="1:26" x14ac:dyDescent="0.25">
      <c r="A26" s="497" t="s">
        <v>462</v>
      </c>
      <c r="F26" s="493">
        <v>1296.3800000000001</v>
      </c>
      <c r="G26" s="493">
        <v>3920.87</v>
      </c>
      <c r="H26" s="493">
        <v>3854.74</v>
      </c>
      <c r="I26" s="493">
        <v>3450.69</v>
      </c>
      <c r="J26" s="493">
        <v>3424.02</v>
      </c>
      <c r="K26" s="493">
        <v>3397.78</v>
      </c>
      <c r="L26" s="493">
        <v>2938.5</v>
      </c>
      <c r="M26" s="493">
        <v>2740.28</v>
      </c>
    </row>
    <row r="27" spans="1:26" x14ac:dyDescent="0.25">
      <c r="A27" s="497" t="s">
        <v>328</v>
      </c>
      <c r="D27" s="493">
        <v>3064.87</v>
      </c>
      <c r="E27" s="493">
        <v>11286.68</v>
      </c>
      <c r="F27" s="493">
        <v>5697.47</v>
      </c>
      <c r="G27" s="493">
        <v>6868.12</v>
      </c>
      <c r="H27" s="493">
        <v>6733.17</v>
      </c>
      <c r="I27" s="493">
        <v>6850.31</v>
      </c>
      <c r="J27" s="493">
        <v>5589.96</v>
      </c>
      <c r="K27" s="493">
        <v>4559.34</v>
      </c>
      <c r="L27" s="493">
        <v>2965.53</v>
      </c>
      <c r="M27" s="493">
        <v>7336.87</v>
      </c>
      <c r="N27" s="493">
        <v>2117.37</v>
      </c>
      <c r="O27" s="493">
        <v>1475.72</v>
      </c>
      <c r="P27" s="493">
        <v>2273.9699999999998</v>
      </c>
      <c r="Q27" s="493">
        <v>2239.85</v>
      </c>
      <c r="R27" s="493">
        <v>2240.73</v>
      </c>
      <c r="S27" s="493">
        <v>2330.64</v>
      </c>
      <c r="T27" s="493">
        <v>3840.6</v>
      </c>
      <c r="U27" s="493">
        <v>2403.71</v>
      </c>
      <c r="V27" s="493">
        <v>2061.4299999999998</v>
      </c>
      <c r="W27" s="493">
        <v>1705.9</v>
      </c>
      <c r="X27" s="493">
        <v>2793.63</v>
      </c>
      <c r="Y27" s="493">
        <v>3657.96</v>
      </c>
      <c r="Z27" s="493">
        <v>1899.81</v>
      </c>
    </row>
    <row r="28" spans="1:26" x14ac:dyDescent="0.25">
      <c r="A28" s="497" t="s">
        <v>329</v>
      </c>
      <c r="D28" s="493">
        <v>250.16</v>
      </c>
      <c r="E28" s="493">
        <v>2054.4699999999998</v>
      </c>
      <c r="F28" s="493">
        <v>2375.88</v>
      </c>
      <c r="G28" s="493">
        <v>2644.28</v>
      </c>
      <c r="H28" s="493">
        <v>2094.7399999999998</v>
      </c>
      <c r="I28" s="493">
        <v>1526.21</v>
      </c>
      <c r="J28" s="493">
        <v>931.55</v>
      </c>
      <c r="K28" s="493">
        <v>1550.88</v>
      </c>
      <c r="L28" s="493">
        <v>1550.88</v>
      </c>
      <c r="M28" s="493">
        <v>1564.32</v>
      </c>
      <c r="N28" s="493">
        <v>907.69</v>
      </c>
      <c r="O28" s="493">
        <v>881.71</v>
      </c>
      <c r="P28" s="493">
        <v>991.31</v>
      </c>
      <c r="Q28" s="493">
        <v>925.29</v>
      </c>
      <c r="R28" s="493">
        <v>1121.92</v>
      </c>
      <c r="S28" s="493">
        <v>1217.1400000000001</v>
      </c>
      <c r="T28" s="493">
        <v>1429.81</v>
      </c>
      <c r="U28" s="493">
        <v>632.54999999999995</v>
      </c>
      <c r="V28" s="493">
        <v>655.9</v>
      </c>
      <c r="W28" s="493">
        <v>736.53</v>
      </c>
      <c r="X28" s="493">
        <v>1213.57</v>
      </c>
      <c r="Y28" s="493">
        <v>864.6</v>
      </c>
      <c r="Z28" s="493">
        <v>525.64</v>
      </c>
    </row>
    <row r="29" spans="1:26" x14ac:dyDescent="0.25">
      <c r="A29" s="497" t="s">
        <v>463</v>
      </c>
      <c r="M29" s="493">
        <v>17314</v>
      </c>
      <c r="U29" s="493">
        <v>505.11</v>
      </c>
      <c r="V29" s="493">
        <v>0</v>
      </c>
    </row>
    <row r="30" spans="1:26" x14ac:dyDescent="0.25">
      <c r="A30" s="496" t="s">
        <v>330</v>
      </c>
      <c r="B30" s="491"/>
      <c r="C30" s="491"/>
      <c r="D30" s="491">
        <f t="shared" ref="D30:Z30" si="3">D24+D25+D26+D27+D28+D29</f>
        <v>33910.060000000005</v>
      </c>
      <c r="E30" s="491">
        <f t="shared" si="3"/>
        <v>124588.64000000001</v>
      </c>
      <c r="F30" s="491">
        <f t="shared" si="3"/>
        <v>91285.52</v>
      </c>
      <c r="G30" s="491">
        <f t="shared" si="3"/>
        <v>102563.54</v>
      </c>
      <c r="H30" s="491">
        <f t="shared" si="3"/>
        <v>101245.67000000001</v>
      </c>
      <c r="I30" s="491">
        <f t="shared" si="3"/>
        <v>97536.23000000001</v>
      </c>
      <c r="J30" s="491">
        <f t="shared" si="3"/>
        <v>78153.420000000013</v>
      </c>
      <c r="K30" s="491">
        <f t="shared" si="3"/>
        <v>70072.150000000009</v>
      </c>
      <c r="L30" s="491">
        <f t="shared" si="3"/>
        <v>49905.289999999994</v>
      </c>
      <c r="M30" s="491">
        <f t="shared" si="3"/>
        <v>86610.200000000012</v>
      </c>
      <c r="N30" s="491">
        <f t="shared" si="3"/>
        <v>24704.749999999996</v>
      </c>
      <c r="O30" s="491">
        <f t="shared" si="3"/>
        <v>21870.080000000002</v>
      </c>
      <c r="P30" s="491">
        <f t="shared" si="3"/>
        <v>31132.620000000003</v>
      </c>
      <c r="Q30" s="491">
        <f t="shared" si="3"/>
        <v>34115.96</v>
      </c>
      <c r="R30" s="491">
        <f t="shared" si="3"/>
        <v>40926.730000000003</v>
      </c>
      <c r="S30" s="491">
        <f t="shared" si="3"/>
        <v>39022.07</v>
      </c>
      <c r="T30" s="491">
        <f t="shared" si="3"/>
        <v>52902.359999999993</v>
      </c>
      <c r="U30" s="491">
        <f t="shared" si="3"/>
        <v>35120.140000000007</v>
      </c>
      <c r="V30" s="491">
        <f t="shared" si="3"/>
        <v>29996.74</v>
      </c>
      <c r="W30" s="491">
        <f t="shared" si="3"/>
        <v>25130.74</v>
      </c>
      <c r="X30" s="491">
        <f t="shared" si="3"/>
        <v>39137.75</v>
      </c>
      <c r="Y30" s="491">
        <f t="shared" si="3"/>
        <v>44418.159999999996</v>
      </c>
      <c r="Z30" s="491">
        <f t="shared" si="3"/>
        <v>26115.59</v>
      </c>
    </row>
    <row r="31" spans="1:26" x14ac:dyDescent="0.25">
      <c r="A31" s="494" t="s">
        <v>331</v>
      </c>
      <c r="E31" s="493">
        <v>1545</v>
      </c>
      <c r="M31" s="493">
        <v>756</v>
      </c>
      <c r="O31" s="493">
        <v>88.48</v>
      </c>
      <c r="R31" s="493">
        <v>360</v>
      </c>
      <c r="S31" s="493">
        <v>415</v>
      </c>
      <c r="U31" s="493">
        <v>6</v>
      </c>
      <c r="V31" s="493">
        <v>2</v>
      </c>
      <c r="W31" s="493">
        <v>2</v>
      </c>
      <c r="X31" s="493">
        <v>2</v>
      </c>
      <c r="Y31" s="493">
        <v>2</v>
      </c>
      <c r="Z31" s="493">
        <v>1583.92</v>
      </c>
    </row>
    <row r="32" spans="1:26" x14ac:dyDescent="0.25">
      <c r="A32" s="494" t="s">
        <v>332</v>
      </c>
      <c r="D32" s="493">
        <v>35</v>
      </c>
      <c r="E32" s="493">
        <v>1225</v>
      </c>
      <c r="F32" s="493">
        <v>630</v>
      </c>
      <c r="G32" s="493">
        <v>666</v>
      </c>
      <c r="H32" s="493">
        <v>960.33</v>
      </c>
      <c r="I32" s="493">
        <v>694</v>
      </c>
      <c r="J32" s="493">
        <v>674</v>
      </c>
      <c r="K32" s="493">
        <v>674</v>
      </c>
      <c r="L32" s="493">
        <v>674</v>
      </c>
      <c r="M32" s="493">
        <v>674</v>
      </c>
      <c r="N32" s="493">
        <v>714</v>
      </c>
      <c r="O32" s="493">
        <v>674</v>
      </c>
      <c r="P32" s="493">
        <v>953</v>
      </c>
      <c r="Q32" s="493">
        <v>837</v>
      </c>
      <c r="R32" s="493">
        <v>817</v>
      </c>
      <c r="S32" s="493">
        <v>757</v>
      </c>
      <c r="T32" s="493">
        <v>950</v>
      </c>
      <c r="U32" s="493">
        <v>983.4</v>
      </c>
      <c r="V32" s="493">
        <v>885.2</v>
      </c>
      <c r="W32" s="493">
        <v>789.2</v>
      </c>
      <c r="X32" s="493">
        <v>797.2</v>
      </c>
      <c r="Y32" s="493">
        <v>998.18</v>
      </c>
      <c r="Z32" s="493">
        <v>919.2</v>
      </c>
    </row>
    <row r="33" spans="1:26" x14ac:dyDescent="0.25">
      <c r="A33" s="494" t="s">
        <v>464</v>
      </c>
      <c r="E33" s="493">
        <v>0</v>
      </c>
      <c r="G33" s="493">
        <v>2500</v>
      </c>
      <c r="H33" s="493">
        <v>2500</v>
      </c>
      <c r="I33" s="493">
        <v>2500</v>
      </c>
      <c r="J33" s="493">
        <v>2500</v>
      </c>
      <c r="K33" s="493">
        <v>2500</v>
      </c>
      <c r="L33" s="493">
        <v>2500</v>
      </c>
    </row>
    <row r="34" spans="1:26" x14ac:dyDescent="0.25">
      <c r="A34" s="494" t="s">
        <v>333</v>
      </c>
      <c r="N34" s="493">
        <v>500</v>
      </c>
      <c r="O34" s="493">
        <v>794.27</v>
      </c>
      <c r="P34" s="493">
        <v>346.22</v>
      </c>
      <c r="Q34" s="493">
        <v>847.06</v>
      </c>
      <c r="R34" s="493">
        <v>534.14</v>
      </c>
      <c r="S34" s="493">
        <v>210.54</v>
      </c>
      <c r="T34" s="493">
        <v>813.29</v>
      </c>
      <c r="U34" s="493">
        <v>152.54</v>
      </c>
      <c r="V34" s="493">
        <v>108.4</v>
      </c>
      <c r="W34" s="493">
        <v>18.46</v>
      </c>
      <c r="X34" s="493">
        <v>785.95</v>
      </c>
      <c r="Y34" s="493">
        <v>328.5</v>
      </c>
      <c r="Z34" s="493">
        <v>768.26</v>
      </c>
    </row>
    <row r="35" spans="1:26" x14ac:dyDescent="0.25">
      <c r="A35" s="494" t="s">
        <v>334</v>
      </c>
      <c r="Q35" s="493">
        <v>350</v>
      </c>
      <c r="Y35" s="493">
        <v>2163</v>
      </c>
      <c r="Z35" s="493">
        <v>103</v>
      </c>
    </row>
    <row r="36" spans="1:26" x14ac:dyDescent="0.25">
      <c r="A36" s="494" t="s">
        <v>375</v>
      </c>
      <c r="D36" s="493">
        <v>436.04</v>
      </c>
      <c r="E36" s="493">
        <v>4995.2</v>
      </c>
      <c r="F36" s="493">
        <v>3990.24</v>
      </c>
      <c r="G36" s="493">
        <v>11307.69</v>
      </c>
      <c r="H36" s="493">
        <v>7528</v>
      </c>
      <c r="I36" s="493">
        <v>16393.43</v>
      </c>
      <c r="J36" s="493">
        <v>10686.56</v>
      </c>
      <c r="K36" s="493">
        <v>4333.08</v>
      </c>
      <c r="L36" s="493">
        <v>230.76</v>
      </c>
      <c r="M36" s="493">
        <v>2144.83</v>
      </c>
      <c r="N36" s="493">
        <v>0</v>
      </c>
      <c r="O36" s="493">
        <v>0</v>
      </c>
      <c r="P36" s="493">
        <v>0</v>
      </c>
      <c r="Q36" s="493">
        <v>0</v>
      </c>
      <c r="R36" s="493">
        <v>0</v>
      </c>
      <c r="S36" s="493">
        <v>0</v>
      </c>
      <c r="T36" s="493">
        <v>0</v>
      </c>
      <c r="U36" s="493">
        <v>0</v>
      </c>
      <c r="V36" s="493">
        <v>0</v>
      </c>
      <c r="W36" s="493">
        <v>0</v>
      </c>
      <c r="X36" s="493">
        <v>0</v>
      </c>
    </row>
    <row r="37" spans="1:26" x14ac:dyDescent="0.25">
      <c r="A37" s="494" t="s">
        <v>335</v>
      </c>
    </row>
    <row r="38" spans="1:26" x14ac:dyDescent="0.25">
      <c r="A38" s="497" t="s">
        <v>339</v>
      </c>
      <c r="D38" s="493">
        <v>53706</v>
      </c>
      <c r="E38" s="493">
        <v>275</v>
      </c>
      <c r="F38" s="493">
        <v>4697.5</v>
      </c>
      <c r="G38" s="493">
        <v>8774</v>
      </c>
      <c r="H38" s="493">
        <v>-324.42</v>
      </c>
      <c r="I38" s="493">
        <v>1690</v>
      </c>
      <c r="J38" s="493">
        <v>2461.3000000000002</v>
      </c>
      <c r="K38" s="493">
        <v>6194</v>
      </c>
      <c r="L38" s="493">
        <v>13236.8</v>
      </c>
      <c r="M38" s="493">
        <v>380</v>
      </c>
      <c r="N38" s="493">
        <v>6570.19</v>
      </c>
      <c r="O38" s="493">
        <v>27658.49</v>
      </c>
      <c r="P38" s="493">
        <v>9262.58</v>
      </c>
      <c r="Q38" s="493">
        <v>12382.72</v>
      </c>
      <c r="R38" s="493">
        <v>6183.19</v>
      </c>
      <c r="S38" s="493">
        <v>9141.1299999999992</v>
      </c>
      <c r="T38" s="493">
        <v>32229.88</v>
      </c>
      <c r="U38" s="493">
        <v>9719.56</v>
      </c>
      <c r="V38" s="493">
        <v>145</v>
      </c>
      <c r="W38" s="493">
        <v>17365.41</v>
      </c>
      <c r="Y38" s="493">
        <v>370</v>
      </c>
    </row>
    <row r="39" spans="1:26" x14ac:dyDescent="0.25">
      <c r="A39" s="497" t="s">
        <v>336</v>
      </c>
      <c r="D39" s="493">
        <v>4900</v>
      </c>
      <c r="E39" s="493">
        <v>4900</v>
      </c>
      <c r="F39" s="493">
        <v>7346.46</v>
      </c>
      <c r="G39" s="493">
        <v>6633.06</v>
      </c>
      <c r="H39" s="493">
        <v>5393.75</v>
      </c>
      <c r="I39" s="493">
        <v>5556.7</v>
      </c>
      <c r="J39" s="493">
        <v>4800</v>
      </c>
      <c r="K39" s="493">
        <v>4800</v>
      </c>
      <c r="L39" s="493">
        <v>4800</v>
      </c>
      <c r="M39" s="493">
        <v>4800</v>
      </c>
      <c r="N39" s="493">
        <v>5535.68</v>
      </c>
      <c r="O39" s="493">
        <v>0</v>
      </c>
      <c r="P39" s="493">
        <v>4831.5600000000004</v>
      </c>
      <c r="Q39" s="493">
        <v>8601.33</v>
      </c>
      <c r="R39" s="493">
        <v>11441.98</v>
      </c>
      <c r="S39" s="493">
        <v>9843.2099999999991</v>
      </c>
      <c r="T39" s="493">
        <v>4800</v>
      </c>
      <c r="U39" s="493">
        <v>4800</v>
      </c>
      <c r="V39" s="493">
        <v>4800</v>
      </c>
      <c r="W39" s="493">
        <v>2415.9</v>
      </c>
      <c r="X39" s="493">
        <v>2400</v>
      </c>
      <c r="Y39" s="493">
        <v>2400</v>
      </c>
      <c r="Z39" s="493">
        <v>2400</v>
      </c>
    </row>
    <row r="40" spans="1:26" x14ac:dyDescent="0.25">
      <c r="A40" s="497" t="s">
        <v>337</v>
      </c>
      <c r="D40" s="493">
        <v>31606.89</v>
      </c>
      <c r="E40" s="493">
        <v>10200</v>
      </c>
      <c r="F40" s="493">
        <v>13932.56</v>
      </c>
      <c r="G40" s="493">
        <v>14461.5</v>
      </c>
      <c r="H40" s="493">
        <v>11262.5</v>
      </c>
      <c r="I40" s="493">
        <v>19673.5</v>
      </c>
      <c r="J40" s="493">
        <v>13393.5</v>
      </c>
      <c r="K40" s="493">
        <v>2750</v>
      </c>
      <c r="L40" s="493">
        <v>750</v>
      </c>
      <c r="M40" s="493">
        <v>750</v>
      </c>
      <c r="N40" s="493">
        <v>750</v>
      </c>
      <c r="O40" s="493">
        <v>7938</v>
      </c>
      <c r="P40" s="493">
        <v>949.2</v>
      </c>
      <c r="Q40" s="493">
        <v>2428</v>
      </c>
      <c r="R40" s="493">
        <v>750</v>
      </c>
      <c r="S40" s="493">
        <v>1395</v>
      </c>
      <c r="T40" s="493">
        <v>1045</v>
      </c>
      <c r="U40" s="493">
        <v>1000</v>
      </c>
      <c r="V40" s="493">
        <v>1000</v>
      </c>
      <c r="W40" s="493">
        <v>1000</v>
      </c>
      <c r="X40" s="493">
        <v>1000</v>
      </c>
      <c r="Y40" s="493">
        <v>1250</v>
      </c>
      <c r="Z40" s="493">
        <v>1000</v>
      </c>
    </row>
    <row r="41" spans="1:26" x14ac:dyDescent="0.25">
      <c r="A41" s="497" t="s">
        <v>338</v>
      </c>
      <c r="D41" s="493">
        <v>20000</v>
      </c>
      <c r="E41" s="493">
        <v>11076</v>
      </c>
      <c r="F41" s="493">
        <v>3275</v>
      </c>
      <c r="G41" s="493">
        <v>10935</v>
      </c>
      <c r="H41" s="493">
        <v>4525</v>
      </c>
      <c r="I41" s="493">
        <v>6945</v>
      </c>
      <c r="J41" s="493">
        <v>5518.95</v>
      </c>
      <c r="K41" s="493">
        <v>3384.44</v>
      </c>
      <c r="L41" s="493">
        <v>5741.1</v>
      </c>
      <c r="N41" s="493">
        <v>3139.99</v>
      </c>
      <c r="O41" s="493">
        <v>10750</v>
      </c>
      <c r="P41" s="493">
        <v>-3053.6</v>
      </c>
      <c r="Q41" s="493">
        <v>6318.59</v>
      </c>
      <c r="R41" s="493">
        <v>2428.77</v>
      </c>
      <c r="S41" s="493">
        <v>1000</v>
      </c>
      <c r="T41" s="493">
        <v>1639.99</v>
      </c>
      <c r="U41" s="493">
        <v>1000</v>
      </c>
      <c r="V41" s="493">
        <v>2040.3</v>
      </c>
      <c r="W41" s="493">
        <v>1639.99</v>
      </c>
      <c r="X41" s="493">
        <v>1000</v>
      </c>
      <c r="Y41" s="493">
        <v>2214.9899999999998</v>
      </c>
      <c r="Z41" s="493">
        <v>1210</v>
      </c>
    </row>
    <row r="42" spans="1:26" x14ac:dyDescent="0.25">
      <c r="A42" s="496" t="s">
        <v>340</v>
      </c>
      <c r="B42" s="491"/>
      <c r="C42" s="491"/>
      <c r="D42" s="491">
        <f t="shared" ref="D42:Z42" si="4">D37+D38+D39+D40+D41</f>
        <v>110212.89</v>
      </c>
      <c r="E42" s="491">
        <f t="shared" si="4"/>
        <v>26451</v>
      </c>
      <c r="F42" s="491">
        <f t="shared" si="4"/>
        <v>29251.519999999997</v>
      </c>
      <c r="G42" s="491">
        <f t="shared" si="4"/>
        <v>40803.56</v>
      </c>
      <c r="H42" s="491">
        <f t="shared" si="4"/>
        <v>20856.830000000002</v>
      </c>
      <c r="I42" s="491">
        <f t="shared" si="4"/>
        <v>33865.199999999997</v>
      </c>
      <c r="J42" s="491">
        <f t="shared" si="4"/>
        <v>26173.75</v>
      </c>
      <c r="K42" s="491">
        <f t="shared" si="4"/>
        <v>17128.439999999999</v>
      </c>
      <c r="L42" s="491">
        <f t="shared" si="4"/>
        <v>24527.9</v>
      </c>
      <c r="M42" s="491">
        <f t="shared" si="4"/>
        <v>5930</v>
      </c>
      <c r="N42" s="491">
        <f t="shared" si="4"/>
        <v>15995.859999999999</v>
      </c>
      <c r="O42" s="491">
        <f t="shared" si="4"/>
        <v>46346.490000000005</v>
      </c>
      <c r="P42" s="491">
        <f t="shared" si="4"/>
        <v>11989.74</v>
      </c>
      <c r="Q42" s="491">
        <f t="shared" si="4"/>
        <v>29730.639999999999</v>
      </c>
      <c r="R42" s="491">
        <f t="shared" si="4"/>
        <v>20803.939999999999</v>
      </c>
      <c r="S42" s="491">
        <f t="shared" si="4"/>
        <v>21379.339999999997</v>
      </c>
      <c r="T42" s="491">
        <f t="shared" si="4"/>
        <v>39714.870000000003</v>
      </c>
      <c r="U42" s="491">
        <f t="shared" si="4"/>
        <v>16519.559999999998</v>
      </c>
      <c r="V42" s="491">
        <f t="shared" si="4"/>
        <v>7985.3</v>
      </c>
      <c r="W42" s="491">
        <f t="shared" si="4"/>
        <v>22421.300000000003</v>
      </c>
      <c r="X42" s="491">
        <f t="shared" si="4"/>
        <v>4400</v>
      </c>
      <c r="Y42" s="491">
        <f t="shared" si="4"/>
        <v>6234.99</v>
      </c>
      <c r="Z42" s="491">
        <f t="shared" si="4"/>
        <v>4610</v>
      </c>
    </row>
    <row r="43" spans="1:26" x14ac:dyDescent="0.25">
      <c r="A43" s="494" t="s">
        <v>341</v>
      </c>
    </row>
    <row r="44" spans="1:26" x14ac:dyDescent="0.25">
      <c r="A44" s="497" t="s">
        <v>342</v>
      </c>
      <c r="N44" s="493">
        <v>23351.64</v>
      </c>
      <c r="O44" s="493">
        <v>19230.75</v>
      </c>
      <c r="P44" s="493">
        <v>21291.21</v>
      </c>
      <c r="Q44" s="493">
        <v>13049.44</v>
      </c>
      <c r="Z44" s="493">
        <v>12500</v>
      </c>
    </row>
    <row r="45" spans="1:26" x14ac:dyDescent="0.25">
      <c r="A45" s="497" t="s">
        <v>343</v>
      </c>
      <c r="D45" s="493">
        <v>860.68</v>
      </c>
      <c r="E45" s="493">
        <v>860.68</v>
      </c>
      <c r="F45" s="493">
        <v>860.68</v>
      </c>
      <c r="G45" s="493">
        <v>860.68</v>
      </c>
      <c r="H45" s="493">
        <v>860.68</v>
      </c>
      <c r="I45" s="493">
        <v>860.68</v>
      </c>
      <c r="J45" s="493">
        <v>860.68</v>
      </c>
      <c r="K45" s="493">
        <v>860.68</v>
      </c>
      <c r="L45" s="493">
        <v>860.68</v>
      </c>
      <c r="M45" s="493">
        <v>962.52</v>
      </c>
      <c r="N45" s="493">
        <v>962.52</v>
      </c>
      <c r="O45" s="493">
        <v>962.52</v>
      </c>
      <c r="P45" s="493">
        <v>962.52</v>
      </c>
      <c r="Q45" s="493">
        <v>962.52</v>
      </c>
      <c r="R45" s="493">
        <v>962.52</v>
      </c>
      <c r="S45" s="493">
        <v>962.52</v>
      </c>
      <c r="T45" s="493">
        <v>962.52</v>
      </c>
      <c r="U45" s="493">
        <v>1215.27</v>
      </c>
      <c r="V45" s="493">
        <v>1215.27</v>
      </c>
      <c r="W45" s="493">
        <v>1215.27</v>
      </c>
      <c r="X45" s="493">
        <v>1215.27</v>
      </c>
      <c r="Y45" s="493">
        <v>252.75</v>
      </c>
      <c r="Z45" s="493">
        <v>252.75</v>
      </c>
    </row>
    <row r="46" spans="1:26" x14ac:dyDescent="0.25">
      <c r="A46" s="497" t="s">
        <v>344</v>
      </c>
      <c r="N46" s="493">
        <v>1786.38</v>
      </c>
      <c r="O46" s="493">
        <v>1471.14</v>
      </c>
      <c r="P46" s="493">
        <v>1891.47</v>
      </c>
      <c r="Q46" s="493">
        <v>735.57</v>
      </c>
      <c r="Z46" s="493">
        <v>991.15</v>
      </c>
    </row>
    <row r="47" spans="1:26" ht="30" x14ac:dyDescent="0.25">
      <c r="A47" s="497" t="s">
        <v>345</v>
      </c>
      <c r="N47" s="493">
        <v>1009.62</v>
      </c>
      <c r="O47" s="493">
        <v>480.77</v>
      </c>
      <c r="P47" s="493">
        <v>891.31</v>
      </c>
      <c r="Q47" s="493">
        <v>310.62</v>
      </c>
      <c r="Z47" s="493">
        <v>437.5</v>
      </c>
    </row>
    <row r="48" spans="1:26" x14ac:dyDescent="0.25">
      <c r="A48" s="496" t="s">
        <v>346</v>
      </c>
      <c r="B48" s="491"/>
      <c r="C48" s="491"/>
      <c r="D48" s="491">
        <f t="shared" ref="D48:Z48" si="5">D43+D44+D45+D46+D47</f>
        <v>860.68</v>
      </c>
      <c r="E48" s="491">
        <f t="shared" si="5"/>
        <v>860.68</v>
      </c>
      <c r="F48" s="491">
        <f t="shared" si="5"/>
        <v>860.68</v>
      </c>
      <c r="G48" s="491">
        <f t="shared" si="5"/>
        <v>860.68</v>
      </c>
      <c r="H48" s="491">
        <f t="shared" si="5"/>
        <v>860.68</v>
      </c>
      <c r="I48" s="491">
        <f t="shared" si="5"/>
        <v>860.68</v>
      </c>
      <c r="J48" s="491">
        <f t="shared" si="5"/>
        <v>860.68</v>
      </c>
      <c r="K48" s="491">
        <f t="shared" si="5"/>
        <v>860.68</v>
      </c>
      <c r="L48" s="491">
        <f t="shared" si="5"/>
        <v>860.68</v>
      </c>
      <c r="M48" s="491">
        <f t="shared" si="5"/>
        <v>962.52</v>
      </c>
      <c r="N48" s="491">
        <f t="shared" si="5"/>
        <v>27110.16</v>
      </c>
      <c r="O48" s="491">
        <f t="shared" si="5"/>
        <v>22145.18</v>
      </c>
      <c r="P48" s="491">
        <f t="shared" si="5"/>
        <v>25036.510000000002</v>
      </c>
      <c r="Q48" s="491">
        <f t="shared" si="5"/>
        <v>15058.150000000001</v>
      </c>
      <c r="R48" s="491">
        <f t="shared" si="5"/>
        <v>962.52</v>
      </c>
      <c r="S48" s="491">
        <f t="shared" si="5"/>
        <v>962.52</v>
      </c>
      <c r="T48" s="491">
        <f t="shared" si="5"/>
        <v>962.52</v>
      </c>
      <c r="U48" s="491">
        <f t="shared" si="5"/>
        <v>1215.27</v>
      </c>
      <c r="V48" s="491">
        <f t="shared" si="5"/>
        <v>1215.27</v>
      </c>
      <c r="W48" s="491">
        <f t="shared" si="5"/>
        <v>1215.27</v>
      </c>
      <c r="X48" s="491">
        <f t="shared" si="5"/>
        <v>1215.27</v>
      </c>
      <c r="Y48" s="491">
        <f t="shared" si="5"/>
        <v>252.75</v>
      </c>
      <c r="Z48" s="491">
        <f t="shared" si="5"/>
        <v>14181.4</v>
      </c>
    </row>
    <row r="49" spans="1:26" x14ac:dyDescent="0.25">
      <c r="A49" s="494" t="s">
        <v>347</v>
      </c>
      <c r="P49" s="493">
        <v>0</v>
      </c>
    </row>
    <row r="50" spans="1:26" x14ac:dyDescent="0.25">
      <c r="A50" s="497" t="s">
        <v>348</v>
      </c>
      <c r="E50" s="493">
        <v>771.22</v>
      </c>
      <c r="F50" s="493">
        <v>1228.1300000000001</v>
      </c>
      <c r="H50" s="493">
        <v>7558.8</v>
      </c>
      <c r="J50" s="493">
        <v>1128.6199999999999</v>
      </c>
      <c r="K50" s="493">
        <v>450.1</v>
      </c>
      <c r="L50" s="493">
        <v>180</v>
      </c>
      <c r="M50" s="493">
        <v>1293</v>
      </c>
      <c r="O50" s="493">
        <v>315.95</v>
      </c>
      <c r="P50" s="493">
        <v>13494.9</v>
      </c>
      <c r="Q50" s="493">
        <v>5858.19</v>
      </c>
      <c r="R50" s="493">
        <v>-1278.48</v>
      </c>
      <c r="S50" s="493">
        <v>5603.87</v>
      </c>
      <c r="T50" s="493">
        <v>200</v>
      </c>
      <c r="U50" s="493">
        <v>4574.75</v>
      </c>
      <c r="V50" s="493">
        <v>200</v>
      </c>
      <c r="X50" s="493">
        <v>492.26</v>
      </c>
      <c r="Y50" s="493">
        <v>4946.5600000000004</v>
      </c>
      <c r="Z50" s="493">
        <v>4055.69</v>
      </c>
    </row>
    <row r="51" spans="1:26" x14ac:dyDescent="0.25">
      <c r="A51" s="497" t="s">
        <v>349</v>
      </c>
      <c r="D51" s="493">
        <v>531.51</v>
      </c>
      <c r="E51" s="493">
        <v>2787.62</v>
      </c>
      <c r="F51" s="493">
        <v>577.51</v>
      </c>
      <c r="G51" s="493">
        <v>4095.08</v>
      </c>
      <c r="H51" s="493">
        <v>2427.9899999999998</v>
      </c>
      <c r="I51" s="493">
        <v>2208.59</v>
      </c>
      <c r="J51" s="493">
        <v>2112.87</v>
      </c>
      <c r="K51" s="493">
        <v>1803.84</v>
      </c>
      <c r="L51" s="493">
        <v>2822.96</v>
      </c>
      <c r="M51" s="493">
        <v>678.04</v>
      </c>
      <c r="N51" s="493">
        <v>958.47</v>
      </c>
      <c r="O51" s="493">
        <v>681.42</v>
      </c>
      <c r="P51" s="493">
        <v>2399.7199999999998</v>
      </c>
      <c r="Q51" s="493">
        <v>5188.16</v>
      </c>
      <c r="R51" s="493">
        <v>8098.84</v>
      </c>
      <c r="S51" s="493">
        <v>11669.93</v>
      </c>
      <c r="T51" s="493">
        <v>4223.4799999999996</v>
      </c>
      <c r="U51" s="493">
        <v>6530</v>
      </c>
      <c r="V51" s="493">
        <v>2575.21</v>
      </c>
      <c r="W51" s="493">
        <v>2580.08</v>
      </c>
      <c r="X51" s="493">
        <v>3093.63</v>
      </c>
      <c r="Y51" s="493">
        <v>3022.3</v>
      </c>
      <c r="Z51" s="493">
        <v>4571.58</v>
      </c>
    </row>
    <row r="52" spans="1:26" x14ac:dyDescent="0.25">
      <c r="A52" s="497" t="s">
        <v>350</v>
      </c>
      <c r="E52" s="493">
        <v>1387.9</v>
      </c>
      <c r="F52" s="493">
        <v>1351.84</v>
      </c>
      <c r="G52" s="493">
        <v>1196.32</v>
      </c>
      <c r="H52" s="493">
        <v>1196.3699999999999</v>
      </c>
      <c r="I52" s="493">
        <v>1248.3699999999999</v>
      </c>
      <c r="J52" s="493">
        <v>321.39999999999998</v>
      </c>
      <c r="K52" s="493">
        <v>396.12</v>
      </c>
      <c r="L52" s="493">
        <v>224.98</v>
      </c>
      <c r="M52" s="493">
        <v>1288.21</v>
      </c>
      <c r="N52" s="493">
        <v>1139.1300000000001</v>
      </c>
      <c r="O52" s="493">
        <v>1246.1300000000001</v>
      </c>
      <c r="P52" s="493">
        <v>1216.27</v>
      </c>
      <c r="Q52" s="493">
        <v>1468.79</v>
      </c>
      <c r="R52" s="493">
        <v>1202.93</v>
      </c>
      <c r="S52" s="493">
        <v>1202.99</v>
      </c>
      <c r="T52" s="493">
        <v>1205.17</v>
      </c>
      <c r="U52" s="493">
        <v>127.96</v>
      </c>
      <c r="V52" s="493">
        <v>299.87</v>
      </c>
      <c r="W52" s="493">
        <v>333.87</v>
      </c>
      <c r="X52" s="493">
        <v>336.55</v>
      </c>
      <c r="Y52" s="493">
        <v>299.89</v>
      </c>
      <c r="Z52" s="493">
        <v>304.87</v>
      </c>
    </row>
    <row r="53" spans="1:26" x14ac:dyDescent="0.25">
      <c r="A53" s="497" t="s">
        <v>351</v>
      </c>
      <c r="E53" s="493">
        <v>493.85</v>
      </c>
      <c r="F53" s="493">
        <v>377.71</v>
      </c>
      <c r="G53" s="493">
        <v>461.43</v>
      </c>
      <c r="H53" s="493">
        <v>565.42999999999995</v>
      </c>
      <c r="I53" s="493">
        <v>368.34</v>
      </c>
      <c r="J53" s="493">
        <v>389.65</v>
      </c>
      <c r="K53" s="493">
        <v>798.96</v>
      </c>
      <c r="L53" s="493">
        <v>151.72999999999999</v>
      </c>
      <c r="M53" s="493">
        <v>516.37</v>
      </c>
      <c r="N53" s="493">
        <v>1777.27</v>
      </c>
      <c r="O53" s="493">
        <v>606.15</v>
      </c>
      <c r="P53" s="493">
        <v>285</v>
      </c>
      <c r="Q53" s="493">
        <v>0</v>
      </c>
      <c r="R53" s="493">
        <v>81.92</v>
      </c>
      <c r="S53" s="493">
        <v>376.89</v>
      </c>
      <c r="T53" s="493">
        <v>391.98</v>
      </c>
      <c r="U53" s="493">
        <v>596.16999999999996</v>
      </c>
      <c r="V53" s="493">
        <v>2758.36</v>
      </c>
      <c r="W53" s="493">
        <v>389.45</v>
      </c>
      <c r="X53" s="493">
        <v>687.87</v>
      </c>
      <c r="Y53" s="493">
        <v>1990.96</v>
      </c>
      <c r="Z53" s="493">
        <v>2007.39</v>
      </c>
    </row>
    <row r="54" spans="1:26" x14ac:dyDescent="0.25">
      <c r="A54" s="497" t="s">
        <v>465</v>
      </c>
      <c r="K54" s="493">
        <v>94.03</v>
      </c>
    </row>
    <row r="55" spans="1:26" x14ac:dyDescent="0.25">
      <c r="A55" s="496" t="s">
        <v>352</v>
      </c>
      <c r="B55" s="491"/>
      <c r="C55" s="491"/>
      <c r="D55" s="491">
        <f t="shared" ref="D55:Z55" si="6">D49+D50+D51+D52+D53+D54</f>
        <v>531.51</v>
      </c>
      <c r="E55" s="491">
        <f t="shared" si="6"/>
        <v>5440.59</v>
      </c>
      <c r="F55" s="491">
        <f t="shared" si="6"/>
        <v>3535.19</v>
      </c>
      <c r="G55" s="491">
        <f t="shared" si="6"/>
        <v>5752.83</v>
      </c>
      <c r="H55" s="491">
        <f t="shared" si="6"/>
        <v>11748.59</v>
      </c>
      <c r="I55" s="491">
        <f t="shared" si="6"/>
        <v>3825.3</v>
      </c>
      <c r="J55" s="491">
        <f t="shared" si="6"/>
        <v>3952.54</v>
      </c>
      <c r="K55" s="491">
        <f t="shared" si="6"/>
        <v>3543.05</v>
      </c>
      <c r="L55" s="491">
        <f t="shared" si="6"/>
        <v>3379.67</v>
      </c>
      <c r="M55" s="491">
        <f t="shared" si="6"/>
        <v>3775.62</v>
      </c>
      <c r="N55" s="491">
        <f t="shared" si="6"/>
        <v>3874.8700000000003</v>
      </c>
      <c r="O55" s="491">
        <f t="shared" si="6"/>
        <v>2849.65</v>
      </c>
      <c r="P55" s="491">
        <f t="shared" si="6"/>
        <v>17395.89</v>
      </c>
      <c r="Q55" s="491">
        <f t="shared" si="6"/>
        <v>12515.14</v>
      </c>
      <c r="R55" s="491">
        <f t="shared" si="6"/>
        <v>8105.2100000000009</v>
      </c>
      <c r="S55" s="491">
        <f t="shared" si="6"/>
        <v>18853.68</v>
      </c>
      <c r="T55" s="491">
        <f t="shared" si="6"/>
        <v>6020.6299999999992</v>
      </c>
      <c r="U55" s="491">
        <f t="shared" si="6"/>
        <v>11828.88</v>
      </c>
      <c r="V55" s="491">
        <f t="shared" si="6"/>
        <v>5833.4400000000005</v>
      </c>
      <c r="W55" s="491">
        <f t="shared" si="6"/>
        <v>3303.3999999999996</v>
      </c>
      <c r="X55" s="491">
        <f t="shared" si="6"/>
        <v>4610.3100000000004</v>
      </c>
      <c r="Y55" s="491">
        <f t="shared" si="6"/>
        <v>10259.709999999999</v>
      </c>
      <c r="Z55" s="491">
        <f t="shared" si="6"/>
        <v>10939.53</v>
      </c>
    </row>
    <row r="56" spans="1:26" x14ac:dyDescent="0.25">
      <c r="A56" s="494" t="s">
        <v>353</v>
      </c>
    </row>
    <row r="57" spans="1:26" x14ac:dyDescent="0.25">
      <c r="A57" s="497" t="s">
        <v>354</v>
      </c>
      <c r="D57" s="493">
        <v>19417.18</v>
      </c>
      <c r="E57" s="493">
        <v>19756</v>
      </c>
      <c r="F57" s="493">
        <v>19756</v>
      </c>
      <c r="G57" s="493">
        <v>19756</v>
      </c>
      <c r="H57" s="493">
        <v>19756</v>
      </c>
      <c r="I57" s="493">
        <v>19756</v>
      </c>
      <c r="J57" s="493">
        <v>19756</v>
      </c>
      <c r="K57" s="493">
        <v>19756</v>
      </c>
      <c r="L57" s="493">
        <v>19756</v>
      </c>
      <c r="M57" s="493">
        <v>19756</v>
      </c>
      <c r="N57" s="493">
        <v>6718.5</v>
      </c>
      <c r="O57" s="493">
        <v>19756</v>
      </c>
      <c r="P57" s="493">
        <v>12023.09</v>
      </c>
      <c r="Q57" s="493">
        <v>17059.060000000001</v>
      </c>
      <c r="U57" s="493">
        <v>13660.06</v>
      </c>
      <c r="V57" s="493">
        <v>13660.06</v>
      </c>
      <c r="W57" s="493">
        <v>13660.06</v>
      </c>
      <c r="X57" s="493">
        <v>13660.06</v>
      </c>
      <c r="Y57" s="493">
        <v>13660.06</v>
      </c>
      <c r="Z57" s="493">
        <v>14266.06</v>
      </c>
    </row>
    <row r="58" spans="1:26" x14ac:dyDescent="0.25">
      <c r="A58" s="497" t="s">
        <v>355</v>
      </c>
      <c r="Q58" s="493">
        <v>4341.4799999999996</v>
      </c>
      <c r="R58" s="493">
        <v>4341.4799999999996</v>
      </c>
      <c r="S58" s="493">
        <v>4341.4799999999996</v>
      </c>
      <c r="T58" s="493">
        <v>4341.4799999999996</v>
      </c>
      <c r="U58" s="493">
        <v>4775.63</v>
      </c>
      <c r="V58" s="493">
        <v>4341.4799999999996</v>
      </c>
      <c r="W58" s="493">
        <v>4341.4799999999996</v>
      </c>
      <c r="X58" s="493">
        <v>4341.4799999999996</v>
      </c>
      <c r="Y58" s="493">
        <v>4341.4799999999996</v>
      </c>
      <c r="Z58" s="493">
        <v>4341.4799999999996</v>
      </c>
    </row>
    <row r="59" spans="1:26" x14ac:dyDescent="0.25">
      <c r="A59" s="497" t="s">
        <v>356</v>
      </c>
      <c r="E59" s="493">
        <v>431.4</v>
      </c>
      <c r="G59" s="493">
        <v>2722.28</v>
      </c>
      <c r="H59" s="493">
        <v>2046.16</v>
      </c>
      <c r="I59" s="493">
        <v>2697.23</v>
      </c>
      <c r="J59" s="493">
        <v>2784.67</v>
      </c>
      <c r="K59" s="493">
        <v>3690.58</v>
      </c>
      <c r="L59" s="493">
        <v>3440.39</v>
      </c>
      <c r="M59" s="493">
        <v>3049.16</v>
      </c>
      <c r="N59" s="493">
        <v>4013.47</v>
      </c>
      <c r="O59" s="493">
        <v>3784.55</v>
      </c>
      <c r="P59" s="493">
        <v>3424.96</v>
      </c>
      <c r="Q59" s="493">
        <v>5019.1499999999996</v>
      </c>
      <c r="R59" s="493">
        <v>6846.18</v>
      </c>
      <c r="S59" s="493">
        <v>2005.61</v>
      </c>
      <c r="T59" s="493">
        <v>1965.82</v>
      </c>
      <c r="U59" s="493">
        <v>2101.91</v>
      </c>
      <c r="V59" s="493">
        <v>3021.56</v>
      </c>
      <c r="W59" s="493">
        <v>3281.14</v>
      </c>
      <c r="X59" s="493">
        <v>2366.25</v>
      </c>
      <c r="Y59" s="493">
        <v>3020.21</v>
      </c>
      <c r="Z59" s="493">
        <v>4356.62</v>
      </c>
    </row>
    <row r="60" spans="1:26" x14ac:dyDescent="0.25">
      <c r="A60" s="497" t="s">
        <v>357</v>
      </c>
      <c r="E60" s="493">
        <v>2558.66</v>
      </c>
      <c r="F60" s="493">
        <v>1596.83</v>
      </c>
      <c r="G60" s="493">
        <v>1596.84</v>
      </c>
      <c r="H60" s="493">
        <v>1597</v>
      </c>
      <c r="I60" s="493">
        <v>1597</v>
      </c>
      <c r="J60" s="493">
        <v>1597.01</v>
      </c>
      <c r="K60" s="493">
        <v>1597</v>
      </c>
      <c r="L60" s="493">
        <v>1597</v>
      </c>
      <c r="M60" s="493">
        <v>1597</v>
      </c>
      <c r="N60" s="493">
        <v>1597</v>
      </c>
      <c r="O60" s="493">
        <v>1597.31</v>
      </c>
      <c r="P60" s="493">
        <v>635.35</v>
      </c>
      <c r="Q60" s="493">
        <v>1065.8499999999999</v>
      </c>
      <c r="R60" s="493">
        <v>793.32</v>
      </c>
      <c r="S60" s="493">
        <v>1863.86</v>
      </c>
      <c r="T60" s="493">
        <v>1401.22</v>
      </c>
      <c r="U60" s="493">
        <v>1009.2</v>
      </c>
      <c r="V60" s="493">
        <v>1232.1099999999999</v>
      </c>
      <c r="W60" s="493">
        <v>1232.1099999999999</v>
      </c>
      <c r="X60" s="493">
        <v>1232.0899999999999</v>
      </c>
      <c r="Y60" s="493">
        <v>1232.0899999999999</v>
      </c>
      <c r="Z60" s="493">
        <v>1232.07</v>
      </c>
    </row>
    <row r="61" spans="1:26" x14ac:dyDescent="0.25">
      <c r="A61" s="496" t="s">
        <v>358</v>
      </c>
      <c r="B61" s="491"/>
      <c r="C61" s="491"/>
      <c r="D61" s="491">
        <f t="shared" ref="D61:Z61" si="7">D56+D57+D58+D59+D60</f>
        <v>19417.18</v>
      </c>
      <c r="E61" s="491">
        <f t="shared" si="7"/>
        <v>22746.06</v>
      </c>
      <c r="F61" s="491">
        <f t="shared" si="7"/>
        <v>21352.83</v>
      </c>
      <c r="G61" s="491">
        <f t="shared" si="7"/>
        <v>24075.119999999999</v>
      </c>
      <c r="H61" s="491">
        <f t="shared" si="7"/>
        <v>23399.16</v>
      </c>
      <c r="I61" s="491">
        <f t="shared" si="7"/>
        <v>24050.23</v>
      </c>
      <c r="J61" s="491">
        <f t="shared" si="7"/>
        <v>24137.679999999997</v>
      </c>
      <c r="K61" s="491">
        <f t="shared" si="7"/>
        <v>25043.58</v>
      </c>
      <c r="L61" s="491">
        <f t="shared" si="7"/>
        <v>24793.39</v>
      </c>
      <c r="M61" s="491">
        <f t="shared" si="7"/>
        <v>24402.16</v>
      </c>
      <c r="N61" s="491">
        <f t="shared" si="7"/>
        <v>12328.97</v>
      </c>
      <c r="O61" s="491">
        <f t="shared" si="7"/>
        <v>25137.86</v>
      </c>
      <c r="P61" s="491">
        <f t="shared" si="7"/>
        <v>16083.4</v>
      </c>
      <c r="Q61" s="491">
        <f t="shared" si="7"/>
        <v>27485.54</v>
      </c>
      <c r="R61" s="491">
        <f t="shared" si="7"/>
        <v>11980.98</v>
      </c>
      <c r="S61" s="491">
        <f t="shared" si="7"/>
        <v>8210.9499999999989</v>
      </c>
      <c r="T61" s="491">
        <f t="shared" si="7"/>
        <v>7708.5199999999995</v>
      </c>
      <c r="U61" s="491">
        <f t="shared" si="7"/>
        <v>21546.799999999999</v>
      </c>
      <c r="V61" s="491">
        <f t="shared" si="7"/>
        <v>22255.210000000003</v>
      </c>
      <c r="W61" s="491">
        <f t="shared" si="7"/>
        <v>22514.79</v>
      </c>
      <c r="X61" s="491">
        <f t="shared" si="7"/>
        <v>21599.88</v>
      </c>
      <c r="Y61" s="491">
        <f t="shared" si="7"/>
        <v>22253.84</v>
      </c>
      <c r="Z61" s="491">
        <f t="shared" si="7"/>
        <v>24196.23</v>
      </c>
    </row>
    <row r="62" spans="1:26" x14ac:dyDescent="0.25">
      <c r="A62" s="494" t="s">
        <v>359</v>
      </c>
    </row>
    <row r="63" spans="1:26" x14ac:dyDescent="0.25">
      <c r="A63" s="497" t="s">
        <v>360</v>
      </c>
      <c r="E63" s="493">
        <v>88.4</v>
      </c>
      <c r="H63" s="493">
        <v>5428.07</v>
      </c>
      <c r="I63" s="493">
        <v>1360.46</v>
      </c>
      <c r="J63" s="493">
        <v>1291.1600000000001</v>
      </c>
      <c r="K63" s="493">
        <v>5951.65</v>
      </c>
      <c r="L63" s="493">
        <v>4315.96</v>
      </c>
      <c r="M63" s="493">
        <v>3503.3</v>
      </c>
      <c r="N63" s="493">
        <v>6595.59</v>
      </c>
      <c r="O63" s="493">
        <v>3788.19</v>
      </c>
      <c r="P63" s="493">
        <v>6429.1</v>
      </c>
      <c r="Q63" s="493">
        <v>8237.02</v>
      </c>
      <c r="R63" s="493">
        <v>1054.33</v>
      </c>
      <c r="S63" s="493">
        <v>53.18</v>
      </c>
      <c r="T63" s="493">
        <v>880.58</v>
      </c>
      <c r="U63" s="493">
        <v>27.91</v>
      </c>
      <c r="V63" s="493">
        <v>1403.68</v>
      </c>
      <c r="W63" s="493">
        <v>634.97</v>
      </c>
      <c r="X63" s="493">
        <v>1211.8699999999999</v>
      </c>
      <c r="Y63" s="493">
        <v>193.75</v>
      </c>
      <c r="Z63" s="493">
        <v>1047.8800000000001</v>
      </c>
    </row>
    <row r="64" spans="1:26" x14ac:dyDescent="0.25">
      <c r="A64" s="497" t="s">
        <v>361</v>
      </c>
      <c r="D64" s="493">
        <v>144</v>
      </c>
      <c r="E64" s="493">
        <v>1962.72</v>
      </c>
      <c r="F64" s="493">
        <v>5305.76</v>
      </c>
      <c r="G64" s="493">
        <v>4111.6000000000004</v>
      </c>
      <c r="H64" s="493">
        <v>-717.36</v>
      </c>
      <c r="I64" s="493">
        <v>4734.8599999999997</v>
      </c>
      <c r="J64" s="493">
        <v>4656.58</v>
      </c>
      <c r="K64" s="493">
        <v>5815.21</v>
      </c>
      <c r="L64" s="493">
        <v>2215.15</v>
      </c>
      <c r="M64" s="493">
        <v>2337.48</v>
      </c>
      <c r="N64" s="493">
        <v>2311.4299999999998</v>
      </c>
      <c r="O64" s="493">
        <v>2640.98</v>
      </c>
      <c r="P64" s="493">
        <v>3070.93</v>
      </c>
      <c r="Q64" s="493">
        <v>2641.31</v>
      </c>
      <c r="R64" s="493">
        <v>4799.53</v>
      </c>
      <c r="S64" s="493">
        <v>8982.16</v>
      </c>
      <c r="T64" s="493">
        <v>3494.02</v>
      </c>
      <c r="U64" s="493">
        <v>3643.27</v>
      </c>
      <c r="V64" s="493">
        <v>4699.28</v>
      </c>
      <c r="W64" s="493">
        <v>3376.93</v>
      </c>
      <c r="X64" s="493">
        <v>3917.27</v>
      </c>
      <c r="Y64" s="493">
        <v>4683.72</v>
      </c>
      <c r="Z64" s="493">
        <v>3353.95</v>
      </c>
    </row>
    <row r="65" spans="1:26" x14ac:dyDescent="0.25">
      <c r="A65" s="497" t="s">
        <v>362</v>
      </c>
      <c r="D65" s="493">
        <v>147.47</v>
      </c>
      <c r="E65" s="493">
        <v>2960.76</v>
      </c>
      <c r="F65" s="493">
        <v>6462.5</v>
      </c>
      <c r="G65" s="493">
        <v>1028.43</v>
      </c>
      <c r="H65" s="493">
        <v>1331.69</v>
      </c>
      <c r="I65" s="493">
        <v>669.78</v>
      </c>
      <c r="J65" s="493">
        <v>2312.42</v>
      </c>
      <c r="K65" s="493">
        <v>1039.44</v>
      </c>
      <c r="L65" s="493">
        <v>1173.8699999999999</v>
      </c>
      <c r="M65" s="493">
        <v>568.85</v>
      </c>
      <c r="N65" s="493">
        <v>760.07</v>
      </c>
      <c r="O65" s="493">
        <v>522.01</v>
      </c>
      <c r="P65" s="493">
        <v>1013.28</v>
      </c>
      <c r="Q65" s="493">
        <v>1965.99</v>
      </c>
      <c r="R65" s="493">
        <v>544.05999999999995</v>
      </c>
      <c r="S65" s="493">
        <v>687.42</v>
      </c>
      <c r="T65" s="493">
        <v>1645.41</v>
      </c>
      <c r="U65" s="493">
        <v>704.67</v>
      </c>
      <c r="V65" s="493">
        <v>695.32</v>
      </c>
      <c r="W65" s="493">
        <v>227.34</v>
      </c>
      <c r="X65" s="493">
        <v>249.6</v>
      </c>
      <c r="Y65" s="493">
        <v>504.62</v>
      </c>
      <c r="Z65" s="493">
        <v>517.5</v>
      </c>
    </row>
    <row r="66" spans="1:26" x14ac:dyDescent="0.25">
      <c r="A66" s="497" t="s">
        <v>363</v>
      </c>
      <c r="H66" s="493">
        <v>1711.32</v>
      </c>
      <c r="I66" s="493">
        <v>1711.32</v>
      </c>
      <c r="J66" s="493">
        <v>1711.32</v>
      </c>
      <c r="K66" s="493">
        <v>1711.32</v>
      </c>
      <c r="L66" s="493">
        <v>1711.32</v>
      </c>
      <c r="M66" s="493">
        <v>684.53</v>
      </c>
      <c r="N66" s="493">
        <v>1711.32</v>
      </c>
      <c r="O66" s="493">
        <v>1711.32</v>
      </c>
      <c r="P66" s="493">
        <v>1711.32</v>
      </c>
      <c r="Q66" s="493">
        <v>1711.32</v>
      </c>
      <c r="R66" s="493">
        <v>1711.32</v>
      </c>
      <c r="S66" s="493">
        <v>1711.32</v>
      </c>
      <c r="T66" s="493">
        <v>1711.32</v>
      </c>
      <c r="U66" s="493">
        <v>2929.96</v>
      </c>
      <c r="V66" s="493">
        <v>1711.32</v>
      </c>
      <c r="W66" s="493">
        <v>2320.64</v>
      </c>
      <c r="X66" s="493">
        <v>2320.64</v>
      </c>
      <c r="Y66" s="493">
        <v>2320.64</v>
      </c>
      <c r="Z66" s="493">
        <v>2320.64</v>
      </c>
    </row>
    <row r="67" spans="1:26" x14ac:dyDescent="0.25">
      <c r="A67" s="497" t="s">
        <v>466</v>
      </c>
      <c r="M67" s="493">
        <v>2984</v>
      </c>
      <c r="T67" s="493">
        <v>55.01</v>
      </c>
      <c r="V67" s="493">
        <v>146.80000000000001</v>
      </c>
      <c r="W67" s="493">
        <v>58.23</v>
      </c>
      <c r="X67" s="493">
        <v>63.25</v>
      </c>
      <c r="Y67" s="493">
        <v>2079.27</v>
      </c>
    </row>
    <row r="68" spans="1:26" x14ac:dyDescent="0.25">
      <c r="A68" s="497" t="s">
        <v>364</v>
      </c>
      <c r="F68" s="493">
        <v>13.5</v>
      </c>
      <c r="G68" s="493">
        <v>326.02999999999997</v>
      </c>
      <c r="H68" s="493">
        <v>61.36</v>
      </c>
      <c r="I68" s="493">
        <v>1987.96</v>
      </c>
      <c r="J68" s="493">
        <v>424.86</v>
      </c>
      <c r="K68" s="493">
        <v>18.38</v>
      </c>
      <c r="L68" s="493">
        <v>183.77</v>
      </c>
      <c r="M68" s="493">
        <v>185.94</v>
      </c>
      <c r="N68" s="493">
        <v>186.43</v>
      </c>
      <c r="P68" s="493">
        <v>181.39</v>
      </c>
      <c r="Q68" s="493">
        <v>908.35</v>
      </c>
      <c r="R68" s="493">
        <v>194.22</v>
      </c>
      <c r="S68" s="493">
        <v>141.36000000000001</v>
      </c>
      <c r="T68" s="493">
        <v>210.9</v>
      </c>
      <c r="U68" s="493">
        <v>223.95</v>
      </c>
      <c r="V68" s="493">
        <v>274.06</v>
      </c>
      <c r="W68" s="493">
        <v>185.52</v>
      </c>
      <c r="X68" s="493">
        <v>1410.15</v>
      </c>
      <c r="Y68" s="493">
        <v>2317.29</v>
      </c>
      <c r="Z68" s="493">
        <v>2200.0300000000002</v>
      </c>
    </row>
    <row r="69" spans="1:26" x14ac:dyDescent="0.25">
      <c r="A69" s="497" t="s">
        <v>365</v>
      </c>
      <c r="E69" s="493">
        <v>1660.65</v>
      </c>
      <c r="F69" s="493">
        <v>80</v>
      </c>
      <c r="G69" s="493">
        <v>572.58000000000004</v>
      </c>
      <c r="H69" s="493">
        <v>495.61</v>
      </c>
      <c r="I69" s="493">
        <v>872.06</v>
      </c>
      <c r="J69" s="493">
        <v>728.22</v>
      </c>
      <c r="K69" s="493">
        <v>116.66</v>
      </c>
      <c r="L69" s="493">
        <v>1649.03</v>
      </c>
      <c r="M69" s="493">
        <v>72.77</v>
      </c>
      <c r="N69" s="493">
        <v>733.61</v>
      </c>
      <c r="O69" s="493">
        <v>56.31</v>
      </c>
      <c r="P69" s="493">
        <v>2167.79</v>
      </c>
      <c r="Q69" s="493">
        <v>694.32</v>
      </c>
      <c r="R69" s="493">
        <v>48.43</v>
      </c>
      <c r="T69" s="493">
        <v>497.91</v>
      </c>
      <c r="U69" s="493">
        <v>17.7</v>
      </c>
      <c r="V69" s="493">
        <v>1282.23</v>
      </c>
      <c r="W69" s="493">
        <v>-976.25</v>
      </c>
      <c r="X69" s="493">
        <v>368.53</v>
      </c>
      <c r="Y69" s="493">
        <v>1747.07</v>
      </c>
      <c r="Z69" s="493">
        <v>-515.17999999999995</v>
      </c>
    </row>
    <row r="70" spans="1:26" x14ac:dyDescent="0.25">
      <c r="A70" s="497" t="s">
        <v>366</v>
      </c>
      <c r="D70" s="493">
        <v>694.57</v>
      </c>
      <c r="E70" s="493">
        <v>77.239999999999995</v>
      </c>
      <c r="H70" s="493">
        <v>1152.42</v>
      </c>
      <c r="J70" s="493">
        <v>844.96</v>
      </c>
      <c r="K70" s="493">
        <v>287.33</v>
      </c>
      <c r="L70" s="493">
        <v>105</v>
      </c>
      <c r="P70" s="493">
        <v>199.03</v>
      </c>
      <c r="Q70" s="493">
        <v>338.6</v>
      </c>
      <c r="R70" s="493">
        <v>224.17</v>
      </c>
      <c r="S70" s="493">
        <v>221.1</v>
      </c>
      <c r="T70" s="493">
        <v>198.77</v>
      </c>
      <c r="U70" s="493">
        <v>211.22</v>
      </c>
      <c r="V70" s="493">
        <v>185.06</v>
      </c>
      <c r="W70" s="493">
        <v>137.88</v>
      </c>
      <c r="X70" s="493">
        <v>1158.08</v>
      </c>
      <c r="Y70" s="493">
        <v>1772.19</v>
      </c>
      <c r="Z70" s="493">
        <v>1734.63</v>
      </c>
    </row>
    <row r="71" spans="1:26" x14ac:dyDescent="0.25">
      <c r="A71" s="497" t="s">
        <v>367</v>
      </c>
      <c r="E71" s="493">
        <v>171.54</v>
      </c>
      <c r="F71" s="493">
        <v>171.54</v>
      </c>
      <c r="G71" s="493">
        <v>171.54</v>
      </c>
      <c r="H71" s="493">
        <v>171.54</v>
      </c>
      <c r="I71" s="493">
        <v>171.54</v>
      </c>
      <c r="J71" s="493">
        <v>171.54</v>
      </c>
      <c r="K71" s="493">
        <v>171.54</v>
      </c>
      <c r="L71" s="493">
        <v>171.54</v>
      </c>
      <c r="M71" s="493">
        <v>171.54</v>
      </c>
      <c r="N71" s="493">
        <v>171.54</v>
      </c>
      <c r="O71" s="493">
        <v>171.54</v>
      </c>
      <c r="P71" s="493">
        <v>171.54</v>
      </c>
      <c r="Q71" s="493">
        <v>171.54</v>
      </c>
      <c r="R71" s="493">
        <v>171.54</v>
      </c>
      <c r="S71" s="493">
        <v>171.54</v>
      </c>
      <c r="T71" s="493">
        <v>171.54</v>
      </c>
      <c r="U71" s="493">
        <v>171.54</v>
      </c>
      <c r="V71" s="493">
        <v>171.54</v>
      </c>
      <c r="W71" s="493">
        <v>171.54</v>
      </c>
      <c r="X71" s="493">
        <v>171.54</v>
      </c>
      <c r="Y71" s="493">
        <v>171.54</v>
      </c>
      <c r="Z71" s="493">
        <v>171.54</v>
      </c>
    </row>
    <row r="72" spans="1:26" x14ac:dyDescent="0.25">
      <c r="A72" s="497" t="s">
        <v>373</v>
      </c>
      <c r="F72" s="493">
        <v>1723.55</v>
      </c>
      <c r="G72" s="493">
        <v>20.100000000000001</v>
      </c>
      <c r="M72" s="493">
        <v>918</v>
      </c>
      <c r="N72" s="493">
        <v>15</v>
      </c>
      <c r="Q72" s="493">
        <v>818.4</v>
      </c>
      <c r="S72" s="493">
        <v>544.86</v>
      </c>
      <c r="W72" s="493">
        <v>432.95</v>
      </c>
    </row>
    <row r="73" spans="1:26" x14ac:dyDescent="0.25">
      <c r="A73" s="497" t="s">
        <v>467</v>
      </c>
      <c r="G73" s="493">
        <v>400</v>
      </c>
    </row>
    <row r="74" spans="1:26" x14ac:dyDescent="0.25">
      <c r="A74" s="497" t="s">
        <v>368</v>
      </c>
      <c r="D74" s="493">
        <v>90.23</v>
      </c>
      <c r="E74" s="493">
        <v>897.23</v>
      </c>
      <c r="F74" s="493">
        <v>1169.4100000000001</v>
      </c>
      <c r="G74" s="493">
        <v>94.91</v>
      </c>
      <c r="H74" s="493">
        <v>447.33</v>
      </c>
      <c r="I74" s="493">
        <v>1374.27</v>
      </c>
      <c r="J74" s="493">
        <v>188.37</v>
      </c>
      <c r="K74" s="493">
        <v>360.66</v>
      </c>
      <c r="L74" s="493">
        <v>445.53</v>
      </c>
      <c r="M74" s="493">
        <v>946.99</v>
      </c>
      <c r="N74" s="493">
        <v>531.04999999999995</v>
      </c>
      <c r="O74" s="493">
        <v>650.44000000000005</v>
      </c>
      <c r="P74" s="493">
        <v>68.28</v>
      </c>
      <c r="Q74" s="493">
        <v>686.2</v>
      </c>
      <c r="R74" s="493">
        <v>516.02</v>
      </c>
      <c r="S74" s="493">
        <v>847.74</v>
      </c>
      <c r="T74" s="493">
        <v>264.32</v>
      </c>
      <c r="U74" s="493">
        <v>2011.86</v>
      </c>
      <c r="V74" s="493">
        <v>442.35</v>
      </c>
      <c r="W74" s="493">
        <v>520.02</v>
      </c>
      <c r="X74" s="493">
        <v>772.32</v>
      </c>
      <c r="Y74" s="493">
        <v>874.09</v>
      </c>
      <c r="Z74" s="493">
        <v>767.61</v>
      </c>
    </row>
    <row r="75" spans="1:26" x14ac:dyDescent="0.25">
      <c r="A75" s="497" t="s">
        <v>369</v>
      </c>
      <c r="J75" s="493">
        <v>9.99</v>
      </c>
      <c r="K75" s="493">
        <v>9.99</v>
      </c>
      <c r="L75" s="493">
        <v>13.99</v>
      </c>
      <c r="M75" s="493">
        <v>133.19999999999999</v>
      </c>
      <c r="N75" s="493">
        <v>13.99</v>
      </c>
      <c r="O75" s="493">
        <v>68.989999999999995</v>
      </c>
      <c r="P75" s="493">
        <v>75.41</v>
      </c>
      <c r="Q75" s="493">
        <v>105.44</v>
      </c>
      <c r="R75" s="493">
        <v>105.44</v>
      </c>
      <c r="S75" s="493">
        <v>105.44</v>
      </c>
      <c r="T75" s="493">
        <v>105.44</v>
      </c>
      <c r="U75" s="493">
        <v>105.45</v>
      </c>
      <c r="V75" s="493">
        <v>2467.91</v>
      </c>
      <c r="W75" s="493">
        <v>115.45</v>
      </c>
      <c r="X75" s="493">
        <v>119.99</v>
      </c>
      <c r="Y75" s="493">
        <v>316.74</v>
      </c>
      <c r="Z75" s="493">
        <v>510.75</v>
      </c>
    </row>
    <row r="76" spans="1:26" x14ac:dyDescent="0.25">
      <c r="A76" s="497" t="s">
        <v>370</v>
      </c>
      <c r="S76" s="493">
        <v>35.25</v>
      </c>
      <c r="T76" s="493">
        <v>367.47</v>
      </c>
      <c r="U76" s="493">
        <v>56.25</v>
      </c>
      <c r="V76" s="493">
        <v>607.95000000000005</v>
      </c>
      <c r="W76" s="493">
        <v>75.900000000000006</v>
      </c>
      <c r="Y76" s="493">
        <v>108.99</v>
      </c>
      <c r="Z76" s="493">
        <v>389.67</v>
      </c>
    </row>
    <row r="77" spans="1:26" x14ac:dyDescent="0.25">
      <c r="A77" s="497" t="s">
        <v>371</v>
      </c>
      <c r="V77" s="493">
        <v>525.55999999999995</v>
      </c>
      <c r="W77" s="493">
        <v>536.32000000000005</v>
      </c>
      <c r="X77" s="493">
        <v>536.32000000000005</v>
      </c>
      <c r="Y77" s="493">
        <v>536.28</v>
      </c>
      <c r="Z77" s="493">
        <v>722.8</v>
      </c>
    </row>
    <row r="78" spans="1:26" x14ac:dyDescent="0.25">
      <c r="A78" s="497" t="s">
        <v>468</v>
      </c>
      <c r="R78" s="493">
        <v>700</v>
      </c>
    </row>
    <row r="79" spans="1:26" x14ac:dyDescent="0.25">
      <c r="A79" s="497" t="s">
        <v>469</v>
      </c>
      <c r="O79" s="493">
        <v>17764</v>
      </c>
      <c r="R79" s="493">
        <v>2500</v>
      </c>
    </row>
    <row r="80" spans="1:26" x14ac:dyDescent="0.25">
      <c r="A80" s="497" t="s">
        <v>470</v>
      </c>
      <c r="P80" s="493">
        <v>2843.93</v>
      </c>
      <c r="Q80" s="493">
        <v>29616.98</v>
      </c>
      <c r="R80" s="493">
        <v>1045.57</v>
      </c>
      <c r="W80" s="493">
        <v>150</v>
      </c>
      <c r="Y80" s="493">
        <v>930.03</v>
      </c>
    </row>
    <row r="81" spans="1:26" x14ac:dyDescent="0.25">
      <c r="A81" s="497" t="s">
        <v>372</v>
      </c>
      <c r="M81" s="493">
        <v>-67.84</v>
      </c>
      <c r="W81" s="493">
        <v>31.18</v>
      </c>
      <c r="Z81" s="493">
        <v>0</v>
      </c>
    </row>
    <row r="82" spans="1:26" x14ac:dyDescent="0.25">
      <c r="A82" s="496" t="s">
        <v>374</v>
      </c>
      <c r="B82" s="491"/>
      <c r="C82" s="491"/>
      <c r="D82" s="491">
        <f t="shared" ref="D82:Z82" si="8">D62+D63+D64+D65+D66+D67+D68+D69+D70+D71+D72+D73+D74+D75+D76+D77+D78+D79+D80+D81</f>
        <v>1076.27</v>
      </c>
      <c r="E82" s="491">
        <f t="shared" si="8"/>
        <v>7818.5400000000009</v>
      </c>
      <c r="F82" s="491">
        <f t="shared" si="8"/>
        <v>14926.26</v>
      </c>
      <c r="G82" s="491">
        <f t="shared" si="8"/>
        <v>6725.1900000000005</v>
      </c>
      <c r="H82" s="491">
        <f t="shared" si="8"/>
        <v>10081.98</v>
      </c>
      <c r="I82" s="491">
        <f t="shared" si="8"/>
        <v>12882.250000000002</v>
      </c>
      <c r="J82" s="491">
        <f t="shared" si="8"/>
        <v>12339.420000000002</v>
      </c>
      <c r="K82" s="491">
        <f t="shared" si="8"/>
        <v>15482.18</v>
      </c>
      <c r="L82" s="491">
        <f t="shared" si="8"/>
        <v>11985.160000000003</v>
      </c>
      <c r="M82" s="491">
        <f t="shared" si="8"/>
        <v>12438.760000000002</v>
      </c>
      <c r="N82" s="491">
        <f t="shared" si="8"/>
        <v>13030.03</v>
      </c>
      <c r="O82" s="491">
        <f t="shared" si="8"/>
        <v>27373.78</v>
      </c>
      <c r="P82" s="491">
        <f t="shared" si="8"/>
        <v>17932.000000000004</v>
      </c>
      <c r="Q82" s="491">
        <f t="shared" si="8"/>
        <v>47895.47</v>
      </c>
      <c r="R82" s="491">
        <f t="shared" si="8"/>
        <v>13614.630000000001</v>
      </c>
      <c r="S82" s="491">
        <f t="shared" si="8"/>
        <v>13501.370000000003</v>
      </c>
      <c r="T82" s="491">
        <f t="shared" si="8"/>
        <v>9602.69</v>
      </c>
      <c r="U82" s="491">
        <f t="shared" si="8"/>
        <v>10103.780000000001</v>
      </c>
      <c r="V82" s="491">
        <f t="shared" si="8"/>
        <v>14613.06</v>
      </c>
      <c r="W82" s="491">
        <f t="shared" si="8"/>
        <v>7998.6199999999981</v>
      </c>
      <c r="X82" s="491">
        <f t="shared" si="8"/>
        <v>12299.56</v>
      </c>
      <c r="Y82" s="491">
        <f t="shared" si="8"/>
        <v>18556.22</v>
      </c>
      <c r="Z82" s="491">
        <f t="shared" si="8"/>
        <v>13221.820000000002</v>
      </c>
    </row>
    <row r="83" spans="1:26" x14ac:dyDescent="0.25">
      <c r="A83" s="494" t="s">
        <v>376</v>
      </c>
      <c r="N83" s="493">
        <v>54580.38</v>
      </c>
      <c r="U83" s="493">
        <v>-2888.3</v>
      </c>
    </row>
    <row r="84" spans="1:26" x14ac:dyDescent="0.25">
      <c r="A84" s="492" t="s">
        <v>377</v>
      </c>
      <c r="B84" s="491"/>
      <c r="C84" s="491"/>
      <c r="D84" s="491">
        <f t="shared" ref="D84:Z84" si="9">D30+D31+D32+D33+D34+D35+D36+D42+D48+D55+D61+D82+D83</f>
        <v>166479.62999999998</v>
      </c>
      <c r="E84" s="491">
        <f t="shared" si="9"/>
        <v>195670.71000000002</v>
      </c>
      <c r="F84" s="491">
        <f t="shared" si="9"/>
        <v>165832.24</v>
      </c>
      <c r="G84" s="491">
        <f t="shared" si="9"/>
        <v>195254.60999999996</v>
      </c>
      <c r="H84" s="491">
        <f t="shared" si="9"/>
        <v>179181.24000000002</v>
      </c>
      <c r="I84" s="491">
        <f t="shared" si="9"/>
        <v>192607.31999999998</v>
      </c>
      <c r="J84" s="491">
        <f t="shared" si="9"/>
        <v>159478.05000000002</v>
      </c>
      <c r="K84" s="491">
        <f t="shared" si="9"/>
        <v>139637.16</v>
      </c>
      <c r="L84" s="491">
        <f t="shared" si="9"/>
        <v>118856.84999999999</v>
      </c>
      <c r="M84" s="491">
        <f t="shared" si="9"/>
        <v>137694.09000000003</v>
      </c>
      <c r="N84" s="491">
        <f t="shared" si="9"/>
        <v>152839.01999999999</v>
      </c>
      <c r="O84" s="491">
        <f t="shared" si="9"/>
        <v>147279.78999999998</v>
      </c>
      <c r="P84" s="491">
        <f t="shared" si="9"/>
        <v>120869.37999999999</v>
      </c>
      <c r="Q84" s="491">
        <f t="shared" si="9"/>
        <v>168834.96</v>
      </c>
      <c r="R84" s="491">
        <f t="shared" si="9"/>
        <v>98105.15</v>
      </c>
      <c r="S84" s="491">
        <f t="shared" si="9"/>
        <v>103312.47</v>
      </c>
      <c r="T84" s="491">
        <f t="shared" si="9"/>
        <v>118674.88</v>
      </c>
      <c r="U84" s="491">
        <f t="shared" si="9"/>
        <v>94588.07</v>
      </c>
      <c r="V84" s="491">
        <f t="shared" si="9"/>
        <v>82894.62000000001</v>
      </c>
      <c r="W84" s="491">
        <f t="shared" si="9"/>
        <v>83393.78</v>
      </c>
      <c r="X84" s="491">
        <f t="shared" si="9"/>
        <v>84847.919999999984</v>
      </c>
      <c r="Y84" s="491">
        <f t="shared" si="9"/>
        <v>105467.34999999999</v>
      </c>
      <c r="Z84" s="491">
        <f t="shared" si="9"/>
        <v>96638.950000000012</v>
      </c>
    </row>
    <row r="85" spans="1:26" x14ac:dyDescent="0.25">
      <c r="A85" s="492" t="s">
        <v>249</v>
      </c>
      <c r="B85" s="491"/>
      <c r="C85" s="491"/>
      <c r="D85" s="491">
        <f t="shared" ref="D85:Z85" si="10">D22-D84</f>
        <v>-15181.77999999997</v>
      </c>
      <c r="E85" s="491">
        <f t="shared" si="10"/>
        <v>-215268.33000000002</v>
      </c>
      <c r="F85" s="491">
        <f t="shared" si="10"/>
        <v>72098.729999999981</v>
      </c>
      <c r="G85" s="491">
        <f t="shared" si="10"/>
        <v>-58747.659999999974</v>
      </c>
      <c r="H85" s="491">
        <f t="shared" si="10"/>
        <v>-176901.63</v>
      </c>
      <c r="I85" s="491">
        <f t="shared" si="10"/>
        <v>37894.130000000034</v>
      </c>
      <c r="J85" s="491">
        <f t="shared" si="10"/>
        <v>57489.110000000044</v>
      </c>
      <c r="K85" s="491">
        <f t="shared" si="10"/>
        <v>-101577.83</v>
      </c>
      <c r="L85" s="491">
        <f t="shared" si="10"/>
        <v>-2693.179999999993</v>
      </c>
      <c r="M85" s="491">
        <f t="shared" si="10"/>
        <v>54253.449999999983</v>
      </c>
      <c r="N85" s="491">
        <f t="shared" si="10"/>
        <v>-59483.89999999998</v>
      </c>
      <c r="O85" s="491">
        <f t="shared" si="10"/>
        <v>-61779.599999999962</v>
      </c>
      <c r="P85" s="491">
        <f t="shared" si="10"/>
        <v>-131323.97000000003</v>
      </c>
      <c r="Q85" s="491">
        <f t="shared" si="10"/>
        <v>50114.269999999931</v>
      </c>
      <c r="R85" s="491">
        <f t="shared" si="10"/>
        <v>-86166.44</v>
      </c>
      <c r="S85" s="491">
        <f t="shared" si="10"/>
        <v>98826.949999999983</v>
      </c>
      <c r="T85" s="491">
        <f t="shared" si="10"/>
        <v>-32084.53</v>
      </c>
      <c r="U85" s="491">
        <f t="shared" si="10"/>
        <v>11643.649999999994</v>
      </c>
      <c r="V85" s="491">
        <f t="shared" si="10"/>
        <v>89233.549999999974</v>
      </c>
      <c r="W85" s="491">
        <f t="shared" si="10"/>
        <v>-21469.119999999981</v>
      </c>
      <c r="X85" s="491">
        <f t="shared" si="10"/>
        <v>-1486.0999999999767</v>
      </c>
      <c r="Y85" s="491">
        <f t="shared" si="10"/>
        <v>147823.88000000006</v>
      </c>
      <c r="Z85" s="491">
        <f t="shared" si="10"/>
        <v>-23700.580000000016</v>
      </c>
    </row>
    <row r="86" spans="1:26" x14ac:dyDescent="0.25">
      <c r="A86" s="495" t="s">
        <v>250</v>
      </c>
    </row>
    <row r="87" spans="1:26" x14ac:dyDescent="0.25">
      <c r="A87" s="494" t="s">
        <v>378</v>
      </c>
      <c r="R87" s="493">
        <v>5601.25</v>
      </c>
      <c r="X87" s="493">
        <v>233.85</v>
      </c>
      <c r="Z87" s="493">
        <v>15050</v>
      </c>
    </row>
    <row r="88" spans="1:26" x14ac:dyDescent="0.25">
      <c r="A88" s="492" t="s">
        <v>379</v>
      </c>
      <c r="B88" s="491"/>
      <c r="C88" s="491"/>
      <c r="D88" s="491"/>
      <c r="E88" s="491"/>
      <c r="F88" s="491"/>
      <c r="G88" s="491"/>
      <c r="H88" s="491"/>
      <c r="I88" s="491"/>
      <c r="J88" s="491"/>
      <c r="K88" s="491"/>
      <c r="L88" s="491"/>
      <c r="M88" s="491"/>
      <c r="N88" s="491"/>
      <c r="O88" s="491"/>
      <c r="P88" s="491"/>
      <c r="Q88" s="491"/>
      <c r="R88" s="491">
        <f>R87</f>
        <v>5601.25</v>
      </c>
      <c r="S88" s="491"/>
      <c r="T88" s="491"/>
      <c r="U88" s="491"/>
      <c r="V88" s="491"/>
      <c r="W88" s="491"/>
      <c r="X88" s="491">
        <f>X87</f>
        <v>233.85</v>
      </c>
      <c r="Y88" s="491"/>
      <c r="Z88" s="491">
        <f>Z87</f>
        <v>15050</v>
      </c>
    </row>
    <row r="89" spans="1:26" x14ac:dyDescent="0.25">
      <c r="A89" s="495" t="s">
        <v>254</v>
      </c>
    </row>
    <row r="90" spans="1:26" x14ac:dyDescent="0.25">
      <c r="A90" s="494" t="s">
        <v>380</v>
      </c>
      <c r="E90" s="493">
        <v>16647.419999999998</v>
      </c>
      <c r="F90" s="493">
        <v>16110.42</v>
      </c>
      <c r="G90" s="493">
        <v>17661.88</v>
      </c>
      <c r="H90" s="493">
        <v>16110.41</v>
      </c>
      <c r="I90" s="493">
        <v>16830.580000000002</v>
      </c>
      <c r="J90" s="493">
        <v>17349.02</v>
      </c>
      <c r="K90" s="493">
        <v>16716.93</v>
      </c>
      <c r="L90" s="493">
        <v>17214.95</v>
      </c>
      <c r="M90" s="493">
        <v>16819.259999999998</v>
      </c>
      <c r="N90" s="493">
        <v>16899.16</v>
      </c>
      <c r="O90" s="493">
        <v>16962.53</v>
      </c>
      <c r="P90" s="493">
        <v>16704.25</v>
      </c>
      <c r="Q90" s="493">
        <v>17688.77</v>
      </c>
      <c r="R90" s="493">
        <v>18047.39</v>
      </c>
      <c r="S90" s="493">
        <v>18111.150000000001</v>
      </c>
      <c r="T90" s="493">
        <v>19521.099999999999</v>
      </c>
      <c r="U90" s="493">
        <v>19337.310000000001</v>
      </c>
      <c r="V90" s="493">
        <v>18924.98</v>
      </c>
      <c r="W90" s="493">
        <v>18790.900000000001</v>
      </c>
      <c r="X90" s="493">
        <v>-15023.63</v>
      </c>
      <c r="Y90" s="493">
        <v>24032.86</v>
      </c>
      <c r="Z90" s="493">
        <v>21510.5</v>
      </c>
    </row>
    <row r="91" spans="1:26" x14ac:dyDescent="0.25">
      <c r="A91" s="494" t="s">
        <v>381</v>
      </c>
      <c r="N91" s="493">
        <v>7859.18</v>
      </c>
      <c r="O91" s="493">
        <v>7101.1</v>
      </c>
      <c r="P91" s="493">
        <v>7861.56</v>
      </c>
      <c r="Q91" s="493">
        <v>7608.68</v>
      </c>
      <c r="R91" s="493">
        <v>7714.41</v>
      </c>
      <c r="S91" s="493">
        <v>7302.16</v>
      </c>
      <c r="T91" s="493">
        <v>7540.66</v>
      </c>
      <c r="U91" s="493">
        <v>7285.16</v>
      </c>
      <c r="V91" s="493">
        <v>6862.39</v>
      </c>
      <c r="W91" s="493">
        <v>7018.87</v>
      </c>
      <c r="X91" s="493">
        <v>8187.71</v>
      </c>
      <c r="Y91" s="493">
        <v>9248.06</v>
      </c>
      <c r="Z91" s="493">
        <v>9720.17</v>
      </c>
    </row>
    <row r="92" spans="1:26" x14ac:dyDescent="0.25">
      <c r="A92" s="494" t="s">
        <v>382</v>
      </c>
      <c r="M92" s="493">
        <v>72154</v>
      </c>
      <c r="N92" s="493">
        <v>707.42</v>
      </c>
      <c r="O92" s="493">
        <v>707.42</v>
      </c>
      <c r="P92" s="493">
        <v>836.42</v>
      </c>
      <c r="Q92" s="493">
        <v>1009.54</v>
      </c>
      <c r="R92" s="493">
        <v>1009.54</v>
      </c>
      <c r="S92" s="493">
        <v>1009.54</v>
      </c>
      <c r="T92" s="493">
        <v>1009.54</v>
      </c>
      <c r="U92" s="493">
        <v>1009.54</v>
      </c>
      <c r="V92" s="493">
        <v>1009.54</v>
      </c>
      <c r="W92" s="493">
        <v>1009.54</v>
      </c>
      <c r="X92" s="493">
        <v>4268.83</v>
      </c>
      <c r="Y92" s="493">
        <v>4352.17</v>
      </c>
      <c r="Z92" s="493">
        <v>4681.34</v>
      </c>
    </row>
    <row r="93" spans="1:26" x14ac:dyDescent="0.25">
      <c r="A93" s="494" t="s">
        <v>383</v>
      </c>
      <c r="M93" s="493">
        <v>116899</v>
      </c>
      <c r="N93" s="493">
        <v>12988.8</v>
      </c>
      <c r="O93" s="493">
        <v>12988.8</v>
      </c>
      <c r="P93" s="493">
        <v>12988.8</v>
      </c>
      <c r="Q93" s="493">
        <v>12988.8</v>
      </c>
      <c r="R93" s="493">
        <v>12988.8</v>
      </c>
      <c r="S93" s="493">
        <v>12988.8</v>
      </c>
      <c r="T93" s="493">
        <v>12988.8</v>
      </c>
      <c r="U93" s="493">
        <v>12988.8</v>
      </c>
      <c r="V93" s="493">
        <v>12988.8</v>
      </c>
      <c r="W93" s="493">
        <v>12988.8</v>
      </c>
      <c r="X93" s="493">
        <v>12988.8</v>
      </c>
      <c r="Y93" s="493">
        <v>12988.8</v>
      </c>
      <c r="Z93" s="493">
        <v>12988.8</v>
      </c>
    </row>
    <row r="94" spans="1:26" x14ac:dyDescent="0.25">
      <c r="A94" s="492" t="s">
        <v>384</v>
      </c>
      <c r="B94" s="491"/>
      <c r="C94" s="491"/>
      <c r="D94" s="491"/>
      <c r="E94" s="491">
        <f t="shared" ref="E94:Z94" si="11">E90+E91+E92+E93</f>
        <v>16647.419999999998</v>
      </c>
      <c r="F94" s="491">
        <f t="shared" si="11"/>
        <v>16110.42</v>
      </c>
      <c r="G94" s="491">
        <f t="shared" si="11"/>
        <v>17661.88</v>
      </c>
      <c r="H94" s="491">
        <f t="shared" si="11"/>
        <v>16110.41</v>
      </c>
      <c r="I94" s="491">
        <f t="shared" si="11"/>
        <v>16830.580000000002</v>
      </c>
      <c r="J94" s="491">
        <f t="shared" si="11"/>
        <v>17349.02</v>
      </c>
      <c r="K94" s="491">
        <f t="shared" si="11"/>
        <v>16716.93</v>
      </c>
      <c r="L94" s="491">
        <f t="shared" si="11"/>
        <v>17214.95</v>
      </c>
      <c r="M94" s="491">
        <f t="shared" si="11"/>
        <v>205872.26</v>
      </c>
      <c r="N94" s="491">
        <f t="shared" si="11"/>
        <v>38454.559999999998</v>
      </c>
      <c r="O94" s="491">
        <f t="shared" si="11"/>
        <v>37759.849999999991</v>
      </c>
      <c r="P94" s="491">
        <f t="shared" si="11"/>
        <v>38391.03</v>
      </c>
      <c r="Q94" s="491">
        <f t="shared" si="11"/>
        <v>39295.79</v>
      </c>
      <c r="R94" s="491">
        <f t="shared" si="11"/>
        <v>39760.14</v>
      </c>
      <c r="S94" s="491">
        <f t="shared" si="11"/>
        <v>39411.65</v>
      </c>
      <c r="T94" s="491">
        <f t="shared" si="11"/>
        <v>41060.1</v>
      </c>
      <c r="U94" s="491">
        <f t="shared" si="11"/>
        <v>40620.81</v>
      </c>
      <c r="V94" s="491">
        <f t="shared" si="11"/>
        <v>39785.71</v>
      </c>
      <c r="W94" s="491">
        <f t="shared" si="11"/>
        <v>39808.11</v>
      </c>
      <c r="X94" s="491">
        <f t="shared" si="11"/>
        <v>10421.709999999999</v>
      </c>
      <c r="Y94" s="491">
        <f t="shared" si="11"/>
        <v>50621.89</v>
      </c>
      <c r="Z94" s="491">
        <f t="shared" si="11"/>
        <v>48900.81</v>
      </c>
    </row>
    <row r="95" spans="1:26" x14ac:dyDescent="0.25">
      <c r="A95" s="492" t="s">
        <v>260</v>
      </c>
      <c r="B95" s="491"/>
      <c r="C95" s="491"/>
      <c r="D95" s="491"/>
      <c r="E95" s="491">
        <f t="shared" ref="E95:Z95" si="12">E88-E94</f>
        <v>-16647.419999999998</v>
      </c>
      <c r="F95" s="491">
        <f t="shared" si="12"/>
        <v>-16110.42</v>
      </c>
      <c r="G95" s="491">
        <f t="shared" si="12"/>
        <v>-17661.88</v>
      </c>
      <c r="H95" s="491">
        <f t="shared" si="12"/>
        <v>-16110.41</v>
      </c>
      <c r="I95" s="491">
        <f t="shared" si="12"/>
        <v>-16830.580000000002</v>
      </c>
      <c r="J95" s="491">
        <f t="shared" si="12"/>
        <v>-17349.02</v>
      </c>
      <c r="K95" s="491">
        <f t="shared" si="12"/>
        <v>-16716.93</v>
      </c>
      <c r="L95" s="491">
        <f t="shared" si="12"/>
        <v>-17214.95</v>
      </c>
      <c r="M95" s="491">
        <f t="shared" si="12"/>
        <v>-205872.26</v>
      </c>
      <c r="N95" s="491">
        <f t="shared" si="12"/>
        <v>-38454.559999999998</v>
      </c>
      <c r="O95" s="491">
        <f t="shared" si="12"/>
        <v>-37759.849999999991</v>
      </c>
      <c r="P95" s="491">
        <f t="shared" si="12"/>
        <v>-38391.03</v>
      </c>
      <c r="Q95" s="491">
        <f t="shared" si="12"/>
        <v>-39295.79</v>
      </c>
      <c r="R95" s="491">
        <f t="shared" si="12"/>
        <v>-34158.89</v>
      </c>
      <c r="S95" s="491">
        <f t="shared" si="12"/>
        <v>-39411.65</v>
      </c>
      <c r="T95" s="491">
        <f t="shared" si="12"/>
        <v>-41060.1</v>
      </c>
      <c r="U95" s="491">
        <f t="shared" si="12"/>
        <v>-40620.81</v>
      </c>
      <c r="V95" s="491">
        <f t="shared" si="12"/>
        <v>-39785.71</v>
      </c>
      <c r="W95" s="491">
        <f t="shared" si="12"/>
        <v>-39808.11</v>
      </c>
      <c r="X95" s="491">
        <f t="shared" si="12"/>
        <v>-10187.859999999999</v>
      </c>
      <c r="Y95" s="491">
        <f t="shared" si="12"/>
        <v>-50621.89</v>
      </c>
      <c r="Z95" s="491">
        <f t="shared" si="12"/>
        <v>-33850.81</v>
      </c>
    </row>
    <row r="96" spans="1:26" s="501" customFormat="1" x14ac:dyDescent="0.25">
      <c r="A96" s="499" t="s">
        <v>132</v>
      </c>
      <c r="B96" s="500"/>
      <c r="C96" s="500"/>
      <c r="D96" s="500">
        <f t="shared" ref="D96:Z96" si="13">D85+D95</f>
        <v>-15181.77999999997</v>
      </c>
      <c r="E96" s="500">
        <f t="shared" si="13"/>
        <v>-231915.75</v>
      </c>
      <c r="F96" s="500">
        <f t="shared" si="13"/>
        <v>55988.309999999983</v>
      </c>
      <c r="G96" s="500">
        <f t="shared" si="13"/>
        <v>-76409.539999999979</v>
      </c>
      <c r="H96" s="500">
        <f t="shared" si="13"/>
        <v>-193012.04</v>
      </c>
      <c r="I96" s="500">
        <f t="shared" si="13"/>
        <v>21063.550000000032</v>
      </c>
      <c r="J96" s="500">
        <f t="shared" si="13"/>
        <v>40140.09000000004</v>
      </c>
      <c r="K96" s="500">
        <f t="shared" si="13"/>
        <v>-118294.76000000001</v>
      </c>
      <c r="L96" s="500">
        <f t="shared" si="13"/>
        <v>-19908.129999999994</v>
      </c>
      <c r="M96" s="500">
        <f t="shared" si="13"/>
        <v>-151618.81000000003</v>
      </c>
      <c r="N96" s="500">
        <f t="shared" si="13"/>
        <v>-97938.459999999977</v>
      </c>
      <c r="O96" s="500">
        <f t="shared" si="13"/>
        <v>-99539.449999999953</v>
      </c>
      <c r="P96" s="500">
        <f t="shared" si="13"/>
        <v>-169715.00000000003</v>
      </c>
      <c r="Q96" s="500">
        <f t="shared" si="13"/>
        <v>10818.47999999993</v>
      </c>
      <c r="R96" s="500">
        <f t="shared" si="13"/>
        <v>-120325.33</v>
      </c>
      <c r="S96" s="500">
        <f t="shared" si="13"/>
        <v>59415.299999999981</v>
      </c>
      <c r="T96" s="500">
        <f t="shared" si="13"/>
        <v>-73144.63</v>
      </c>
      <c r="U96" s="500">
        <f t="shared" si="13"/>
        <v>-28977.160000000003</v>
      </c>
      <c r="V96" s="500">
        <f t="shared" si="13"/>
        <v>49447.839999999975</v>
      </c>
      <c r="W96" s="500">
        <f t="shared" si="13"/>
        <v>-61277.229999999981</v>
      </c>
      <c r="X96" s="500">
        <f t="shared" si="13"/>
        <v>-11673.959999999975</v>
      </c>
      <c r="Y96" s="500">
        <f t="shared" si="13"/>
        <v>97201.990000000063</v>
      </c>
      <c r="Z96" s="500">
        <f t="shared" si="13"/>
        <v>-57551.390000000014</v>
      </c>
    </row>
  </sheetData>
  <mergeCells count="3">
    <mergeCell ref="A1:Z1"/>
    <mergeCell ref="A2:Z2"/>
    <mergeCell ref="A3:Z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0766-D6F4-4826-A7B1-79B0AC36C833}">
  <sheetPr codeName="Sheet11"/>
  <dimension ref="B1:L120"/>
  <sheetViews>
    <sheetView zoomScale="85" zoomScaleNormal="85" workbookViewId="0">
      <pane xSplit="1" ySplit="1" topLeftCell="B56" activePane="bottomRight" state="frozen"/>
      <selection pane="topRight" activeCell="B1" sqref="B1"/>
      <selection pane="bottomLeft" activeCell="A7" sqref="A7"/>
      <selection pane="bottomRight" activeCell="B2" sqref="B2"/>
    </sheetView>
  </sheetViews>
  <sheetFormatPr defaultColWidth="12.85546875" defaultRowHeight="15" x14ac:dyDescent="0.25"/>
  <cols>
    <col min="1" max="1" width="4.140625" style="278" customWidth="1"/>
    <col min="2" max="3" width="18" style="278" bestFit="1" customWidth="1"/>
    <col min="4" max="4" width="11.5703125" style="278" bestFit="1" customWidth="1"/>
    <col min="5" max="5" width="40.5703125" style="278" bestFit="1" customWidth="1"/>
    <col min="6" max="6" width="57.85546875" style="278" customWidth="1"/>
    <col min="7" max="7" width="20.7109375" style="278" bestFit="1" customWidth="1"/>
    <col min="8" max="8" width="19.28515625" style="278" bestFit="1" customWidth="1"/>
    <col min="9" max="9" width="13" style="278" bestFit="1" customWidth="1"/>
    <col min="10" max="10" width="10.140625" style="278" bestFit="1" customWidth="1"/>
    <col min="11" max="11" width="60.42578125" style="278" bestFit="1" customWidth="1"/>
    <col min="12" max="16384" width="12.85546875" style="278"/>
  </cols>
  <sheetData>
    <row r="1" spans="2:12" x14ac:dyDescent="0.25">
      <c r="B1" s="282" t="s">
        <v>471</v>
      </c>
      <c r="C1" s="282" t="s">
        <v>472</v>
      </c>
      <c r="D1" s="282" t="s">
        <v>473</v>
      </c>
      <c r="E1" s="282" t="s">
        <v>474</v>
      </c>
      <c r="F1" s="282" t="s">
        <v>475</v>
      </c>
      <c r="G1" s="282" t="s">
        <v>476</v>
      </c>
      <c r="H1" s="282" t="s">
        <v>477</v>
      </c>
      <c r="I1" s="282" t="s">
        <v>48</v>
      </c>
      <c r="J1" s="282" t="s">
        <v>478</v>
      </c>
      <c r="K1" s="282" t="s">
        <v>388</v>
      </c>
    </row>
    <row r="2" spans="2:12" x14ac:dyDescent="0.25">
      <c r="B2" s="279" t="s">
        <v>479</v>
      </c>
      <c r="C2" s="279" t="s">
        <v>480</v>
      </c>
      <c r="D2" s="279" t="s">
        <v>315</v>
      </c>
      <c r="E2" s="279" t="s">
        <v>481</v>
      </c>
      <c r="F2" s="279" t="s">
        <v>482</v>
      </c>
      <c r="G2" s="279" t="s">
        <v>319</v>
      </c>
      <c r="H2" s="279" t="s">
        <v>483</v>
      </c>
      <c r="I2" s="280">
        <v>1021.31</v>
      </c>
      <c r="J2" s="280">
        <v>1055.05</v>
      </c>
      <c r="K2" s="279" t="s">
        <v>484</v>
      </c>
      <c r="L2" s="279" t="str">
        <f>VLOOKUP(K2,'[1]Project Sheet'!$A$2:$A$46,1,0)</f>
        <v>27315-0-C4 25 photo/video shoot</v>
      </c>
    </row>
    <row r="3" spans="2:12" x14ac:dyDescent="0.25">
      <c r="B3" s="279" t="s">
        <v>485</v>
      </c>
      <c r="C3" s="279" t="s">
        <v>486</v>
      </c>
      <c r="D3" s="279" t="s">
        <v>487</v>
      </c>
      <c r="E3" s="279" t="s">
        <v>488</v>
      </c>
      <c r="F3" s="279" t="s">
        <v>489</v>
      </c>
      <c r="G3" s="279" t="s">
        <v>319</v>
      </c>
      <c r="H3" s="279" t="s">
        <v>92</v>
      </c>
      <c r="I3" s="280">
        <v>13.86</v>
      </c>
      <c r="J3" s="280">
        <v>3728.1099999999997</v>
      </c>
      <c r="K3" s="279" t="s">
        <v>490</v>
      </c>
      <c r="L3" s="279" t="str">
        <f>VLOOKUP(K3,'[1]Project Sheet'!$A$2:$A$46,1,0)</f>
        <v>27248-FA26 Product Photo shoot</v>
      </c>
    </row>
    <row r="4" spans="2:12" x14ac:dyDescent="0.25">
      <c r="B4" s="279" t="s">
        <v>485</v>
      </c>
      <c r="C4" s="279" t="s">
        <v>486</v>
      </c>
      <c r="D4" s="279" t="s">
        <v>487</v>
      </c>
      <c r="E4" s="279" t="s">
        <v>488</v>
      </c>
      <c r="F4" s="279" t="s">
        <v>491</v>
      </c>
      <c r="G4" s="279" t="s">
        <v>319</v>
      </c>
      <c r="H4" s="279" t="s">
        <v>92</v>
      </c>
      <c r="I4" s="280">
        <v>22</v>
      </c>
      <c r="J4" s="280">
        <v>3750.1099999999997</v>
      </c>
      <c r="K4" s="279" t="s">
        <v>490</v>
      </c>
      <c r="L4" s="279" t="str">
        <f>VLOOKUP(K4,'[1]Project Sheet'!$A$2:$A$46,1,0)</f>
        <v>27248-FA26 Product Photo shoot</v>
      </c>
    </row>
    <row r="5" spans="2:12" x14ac:dyDescent="0.25">
      <c r="B5" s="279" t="s">
        <v>485</v>
      </c>
      <c r="C5" s="279" t="s">
        <v>486</v>
      </c>
      <c r="D5" s="279" t="s">
        <v>487</v>
      </c>
      <c r="E5" s="279" t="s">
        <v>488</v>
      </c>
      <c r="F5" s="279" t="s">
        <v>489</v>
      </c>
      <c r="G5" s="279" t="s">
        <v>319</v>
      </c>
      <c r="H5" s="279" t="s">
        <v>92</v>
      </c>
      <c r="I5" s="280">
        <v>1.98</v>
      </c>
      <c r="J5" s="280">
        <v>3827.0099999999998</v>
      </c>
      <c r="K5" s="279" t="s">
        <v>490</v>
      </c>
      <c r="L5" s="279" t="str">
        <f>VLOOKUP(K5,'[1]Project Sheet'!$A$2:$A$46,1,0)</f>
        <v>27248-FA26 Product Photo shoot</v>
      </c>
    </row>
    <row r="6" spans="2:12" x14ac:dyDescent="0.25">
      <c r="B6" s="279" t="s">
        <v>485</v>
      </c>
      <c r="C6" s="279" t="s">
        <v>486</v>
      </c>
      <c r="D6" s="279" t="s">
        <v>487</v>
      </c>
      <c r="E6" s="279" t="s">
        <v>488</v>
      </c>
      <c r="F6" s="279" t="s">
        <v>491</v>
      </c>
      <c r="G6" s="279" t="s">
        <v>319</v>
      </c>
      <c r="H6" s="279" t="s">
        <v>92</v>
      </c>
      <c r="I6" s="280">
        <v>5.5</v>
      </c>
      <c r="J6" s="280">
        <v>3832.5099999999998</v>
      </c>
      <c r="K6" s="279" t="s">
        <v>490</v>
      </c>
      <c r="L6" s="279" t="str">
        <f>VLOOKUP(K6,'[1]Project Sheet'!$A$2:$A$46,1,0)</f>
        <v>27248-FA26 Product Photo shoot</v>
      </c>
    </row>
    <row r="7" spans="2:12" x14ac:dyDescent="0.25">
      <c r="B7" s="279" t="s">
        <v>485</v>
      </c>
      <c r="C7" s="279" t="s">
        <v>486</v>
      </c>
      <c r="D7" s="279" t="s">
        <v>487</v>
      </c>
      <c r="E7" s="279" t="s">
        <v>488</v>
      </c>
      <c r="F7" s="279" t="s">
        <v>492</v>
      </c>
      <c r="G7" s="279" t="s">
        <v>319</v>
      </c>
      <c r="H7" s="279" t="s">
        <v>92</v>
      </c>
      <c r="I7" s="280">
        <v>38.5</v>
      </c>
      <c r="J7" s="280">
        <v>4641.01</v>
      </c>
      <c r="K7" s="279" t="s">
        <v>490</v>
      </c>
      <c r="L7" s="279" t="str">
        <f>VLOOKUP(K7,'[1]Project Sheet'!$A$2:$A$46,1,0)</f>
        <v>27248-FA26 Product Photo shoot</v>
      </c>
    </row>
    <row r="8" spans="2:12" x14ac:dyDescent="0.25">
      <c r="B8" s="279" t="s">
        <v>485</v>
      </c>
      <c r="C8" s="279" t="s">
        <v>486</v>
      </c>
      <c r="D8" s="279" t="s">
        <v>487</v>
      </c>
      <c r="E8" s="279" t="s">
        <v>488</v>
      </c>
      <c r="F8" s="279" t="s">
        <v>493</v>
      </c>
      <c r="G8" s="279" t="s">
        <v>319</v>
      </c>
      <c r="H8" s="279" t="s">
        <v>92</v>
      </c>
      <c r="I8" s="280">
        <v>29.7</v>
      </c>
      <c r="J8" s="280">
        <v>4670.71</v>
      </c>
      <c r="K8" s="279" t="s">
        <v>490</v>
      </c>
      <c r="L8" s="279" t="str">
        <f>VLOOKUP(K8,'[1]Project Sheet'!$A$2:$A$46,1,0)</f>
        <v>27248-FA26 Product Photo shoot</v>
      </c>
    </row>
    <row r="9" spans="2:12" x14ac:dyDescent="0.25">
      <c r="B9" s="279" t="s">
        <v>485</v>
      </c>
      <c r="C9" s="279" t="s">
        <v>486</v>
      </c>
      <c r="D9" s="279" t="s">
        <v>487</v>
      </c>
      <c r="E9" s="279" t="s">
        <v>488</v>
      </c>
      <c r="F9" s="279" t="s">
        <v>489</v>
      </c>
      <c r="G9" s="279" t="s">
        <v>319</v>
      </c>
      <c r="H9" s="279" t="s">
        <v>92</v>
      </c>
      <c r="I9" s="280">
        <v>40.590000000000003</v>
      </c>
      <c r="J9" s="280">
        <v>4711.3</v>
      </c>
      <c r="K9" s="279" t="s">
        <v>490</v>
      </c>
      <c r="L9" s="279" t="str">
        <f>VLOOKUP(K9,'[1]Project Sheet'!$A$2:$A$46,1,0)</f>
        <v>27248-FA26 Product Photo shoot</v>
      </c>
    </row>
    <row r="10" spans="2:12" x14ac:dyDescent="0.25">
      <c r="B10" s="279" t="s">
        <v>485</v>
      </c>
      <c r="C10" s="279" t="s">
        <v>486</v>
      </c>
      <c r="D10" s="279" t="s">
        <v>487</v>
      </c>
      <c r="E10" s="279" t="s">
        <v>488</v>
      </c>
      <c r="F10" s="279" t="s">
        <v>494</v>
      </c>
      <c r="G10" s="279" t="s">
        <v>319</v>
      </c>
      <c r="H10" s="279" t="s">
        <v>92</v>
      </c>
      <c r="I10" s="280">
        <v>33</v>
      </c>
      <c r="J10" s="280">
        <v>4744.3</v>
      </c>
      <c r="K10" s="279" t="s">
        <v>490</v>
      </c>
      <c r="L10" s="279" t="str">
        <f>VLOOKUP(K10,'[1]Project Sheet'!$A$2:$A$46,1,0)</f>
        <v>27248-FA26 Product Photo shoot</v>
      </c>
    </row>
    <row r="11" spans="2:12" x14ac:dyDescent="0.25">
      <c r="B11" s="279" t="s">
        <v>485</v>
      </c>
      <c r="C11" s="279" t="s">
        <v>486</v>
      </c>
      <c r="D11" s="279" t="s">
        <v>487</v>
      </c>
      <c r="E11" s="279" t="s">
        <v>488</v>
      </c>
      <c r="F11" s="279" t="s">
        <v>495</v>
      </c>
      <c r="G11" s="279" t="s">
        <v>319</v>
      </c>
      <c r="H11" s="279" t="s">
        <v>92</v>
      </c>
      <c r="I11" s="280">
        <v>22</v>
      </c>
      <c r="J11" s="280">
        <v>4766.3</v>
      </c>
      <c r="K11" s="279" t="s">
        <v>490</v>
      </c>
      <c r="L11" s="279" t="str">
        <f>VLOOKUP(K11,'[1]Project Sheet'!$A$2:$A$46,1,0)</f>
        <v>27248-FA26 Product Photo shoot</v>
      </c>
    </row>
    <row r="12" spans="2:12" x14ac:dyDescent="0.25">
      <c r="B12" s="279" t="s">
        <v>485</v>
      </c>
      <c r="C12" s="279" t="s">
        <v>486</v>
      </c>
      <c r="D12" s="279" t="s">
        <v>487</v>
      </c>
      <c r="E12" s="279" t="s">
        <v>488</v>
      </c>
      <c r="F12" s="279" t="s">
        <v>496</v>
      </c>
      <c r="G12" s="279" t="s">
        <v>319</v>
      </c>
      <c r="H12" s="279" t="s">
        <v>92</v>
      </c>
      <c r="I12" s="280">
        <v>20.79</v>
      </c>
      <c r="J12" s="280">
        <v>4787.09</v>
      </c>
      <c r="K12" s="279" t="s">
        <v>490</v>
      </c>
      <c r="L12" s="279" t="str">
        <f>VLOOKUP(K12,'[1]Project Sheet'!$A$2:$A$46,1,0)</f>
        <v>27248-FA26 Product Photo shoot</v>
      </c>
    </row>
    <row r="13" spans="2:12" x14ac:dyDescent="0.25">
      <c r="B13" s="279" t="s">
        <v>485</v>
      </c>
      <c r="C13" s="279" t="s">
        <v>486</v>
      </c>
      <c r="D13" s="279" t="s">
        <v>487</v>
      </c>
      <c r="E13" s="279" t="s">
        <v>488</v>
      </c>
      <c r="F13" s="279" t="s">
        <v>497</v>
      </c>
      <c r="G13" s="279" t="s">
        <v>319</v>
      </c>
      <c r="H13" s="279" t="s">
        <v>92</v>
      </c>
      <c r="I13" s="280">
        <v>46.75</v>
      </c>
      <c r="J13" s="280">
        <v>4833.84</v>
      </c>
      <c r="K13" s="279" t="s">
        <v>490</v>
      </c>
      <c r="L13" s="279" t="str">
        <f>VLOOKUP(K13,'[1]Project Sheet'!$A$2:$A$46,1,0)</f>
        <v>27248-FA26 Product Photo shoot</v>
      </c>
    </row>
    <row r="14" spans="2:12" x14ac:dyDescent="0.25">
      <c r="B14" s="279" t="s">
        <v>485</v>
      </c>
      <c r="C14" s="279" t="s">
        <v>486</v>
      </c>
      <c r="D14" s="279" t="s">
        <v>487</v>
      </c>
      <c r="E14" s="279" t="s">
        <v>488</v>
      </c>
      <c r="F14" s="279" t="s">
        <v>498</v>
      </c>
      <c r="G14" s="279" t="s">
        <v>319</v>
      </c>
      <c r="H14" s="279" t="s">
        <v>92</v>
      </c>
      <c r="I14" s="280">
        <v>19.8</v>
      </c>
      <c r="J14" s="280">
        <v>4853.6400000000003</v>
      </c>
      <c r="K14" s="279" t="s">
        <v>490</v>
      </c>
      <c r="L14" s="279" t="str">
        <f>VLOOKUP(K14,'[1]Project Sheet'!$A$2:$A$46,1,0)</f>
        <v>27248-FA26 Product Photo shoot</v>
      </c>
    </row>
    <row r="15" spans="2:12" x14ac:dyDescent="0.25">
      <c r="B15" s="279" t="s">
        <v>485</v>
      </c>
      <c r="C15" s="279" t="s">
        <v>486</v>
      </c>
      <c r="D15" s="279" t="s">
        <v>487</v>
      </c>
      <c r="E15" s="279" t="s">
        <v>488</v>
      </c>
      <c r="F15" s="279" t="s">
        <v>499</v>
      </c>
      <c r="G15" s="279" t="s">
        <v>319</v>
      </c>
      <c r="H15" s="279" t="s">
        <v>92</v>
      </c>
      <c r="I15" s="280">
        <v>5.5</v>
      </c>
      <c r="J15" s="280">
        <v>4859.1400000000003</v>
      </c>
      <c r="K15" s="279" t="s">
        <v>490</v>
      </c>
      <c r="L15" s="279" t="str">
        <f>VLOOKUP(K15,'[1]Project Sheet'!$A$2:$A$46,1,0)</f>
        <v>27248-FA26 Product Photo shoot</v>
      </c>
    </row>
    <row r="16" spans="2:12" x14ac:dyDescent="0.25">
      <c r="B16" s="279" t="s">
        <v>485</v>
      </c>
      <c r="C16" s="279" t="s">
        <v>486</v>
      </c>
      <c r="D16" s="279" t="s">
        <v>487</v>
      </c>
      <c r="E16" s="279" t="s">
        <v>488</v>
      </c>
      <c r="F16" s="279" t="s">
        <v>498</v>
      </c>
      <c r="G16" s="279" t="s">
        <v>319</v>
      </c>
      <c r="H16" s="279" t="s">
        <v>92</v>
      </c>
      <c r="I16" s="280">
        <v>11.88</v>
      </c>
      <c r="J16" s="280">
        <v>4871.0200000000004</v>
      </c>
      <c r="K16" s="279" t="s">
        <v>490</v>
      </c>
      <c r="L16" s="279" t="str">
        <f>VLOOKUP(K16,'[1]Project Sheet'!$A$2:$A$46,1,0)</f>
        <v>27248-FA26 Product Photo shoot</v>
      </c>
    </row>
    <row r="17" spans="2:12" x14ac:dyDescent="0.25">
      <c r="B17" s="279" t="s">
        <v>485</v>
      </c>
      <c r="C17" s="279" t="s">
        <v>486</v>
      </c>
      <c r="D17" s="279" t="s">
        <v>487</v>
      </c>
      <c r="E17" s="279" t="s">
        <v>488</v>
      </c>
      <c r="F17" s="279" t="s">
        <v>498</v>
      </c>
      <c r="G17" s="279" t="s">
        <v>319</v>
      </c>
      <c r="H17" s="279" t="s">
        <v>92</v>
      </c>
      <c r="I17" s="280">
        <v>15.84</v>
      </c>
      <c r="J17" s="280">
        <v>4886.8600000000006</v>
      </c>
      <c r="K17" s="279" t="s">
        <v>490</v>
      </c>
      <c r="L17" s="279" t="str">
        <f>VLOOKUP(K17,'[1]Project Sheet'!$A$2:$A$46,1,0)</f>
        <v>27248-FA26 Product Photo shoot</v>
      </c>
    </row>
    <row r="18" spans="2:12" x14ac:dyDescent="0.25">
      <c r="B18" s="279" t="s">
        <v>485</v>
      </c>
      <c r="C18" s="279" t="s">
        <v>486</v>
      </c>
      <c r="D18" s="279" t="s">
        <v>487</v>
      </c>
      <c r="E18" s="279" t="s">
        <v>488</v>
      </c>
      <c r="F18" s="279" t="s">
        <v>495</v>
      </c>
      <c r="G18" s="279" t="s">
        <v>319</v>
      </c>
      <c r="H18" s="279" t="s">
        <v>92</v>
      </c>
      <c r="I18" s="280">
        <v>13.75</v>
      </c>
      <c r="J18" s="280">
        <v>4900.6100000000006</v>
      </c>
      <c r="K18" s="279" t="s">
        <v>490</v>
      </c>
      <c r="L18" s="279" t="str">
        <f>VLOOKUP(K18,'[1]Project Sheet'!$A$2:$A$46,1,0)</f>
        <v>27248-FA26 Product Photo shoot</v>
      </c>
    </row>
    <row r="19" spans="2:12" x14ac:dyDescent="0.25">
      <c r="B19" s="279" t="s">
        <v>485</v>
      </c>
      <c r="C19" s="279" t="s">
        <v>486</v>
      </c>
      <c r="D19" s="279" t="s">
        <v>487</v>
      </c>
      <c r="E19" s="279" t="s">
        <v>488</v>
      </c>
      <c r="F19" s="279" t="s">
        <v>500</v>
      </c>
      <c r="G19" s="279" t="s">
        <v>319</v>
      </c>
      <c r="H19" s="279" t="s">
        <v>92</v>
      </c>
      <c r="I19" s="280">
        <v>20</v>
      </c>
      <c r="J19" s="280">
        <v>4920.6100000000006</v>
      </c>
      <c r="K19" s="279" t="s">
        <v>490</v>
      </c>
      <c r="L19" s="279" t="str">
        <f>VLOOKUP(K19,'[1]Project Sheet'!$A$2:$A$46,1,0)</f>
        <v>27248-FA26 Product Photo shoot</v>
      </c>
    </row>
    <row r="20" spans="2:12" x14ac:dyDescent="0.25">
      <c r="B20" s="279" t="s">
        <v>485</v>
      </c>
      <c r="C20" s="279" t="s">
        <v>486</v>
      </c>
      <c r="D20" s="279" t="s">
        <v>487</v>
      </c>
      <c r="E20" s="279" t="s">
        <v>488</v>
      </c>
      <c r="F20" s="279" t="s">
        <v>501</v>
      </c>
      <c r="G20" s="279" t="s">
        <v>319</v>
      </c>
      <c r="H20" s="279" t="s">
        <v>92</v>
      </c>
      <c r="I20" s="280">
        <v>39.6</v>
      </c>
      <c r="J20" s="280">
        <v>4960.2100000000009</v>
      </c>
      <c r="K20" s="279" t="s">
        <v>490</v>
      </c>
      <c r="L20" s="279" t="str">
        <f>VLOOKUP(K20,'[1]Project Sheet'!$A$2:$A$46,1,0)</f>
        <v>27248-FA26 Product Photo shoot</v>
      </c>
    </row>
    <row r="21" spans="2:12" x14ac:dyDescent="0.25">
      <c r="B21" s="279" t="s">
        <v>485</v>
      </c>
      <c r="C21" s="279" t="s">
        <v>486</v>
      </c>
      <c r="D21" s="279" t="s">
        <v>487</v>
      </c>
      <c r="E21" s="279" t="s">
        <v>488</v>
      </c>
      <c r="F21" s="279" t="s">
        <v>502</v>
      </c>
      <c r="G21" s="279" t="s">
        <v>319</v>
      </c>
      <c r="H21" s="279" t="s">
        <v>92</v>
      </c>
      <c r="I21" s="280">
        <v>60.5</v>
      </c>
      <c r="J21" s="280">
        <v>5020.7100000000009</v>
      </c>
      <c r="K21" s="279" t="s">
        <v>490</v>
      </c>
      <c r="L21" s="279" t="str">
        <f>VLOOKUP(K21,'[1]Project Sheet'!$A$2:$A$46,1,0)</f>
        <v>27248-FA26 Product Photo shoot</v>
      </c>
    </row>
    <row r="22" spans="2:12" x14ac:dyDescent="0.25">
      <c r="B22" s="279" t="s">
        <v>404</v>
      </c>
      <c r="C22" s="279" t="s">
        <v>503</v>
      </c>
      <c r="D22" s="279" t="s">
        <v>315</v>
      </c>
      <c r="E22" s="279" t="s">
        <v>481</v>
      </c>
      <c r="F22" s="279" t="s">
        <v>504</v>
      </c>
      <c r="G22" s="279" t="s">
        <v>319</v>
      </c>
      <c r="H22" s="279" t="s">
        <v>483</v>
      </c>
      <c r="I22" s="281">
        <v>-11.29</v>
      </c>
      <c r="J22" s="280">
        <v>6639.3800000000019</v>
      </c>
      <c r="K22" s="279" t="s">
        <v>484</v>
      </c>
      <c r="L22" s="279" t="str">
        <f>VLOOKUP(K22,'[1]Project Sheet'!$A$2:$A$46,1,0)</f>
        <v>27315-0-C4 25 photo/video shoot</v>
      </c>
    </row>
    <row r="23" spans="2:12" x14ac:dyDescent="0.25">
      <c r="B23" s="279" t="s">
        <v>404</v>
      </c>
      <c r="C23" s="279" t="s">
        <v>503</v>
      </c>
      <c r="D23" s="279" t="s">
        <v>315</v>
      </c>
      <c r="E23" s="279" t="s">
        <v>481</v>
      </c>
      <c r="F23" s="279" t="s">
        <v>504</v>
      </c>
      <c r="G23" s="279" t="s">
        <v>319</v>
      </c>
      <c r="H23" s="279" t="s">
        <v>483</v>
      </c>
      <c r="I23" s="281">
        <v>-146</v>
      </c>
      <c r="J23" s="280">
        <v>6493.3800000000019</v>
      </c>
      <c r="K23" s="279" t="s">
        <v>484</v>
      </c>
      <c r="L23" s="279" t="str">
        <f>VLOOKUP(K23,'[1]Project Sheet'!$A$2:$A$46,1,0)</f>
        <v>27315-0-C4 25 photo/video shoot</v>
      </c>
    </row>
    <row r="24" spans="2:12" x14ac:dyDescent="0.25">
      <c r="B24" s="279" t="s">
        <v>505</v>
      </c>
      <c r="C24" s="279" t="s">
        <v>480</v>
      </c>
      <c r="D24" s="279" t="s">
        <v>315</v>
      </c>
      <c r="E24" s="279" t="s">
        <v>506</v>
      </c>
      <c r="F24" s="279" t="s">
        <v>507</v>
      </c>
      <c r="G24" s="279" t="s">
        <v>319</v>
      </c>
      <c r="H24" s="279" t="s">
        <v>483</v>
      </c>
      <c r="I24" s="280">
        <v>157.47999999999999</v>
      </c>
      <c r="J24" s="280">
        <v>7930.8600000000015</v>
      </c>
      <c r="K24" s="279" t="s">
        <v>508</v>
      </c>
      <c r="L24" s="279" t="str">
        <f>VLOOKUP(K24,'[1]Project Sheet'!$A$2:$A$46,1,0)</f>
        <v>27226-Doppler System and wire Photo-shoot</v>
      </c>
    </row>
    <row r="25" spans="2:12" x14ac:dyDescent="0.25">
      <c r="B25" s="279" t="s">
        <v>509</v>
      </c>
      <c r="C25" s="279" t="s">
        <v>486</v>
      </c>
      <c r="D25" s="279" t="s">
        <v>510</v>
      </c>
      <c r="E25" s="279" t="s">
        <v>511</v>
      </c>
      <c r="F25" s="279" t="s">
        <v>512</v>
      </c>
      <c r="G25" s="279" t="s">
        <v>319</v>
      </c>
      <c r="H25" s="279" t="s">
        <v>92</v>
      </c>
      <c r="I25" s="280">
        <v>132.51</v>
      </c>
      <c r="J25" s="280">
        <v>9281.5400000000027</v>
      </c>
      <c r="K25" s="279" t="s">
        <v>429</v>
      </c>
      <c r="L25" s="279" t="str">
        <f>VLOOKUP(K25,'[1]Project Sheet'!$A$2:$A$46,1,0)</f>
        <v>27228-2025 Leaf Lumber Baseball</v>
      </c>
    </row>
    <row r="26" spans="2:12" x14ac:dyDescent="0.25">
      <c r="B26" s="279" t="s">
        <v>509</v>
      </c>
      <c r="C26" s="279" t="s">
        <v>486</v>
      </c>
      <c r="D26" s="279" t="s">
        <v>513</v>
      </c>
      <c r="E26" s="279" t="s">
        <v>511</v>
      </c>
      <c r="F26" s="279" t="s">
        <v>514</v>
      </c>
      <c r="G26" s="279" t="s">
        <v>319</v>
      </c>
      <c r="H26" s="279" t="s">
        <v>92</v>
      </c>
      <c r="I26" s="280">
        <v>359.58</v>
      </c>
      <c r="J26" s="280">
        <v>9641.1200000000026</v>
      </c>
      <c r="K26" s="279" t="s">
        <v>515</v>
      </c>
      <c r="L26" s="279" t="str">
        <f>VLOOKUP(K26,'[1]Project Sheet'!$A$2:$A$46,1,0)</f>
        <v>27290-0-World Leaders</v>
      </c>
    </row>
    <row r="27" spans="2:12" x14ac:dyDescent="0.25">
      <c r="B27" s="279" t="s">
        <v>509</v>
      </c>
      <c r="C27" s="279" t="s">
        <v>486</v>
      </c>
      <c r="D27" s="279" t="s">
        <v>513</v>
      </c>
      <c r="E27" s="279" t="s">
        <v>511</v>
      </c>
      <c r="F27" s="279" t="s">
        <v>516</v>
      </c>
      <c r="G27" s="279" t="s">
        <v>319</v>
      </c>
      <c r="H27" s="279" t="s">
        <v>92</v>
      </c>
      <c r="I27" s="280">
        <v>305.87</v>
      </c>
      <c r="J27" s="280">
        <v>9946.9900000000034</v>
      </c>
      <c r="K27" s="279" t="s">
        <v>515</v>
      </c>
      <c r="L27" s="279" t="str">
        <f>VLOOKUP(K27,'[1]Project Sheet'!$A$2:$A$46,1,0)</f>
        <v>27290-0-World Leaders</v>
      </c>
    </row>
    <row r="28" spans="2:12" x14ac:dyDescent="0.25">
      <c r="B28" s="279" t="s">
        <v>509</v>
      </c>
      <c r="C28" s="279" t="s">
        <v>486</v>
      </c>
      <c r="D28" s="279" t="s">
        <v>517</v>
      </c>
      <c r="E28" s="279" t="s">
        <v>511</v>
      </c>
      <c r="F28" s="279" t="s">
        <v>518</v>
      </c>
      <c r="G28" s="279" t="s">
        <v>319</v>
      </c>
      <c r="H28" s="279" t="s">
        <v>92</v>
      </c>
      <c r="I28" s="280">
        <v>180.87</v>
      </c>
      <c r="J28" s="280">
        <v>10127.860000000004</v>
      </c>
      <c r="K28" s="279" t="s">
        <v>519</v>
      </c>
      <c r="L28" s="279" t="str">
        <f>VLOOKUP(K28,'[1]Project Sheet'!$A$2:$A$46,1,0)</f>
        <v>27292-0-Look N See</v>
      </c>
    </row>
    <row r="29" spans="2:12" x14ac:dyDescent="0.25">
      <c r="B29" s="279" t="s">
        <v>509</v>
      </c>
      <c r="C29" s="279" t="s">
        <v>486</v>
      </c>
      <c r="D29" s="279" t="s">
        <v>517</v>
      </c>
      <c r="E29" s="279" t="s">
        <v>511</v>
      </c>
      <c r="F29" s="279" t="s">
        <v>520</v>
      </c>
      <c r="G29" s="279" t="s">
        <v>319</v>
      </c>
      <c r="H29" s="279" t="s">
        <v>92</v>
      </c>
      <c r="I29" s="280">
        <v>139.93</v>
      </c>
      <c r="J29" s="280">
        <v>10267.790000000005</v>
      </c>
      <c r="K29" s="279" t="s">
        <v>519</v>
      </c>
      <c r="L29" s="279" t="str">
        <f>VLOOKUP(K29,'[1]Project Sheet'!$A$2:$A$46,1,0)</f>
        <v>27292-0-Look N See</v>
      </c>
    </row>
    <row r="30" spans="2:12" x14ac:dyDescent="0.25">
      <c r="B30" s="279" t="s">
        <v>509</v>
      </c>
      <c r="C30" s="279" t="s">
        <v>486</v>
      </c>
      <c r="D30" s="279" t="s">
        <v>521</v>
      </c>
      <c r="E30" s="279" t="s">
        <v>511</v>
      </c>
      <c r="F30" s="279" t="s">
        <v>522</v>
      </c>
      <c r="G30" s="279" t="s">
        <v>319</v>
      </c>
      <c r="H30" s="279" t="s">
        <v>92</v>
      </c>
      <c r="I30" s="280">
        <v>104.18</v>
      </c>
      <c r="J30" s="280">
        <v>10371.970000000005</v>
      </c>
      <c r="K30" s="279" t="s">
        <v>523</v>
      </c>
      <c r="L30" s="279" t="str">
        <f>VLOOKUP(K30,'[1]Project Sheet'!$A$2:$A$46,1,0)</f>
        <v>27289-0-Elite In Memoriam</v>
      </c>
    </row>
    <row r="31" spans="2:12" x14ac:dyDescent="0.25">
      <c r="B31" s="279" t="s">
        <v>509</v>
      </c>
      <c r="C31" s="279" t="s">
        <v>486</v>
      </c>
      <c r="D31" s="279" t="s">
        <v>521</v>
      </c>
      <c r="E31" s="279" t="s">
        <v>511</v>
      </c>
      <c r="F31" s="279" t="s">
        <v>524</v>
      </c>
      <c r="G31" s="279" t="s">
        <v>319</v>
      </c>
      <c r="H31" s="279" t="s">
        <v>92</v>
      </c>
      <c r="I31" s="280">
        <v>104.18</v>
      </c>
      <c r="J31" s="280">
        <v>10476.150000000005</v>
      </c>
      <c r="K31" s="279" t="s">
        <v>523</v>
      </c>
      <c r="L31" s="279" t="str">
        <f>VLOOKUP(K31,'[1]Project Sheet'!$A$2:$A$46,1,0)</f>
        <v>27289-0-Elite In Memoriam</v>
      </c>
    </row>
    <row r="32" spans="2:12" x14ac:dyDescent="0.25">
      <c r="B32" s="279" t="s">
        <v>509</v>
      </c>
      <c r="C32" s="279" t="s">
        <v>486</v>
      </c>
      <c r="D32" s="279" t="s">
        <v>525</v>
      </c>
      <c r="E32" s="279" t="s">
        <v>511</v>
      </c>
      <c r="F32" s="279" t="s">
        <v>526</v>
      </c>
      <c r="G32" s="279" t="s">
        <v>319</v>
      </c>
      <c r="H32" s="279" t="s">
        <v>92</v>
      </c>
      <c r="I32" s="280">
        <v>548.03</v>
      </c>
      <c r="J32" s="280">
        <v>11024.180000000006</v>
      </c>
      <c r="K32" s="279" t="s">
        <v>527</v>
      </c>
      <c r="L32" s="279" t="str">
        <f>VLOOKUP(K32,'[1]Project Sheet'!$A$2:$A$46,1,0)</f>
        <v>27305-0-2025 Leaf Glory of the Game Basketball</v>
      </c>
    </row>
    <row r="33" spans="2:12" x14ac:dyDescent="0.25">
      <c r="B33" s="279" t="s">
        <v>509</v>
      </c>
      <c r="C33" s="279" t="s">
        <v>486</v>
      </c>
      <c r="D33" s="279" t="s">
        <v>525</v>
      </c>
      <c r="E33" s="279" t="s">
        <v>511</v>
      </c>
      <c r="F33" s="279" t="s">
        <v>528</v>
      </c>
      <c r="G33" s="279" t="s">
        <v>319</v>
      </c>
      <c r="H33" s="279" t="s">
        <v>92</v>
      </c>
      <c r="I33" s="280">
        <v>164.41</v>
      </c>
      <c r="J33" s="280">
        <v>11188.590000000006</v>
      </c>
      <c r="K33" s="279" t="s">
        <v>527</v>
      </c>
      <c r="L33" s="279" t="str">
        <f>VLOOKUP(K33,'[1]Project Sheet'!$A$2:$A$46,1,0)</f>
        <v>27305-0-2025 Leaf Glory of the Game Basketball</v>
      </c>
    </row>
    <row r="34" spans="2:12" x14ac:dyDescent="0.25">
      <c r="B34" s="279" t="s">
        <v>509</v>
      </c>
      <c r="C34" s="279" t="s">
        <v>486</v>
      </c>
      <c r="D34" s="279" t="s">
        <v>525</v>
      </c>
      <c r="E34" s="279" t="s">
        <v>511</v>
      </c>
      <c r="F34" s="279" t="s">
        <v>529</v>
      </c>
      <c r="G34" s="279" t="s">
        <v>319</v>
      </c>
      <c r="H34" s="279" t="s">
        <v>92</v>
      </c>
      <c r="I34" s="280">
        <v>49.82</v>
      </c>
      <c r="J34" s="280">
        <v>11238.410000000005</v>
      </c>
      <c r="K34" s="279" t="s">
        <v>527</v>
      </c>
      <c r="L34" s="279" t="str">
        <f>VLOOKUP(K34,'[1]Project Sheet'!$A$2:$A$46,1,0)</f>
        <v>27305-0-2025 Leaf Glory of the Game Basketball</v>
      </c>
    </row>
    <row r="35" spans="2:12" x14ac:dyDescent="0.25">
      <c r="B35" s="279" t="s">
        <v>509</v>
      </c>
      <c r="C35" s="279" t="s">
        <v>486</v>
      </c>
      <c r="D35" s="279" t="s">
        <v>525</v>
      </c>
      <c r="E35" s="279" t="s">
        <v>511</v>
      </c>
      <c r="F35" s="279" t="s">
        <v>530</v>
      </c>
      <c r="G35" s="279" t="s">
        <v>319</v>
      </c>
      <c r="H35" s="279" t="s">
        <v>92</v>
      </c>
      <c r="I35" s="280">
        <v>49.82</v>
      </c>
      <c r="J35" s="280">
        <v>11288.230000000005</v>
      </c>
      <c r="K35" s="279" t="s">
        <v>527</v>
      </c>
      <c r="L35" s="279" t="str">
        <f>VLOOKUP(K35,'[1]Project Sheet'!$A$2:$A$46,1,0)</f>
        <v>27305-0-2025 Leaf Glory of the Game Basketball</v>
      </c>
    </row>
    <row r="36" spans="2:12" x14ac:dyDescent="0.25">
      <c r="B36" s="279" t="s">
        <v>509</v>
      </c>
      <c r="C36" s="279" t="s">
        <v>486</v>
      </c>
      <c r="D36" s="279" t="s">
        <v>525</v>
      </c>
      <c r="E36" s="279" t="s">
        <v>511</v>
      </c>
      <c r="F36" s="279" t="s">
        <v>531</v>
      </c>
      <c r="G36" s="279" t="s">
        <v>319</v>
      </c>
      <c r="H36" s="279" t="s">
        <v>92</v>
      </c>
      <c r="I36" s="280">
        <v>493.23</v>
      </c>
      <c r="J36" s="280">
        <v>11781.460000000005</v>
      </c>
      <c r="K36" s="279" t="s">
        <v>527</v>
      </c>
      <c r="L36" s="279" t="str">
        <f>VLOOKUP(K36,'[1]Project Sheet'!$A$2:$A$46,1,0)</f>
        <v>27305-0-2025 Leaf Glory of the Game Basketball</v>
      </c>
    </row>
    <row r="37" spans="2:12" x14ac:dyDescent="0.25">
      <c r="B37" s="279" t="s">
        <v>509</v>
      </c>
      <c r="C37" s="279" t="s">
        <v>486</v>
      </c>
      <c r="D37" s="279" t="s">
        <v>525</v>
      </c>
      <c r="E37" s="279" t="s">
        <v>511</v>
      </c>
      <c r="F37" s="279" t="s">
        <v>526</v>
      </c>
      <c r="G37" s="279" t="s">
        <v>319</v>
      </c>
      <c r="H37" s="279" t="s">
        <v>92</v>
      </c>
      <c r="I37" s="280">
        <v>448.65</v>
      </c>
      <c r="J37" s="280">
        <v>12230.110000000004</v>
      </c>
      <c r="K37" s="279" t="s">
        <v>527</v>
      </c>
      <c r="L37" s="279" t="str">
        <f>VLOOKUP(K37,'[1]Project Sheet'!$A$2:$A$46,1,0)</f>
        <v>27305-0-2025 Leaf Glory of the Game Basketball</v>
      </c>
    </row>
    <row r="38" spans="2:12" x14ac:dyDescent="0.25">
      <c r="B38" s="279" t="s">
        <v>509</v>
      </c>
      <c r="C38" s="279" t="s">
        <v>486</v>
      </c>
      <c r="D38" s="279" t="s">
        <v>525</v>
      </c>
      <c r="E38" s="279" t="s">
        <v>511</v>
      </c>
      <c r="F38" s="279" t="s">
        <v>528</v>
      </c>
      <c r="G38" s="279" t="s">
        <v>319</v>
      </c>
      <c r="H38" s="279" t="s">
        <v>92</v>
      </c>
      <c r="I38" s="280">
        <v>192.28</v>
      </c>
      <c r="J38" s="280">
        <v>12422.390000000005</v>
      </c>
      <c r="K38" s="279" t="s">
        <v>527</v>
      </c>
      <c r="L38" s="279" t="str">
        <f>VLOOKUP(K38,'[1]Project Sheet'!$A$2:$A$46,1,0)</f>
        <v>27305-0-2025 Leaf Glory of the Game Basketball</v>
      </c>
    </row>
    <row r="39" spans="2:12" x14ac:dyDescent="0.25">
      <c r="B39" s="279" t="s">
        <v>509</v>
      </c>
      <c r="C39" s="279" t="s">
        <v>486</v>
      </c>
      <c r="D39" s="279" t="s">
        <v>525</v>
      </c>
      <c r="E39" s="279" t="s">
        <v>511</v>
      </c>
      <c r="F39" s="279" t="s">
        <v>529</v>
      </c>
      <c r="G39" s="279" t="s">
        <v>319</v>
      </c>
      <c r="H39" s="279" t="s">
        <v>92</v>
      </c>
      <c r="I39" s="280">
        <v>34.96</v>
      </c>
      <c r="J39" s="280">
        <v>12457.350000000004</v>
      </c>
      <c r="K39" s="279" t="s">
        <v>527</v>
      </c>
      <c r="L39" s="279" t="str">
        <f>VLOOKUP(K39,'[1]Project Sheet'!$A$2:$A$46,1,0)</f>
        <v>27305-0-2025 Leaf Glory of the Game Basketball</v>
      </c>
    </row>
    <row r="40" spans="2:12" x14ac:dyDescent="0.25">
      <c r="B40" s="279" t="s">
        <v>509</v>
      </c>
      <c r="C40" s="279" t="s">
        <v>486</v>
      </c>
      <c r="D40" s="279" t="s">
        <v>525</v>
      </c>
      <c r="E40" s="279" t="s">
        <v>511</v>
      </c>
      <c r="F40" s="279" t="s">
        <v>530</v>
      </c>
      <c r="G40" s="279" t="s">
        <v>319</v>
      </c>
      <c r="H40" s="279" t="s">
        <v>92</v>
      </c>
      <c r="I40" s="280">
        <v>34.96</v>
      </c>
      <c r="J40" s="280">
        <v>12492.310000000003</v>
      </c>
      <c r="K40" s="279" t="s">
        <v>527</v>
      </c>
      <c r="L40" s="279" t="str">
        <f>VLOOKUP(K40,'[1]Project Sheet'!$A$2:$A$46,1,0)</f>
        <v>27305-0-2025 Leaf Glory of the Game Basketball</v>
      </c>
    </row>
    <row r="41" spans="2:12" x14ac:dyDescent="0.25">
      <c r="B41" s="279" t="s">
        <v>509</v>
      </c>
      <c r="C41" s="279" t="s">
        <v>486</v>
      </c>
      <c r="D41" s="279" t="s">
        <v>525</v>
      </c>
      <c r="E41" s="279" t="s">
        <v>511</v>
      </c>
      <c r="F41" s="279" t="s">
        <v>531</v>
      </c>
      <c r="G41" s="279" t="s">
        <v>319</v>
      </c>
      <c r="H41" s="279" t="s">
        <v>92</v>
      </c>
      <c r="I41" s="280">
        <v>384.55</v>
      </c>
      <c r="J41" s="280">
        <v>12876.860000000002</v>
      </c>
      <c r="K41" s="279" t="s">
        <v>527</v>
      </c>
      <c r="L41" s="279" t="str">
        <f>VLOOKUP(K41,'[1]Project Sheet'!$A$2:$A$46,1,0)</f>
        <v>27305-0-2025 Leaf Glory of the Game Basketball</v>
      </c>
    </row>
    <row r="42" spans="2:12" x14ac:dyDescent="0.25">
      <c r="B42" s="279" t="s">
        <v>509</v>
      </c>
      <c r="C42" s="279" t="s">
        <v>486</v>
      </c>
      <c r="D42" s="279" t="s">
        <v>532</v>
      </c>
      <c r="E42" s="279" t="s">
        <v>511</v>
      </c>
      <c r="F42" s="279" t="s">
        <v>533</v>
      </c>
      <c r="G42" s="279" t="s">
        <v>319</v>
      </c>
      <c r="H42" s="279" t="s">
        <v>92</v>
      </c>
      <c r="I42" s="280">
        <v>295.87</v>
      </c>
      <c r="J42" s="280">
        <v>13172.730000000003</v>
      </c>
      <c r="K42" s="279" t="s">
        <v>527</v>
      </c>
      <c r="L42" s="279" t="str">
        <f>VLOOKUP(K42,'[1]Project Sheet'!$A$2:$A$46,1,0)</f>
        <v>27305-0-2025 Leaf Glory of the Game Basketball</v>
      </c>
    </row>
    <row r="43" spans="2:12" x14ac:dyDescent="0.25">
      <c r="B43" s="279" t="s">
        <v>509</v>
      </c>
      <c r="C43" s="279" t="s">
        <v>486</v>
      </c>
      <c r="D43" s="279" t="s">
        <v>532</v>
      </c>
      <c r="E43" s="279" t="s">
        <v>511</v>
      </c>
      <c r="F43" s="279" t="s">
        <v>534</v>
      </c>
      <c r="G43" s="279" t="s">
        <v>319</v>
      </c>
      <c r="H43" s="279" t="s">
        <v>92</v>
      </c>
      <c r="I43" s="280">
        <v>507.28</v>
      </c>
      <c r="J43" s="280">
        <v>13680.010000000004</v>
      </c>
      <c r="K43" s="279" t="s">
        <v>527</v>
      </c>
      <c r="L43" s="279" t="str">
        <f>VLOOKUP(K43,'[1]Project Sheet'!$A$2:$A$46,1,0)</f>
        <v>27305-0-2025 Leaf Glory of the Game Basketball</v>
      </c>
    </row>
    <row r="44" spans="2:12" x14ac:dyDescent="0.25">
      <c r="B44" s="279" t="s">
        <v>509</v>
      </c>
      <c r="C44" s="279" t="s">
        <v>486</v>
      </c>
      <c r="D44" s="279" t="s">
        <v>532</v>
      </c>
      <c r="E44" s="279" t="s">
        <v>511</v>
      </c>
      <c r="F44" s="279" t="s">
        <v>535</v>
      </c>
      <c r="G44" s="279" t="s">
        <v>319</v>
      </c>
      <c r="H44" s="279" t="s">
        <v>92</v>
      </c>
      <c r="I44" s="280">
        <v>391.63</v>
      </c>
      <c r="J44" s="280">
        <v>14071.640000000003</v>
      </c>
      <c r="K44" s="279" t="s">
        <v>527</v>
      </c>
      <c r="L44" s="279" t="str">
        <f>VLOOKUP(K44,'[1]Project Sheet'!$A$2:$A$46,1,0)</f>
        <v>27305-0-2025 Leaf Glory of the Game Basketball</v>
      </c>
    </row>
    <row r="45" spans="2:12" x14ac:dyDescent="0.25">
      <c r="B45" s="279" t="s">
        <v>509</v>
      </c>
      <c r="C45" s="279" t="s">
        <v>486</v>
      </c>
      <c r="D45" s="279" t="s">
        <v>532</v>
      </c>
      <c r="E45" s="279" t="s">
        <v>511</v>
      </c>
      <c r="F45" s="279" t="s">
        <v>536</v>
      </c>
      <c r="G45" s="279" t="s">
        <v>319</v>
      </c>
      <c r="H45" s="279" t="s">
        <v>92</v>
      </c>
      <c r="I45" s="280">
        <v>236.76</v>
      </c>
      <c r="J45" s="280">
        <v>14308.400000000003</v>
      </c>
      <c r="K45" s="279" t="s">
        <v>527</v>
      </c>
      <c r="L45" s="279" t="str">
        <f>VLOOKUP(K45,'[1]Project Sheet'!$A$2:$A$46,1,0)</f>
        <v>27305-0-2025 Leaf Glory of the Game Basketball</v>
      </c>
    </row>
    <row r="46" spans="2:12" x14ac:dyDescent="0.25">
      <c r="B46" s="279" t="s">
        <v>537</v>
      </c>
      <c r="C46" s="279" t="s">
        <v>486</v>
      </c>
      <c r="D46" s="279" t="s">
        <v>538</v>
      </c>
      <c r="E46" s="279" t="s">
        <v>539</v>
      </c>
      <c r="F46" s="279" t="s">
        <v>540</v>
      </c>
      <c r="G46" s="279" t="s">
        <v>319</v>
      </c>
      <c r="H46" s="279" t="s">
        <v>92</v>
      </c>
      <c r="I46" s="280">
        <v>76.400000000000006</v>
      </c>
      <c r="J46" s="280">
        <v>14384.800000000003</v>
      </c>
      <c r="K46" s="279" t="s">
        <v>541</v>
      </c>
      <c r="L46" s="279" t="str">
        <f>VLOOKUP(K46,'[1]Project Sheet'!$A$2:$A$46,1,0)</f>
        <v>27240-Decision 2024 Money Cards</v>
      </c>
    </row>
    <row r="47" spans="2:12" x14ac:dyDescent="0.25">
      <c r="B47" s="279" t="s">
        <v>402</v>
      </c>
      <c r="C47" s="279" t="s">
        <v>480</v>
      </c>
      <c r="D47" s="279" t="s">
        <v>315</v>
      </c>
      <c r="E47" s="279" t="s">
        <v>542</v>
      </c>
      <c r="F47" s="279" t="s">
        <v>543</v>
      </c>
      <c r="G47" s="279" t="s">
        <v>319</v>
      </c>
      <c r="H47" s="279" t="s">
        <v>483</v>
      </c>
      <c r="I47" s="280">
        <v>119.32</v>
      </c>
      <c r="J47" s="280">
        <v>14504.120000000003</v>
      </c>
      <c r="K47" s="279" t="s">
        <v>544</v>
      </c>
      <c r="L47" s="279" t="str">
        <f>VLOOKUP(K47,'[1]Project Sheet'!$A$2:$A$46,1,0)</f>
        <v>27258-Ecomm On Model photo-shoot</v>
      </c>
    </row>
    <row r="48" spans="2:12" x14ac:dyDescent="0.25">
      <c r="B48" s="279" t="s">
        <v>545</v>
      </c>
      <c r="C48" s="279" t="s">
        <v>486</v>
      </c>
      <c r="D48" s="279" t="s">
        <v>546</v>
      </c>
      <c r="E48" s="279" t="s">
        <v>547</v>
      </c>
      <c r="F48" s="279" t="s">
        <v>548</v>
      </c>
      <c r="G48" s="279" t="s">
        <v>319</v>
      </c>
      <c r="H48" s="279" t="s">
        <v>92</v>
      </c>
      <c r="I48" s="280">
        <v>105</v>
      </c>
      <c r="J48" s="280">
        <v>14609.120000000003</v>
      </c>
      <c r="K48" s="279" t="s">
        <v>549</v>
      </c>
      <c r="L48" s="279" t="str">
        <f>VLOOKUP(K48,'[1]Project Sheet'!$A$2:$A$46,1,0)</f>
        <v>27239-Bench Warmer International Inc Decision 2024 Political Flags</v>
      </c>
    </row>
    <row r="49" spans="2:12" x14ac:dyDescent="0.25">
      <c r="B49" s="279" t="s">
        <v>545</v>
      </c>
      <c r="C49" s="279" t="s">
        <v>486</v>
      </c>
      <c r="D49" s="279" t="s">
        <v>546</v>
      </c>
      <c r="E49" s="279" t="s">
        <v>547</v>
      </c>
      <c r="F49" s="279" t="s">
        <v>550</v>
      </c>
      <c r="G49" s="279" t="s">
        <v>319</v>
      </c>
      <c r="H49" s="279" t="s">
        <v>92</v>
      </c>
      <c r="I49" s="280">
        <v>42.3</v>
      </c>
      <c r="J49" s="280">
        <v>14651.420000000002</v>
      </c>
      <c r="K49" s="279" t="s">
        <v>549</v>
      </c>
      <c r="L49" s="279" t="str">
        <f>VLOOKUP(K49,'[1]Project Sheet'!$A$2:$A$46,1,0)</f>
        <v>27239-Bench Warmer International Inc Decision 2024 Political Flags</v>
      </c>
    </row>
    <row r="50" spans="2:12" x14ac:dyDescent="0.25">
      <c r="B50" s="279" t="s">
        <v>545</v>
      </c>
      <c r="C50" s="279" t="s">
        <v>486</v>
      </c>
      <c r="D50" s="279" t="s">
        <v>551</v>
      </c>
      <c r="E50" s="279" t="s">
        <v>547</v>
      </c>
      <c r="F50" s="279" t="s">
        <v>552</v>
      </c>
      <c r="G50" s="279" t="s">
        <v>319</v>
      </c>
      <c r="H50" s="279" t="s">
        <v>92</v>
      </c>
      <c r="I50" s="280">
        <v>30</v>
      </c>
      <c r="J50" s="280">
        <v>14681.420000000002</v>
      </c>
      <c r="K50" s="279" t="s">
        <v>429</v>
      </c>
      <c r="L50" s="279" t="str">
        <f>VLOOKUP(K50,'[1]Project Sheet'!$A$2:$A$46,1,0)</f>
        <v>27228-2025 Leaf Lumber Baseball</v>
      </c>
    </row>
    <row r="51" spans="2:12" x14ac:dyDescent="0.25">
      <c r="B51" s="279" t="s">
        <v>545</v>
      </c>
      <c r="C51" s="279" t="s">
        <v>486</v>
      </c>
      <c r="D51" s="279" t="s">
        <v>551</v>
      </c>
      <c r="E51" s="279" t="s">
        <v>547</v>
      </c>
      <c r="F51" s="279" t="s">
        <v>553</v>
      </c>
      <c r="G51" s="279" t="s">
        <v>319</v>
      </c>
      <c r="H51" s="279" t="s">
        <v>92</v>
      </c>
      <c r="I51" s="280">
        <v>135</v>
      </c>
      <c r="J51" s="280">
        <v>14816.420000000002</v>
      </c>
      <c r="K51" s="279" t="s">
        <v>429</v>
      </c>
      <c r="L51" s="279" t="str">
        <f>VLOOKUP(K51,'[1]Project Sheet'!$A$2:$A$46,1,0)</f>
        <v>27228-2025 Leaf Lumber Baseball</v>
      </c>
    </row>
    <row r="52" spans="2:12" x14ac:dyDescent="0.25">
      <c r="B52" s="279" t="s">
        <v>545</v>
      </c>
      <c r="C52" s="279" t="s">
        <v>486</v>
      </c>
      <c r="D52" s="279" t="s">
        <v>551</v>
      </c>
      <c r="E52" s="279" t="s">
        <v>547</v>
      </c>
      <c r="F52" s="279" t="s">
        <v>554</v>
      </c>
      <c r="G52" s="279" t="s">
        <v>319</v>
      </c>
      <c r="H52" s="279" t="s">
        <v>92</v>
      </c>
      <c r="I52" s="280">
        <v>32.4</v>
      </c>
      <c r="J52" s="280">
        <v>14848.820000000002</v>
      </c>
      <c r="K52" s="279" t="s">
        <v>429</v>
      </c>
      <c r="L52" s="279" t="str">
        <f>VLOOKUP(K52,'[1]Project Sheet'!$A$2:$A$46,1,0)</f>
        <v>27228-2025 Leaf Lumber Baseball</v>
      </c>
    </row>
    <row r="53" spans="2:12" x14ac:dyDescent="0.25">
      <c r="B53" s="279" t="s">
        <v>545</v>
      </c>
      <c r="C53" s="279" t="s">
        <v>486</v>
      </c>
      <c r="D53" s="279" t="s">
        <v>555</v>
      </c>
      <c r="E53" s="279" t="s">
        <v>547</v>
      </c>
      <c r="F53" s="279" t="s">
        <v>548</v>
      </c>
      <c r="G53" s="279" t="s">
        <v>319</v>
      </c>
      <c r="H53" s="279" t="s">
        <v>92</v>
      </c>
      <c r="I53" s="280">
        <v>105</v>
      </c>
      <c r="J53" s="280">
        <v>14953.820000000002</v>
      </c>
      <c r="K53" s="279" t="s">
        <v>556</v>
      </c>
      <c r="L53" s="279" t="str">
        <f>VLOOKUP(K53,'[1]Project Sheet'!$A$2:$A$46,1,0)</f>
        <v>27282-0-Decision 2024 • Pieces of America (POA)</v>
      </c>
    </row>
    <row r="54" spans="2:12" x14ac:dyDescent="0.25">
      <c r="B54" s="279" t="s">
        <v>545</v>
      </c>
      <c r="C54" s="279" t="s">
        <v>486</v>
      </c>
      <c r="D54" s="279" t="s">
        <v>555</v>
      </c>
      <c r="E54" s="279" t="s">
        <v>547</v>
      </c>
      <c r="F54" s="279" t="s">
        <v>557</v>
      </c>
      <c r="G54" s="279" t="s">
        <v>319</v>
      </c>
      <c r="H54" s="279" t="s">
        <v>92</v>
      </c>
      <c r="I54" s="280">
        <v>18</v>
      </c>
      <c r="J54" s="280">
        <v>14971.820000000002</v>
      </c>
      <c r="K54" s="279" t="s">
        <v>556</v>
      </c>
      <c r="L54" s="279" t="str">
        <f>VLOOKUP(K54,'[1]Project Sheet'!$A$2:$A$46,1,0)</f>
        <v>27282-0-Decision 2024 • Pieces of America (POA)</v>
      </c>
    </row>
    <row r="55" spans="2:12" x14ac:dyDescent="0.25">
      <c r="B55" s="279" t="s">
        <v>545</v>
      </c>
      <c r="C55" s="279" t="s">
        <v>480</v>
      </c>
      <c r="D55" s="279" t="s">
        <v>315</v>
      </c>
      <c r="E55" s="279" t="s">
        <v>558</v>
      </c>
      <c r="F55" s="279" t="s">
        <v>559</v>
      </c>
      <c r="G55" s="279" t="s">
        <v>319</v>
      </c>
      <c r="H55" s="279" t="s">
        <v>483</v>
      </c>
      <c r="I55" s="280">
        <v>31.86</v>
      </c>
      <c r="J55" s="280">
        <v>16437.38</v>
      </c>
      <c r="K55" s="279" t="s">
        <v>544</v>
      </c>
      <c r="L55" s="279" t="str">
        <f>VLOOKUP(K55,'[1]Project Sheet'!$A$2:$A$46,1,0)</f>
        <v>27258-Ecomm On Model photo-shoot</v>
      </c>
    </row>
    <row r="56" spans="2:12" x14ac:dyDescent="0.25">
      <c r="B56" s="279" t="s">
        <v>545</v>
      </c>
      <c r="C56" s="279" t="s">
        <v>480</v>
      </c>
      <c r="D56" s="279" t="s">
        <v>315</v>
      </c>
      <c r="E56" s="279" t="s">
        <v>506</v>
      </c>
      <c r="F56" s="279" t="s">
        <v>560</v>
      </c>
      <c r="G56" s="279" t="s">
        <v>319</v>
      </c>
      <c r="H56" s="279" t="s">
        <v>483</v>
      </c>
      <c r="I56" s="280">
        <v>236.68</v>
      </c>
      <c r="J56" s="280">
        <v>16674.060000000001</v>
      </c>
      <c r="K56" s="279" t="s">
        <v>544</v>
      </c>
      <c r="L56" s="279" t="str">
        <f>VLOOKUP(K56,'[1]Project Sheet'!$A$2:$A$46,1,0)</f>
        <v>27258-Ecomm On Model photo-shoot</v>
      </c>
    </row>
    <row r="57" spans="2:12" x14ac:dyDescent="0.25">
      <c r="B57" s="279" t="s">
        <v>545</v>
      </c>
      <c r="C57" s="279" t="s">
        <v>480</v>
      </c>
      <c r="D57" s="279" t="s">
        <v>315</v>
      </c>
      <c r="E57" s="279" t="s">
        <v>561</v>
      </c>
      <c r="F57" s="279" t="s">
        <v>562</v>
      </c>
      <c r="G57" s="279" t="s">
        <v>319</v>
      </c>
      <c r="H57" s="279" t="s">
        <v>483</v>
      </c>
      <c r="I57" s="280">
        <v>70.56</v>
      </c>
      <c r="J57" s="280">
        <v>16744.620000000003</v>
      </c>
      <c r="K57" s="279" t="s">
        <v>544</v>
      </c>
      <c r="L57" s="279" t="str">
        <f>VLOOKUP(K57,'[1]Project Sheet'!$A$2:$A$46,1,0)</f>
        <v>27258-Ecomm On Model photo-shoot</v>
      </c>
    </row>
    <row r="58" spans="2:12" x14ac:dyDescent="0.25">
      <c r="B58" s="279" t="s">
        <v>563</v>
      </c>
      <c r="C58" s="279" t="s">
        <v>480</v>
      </c>
      <c r="D58" s="279" t="s">
        <v>315</v>
      </c>
      <c r="E58" s="279" t="s">
        <v>561</v>
      </c>
      <c r="F58" s="279" t="s">
        <v>564</v>
      </c>
      <c r="G58" s="279" t="s">
        <v>319</v>
      </c>
      <c r="H58" s="279" t="s">
        <v>483</v>
      </c>
      <c r="I58" s="280">
        <v>42.34</v>
      </c>
      <c r="J58" s="280">
        <v>17229.990000000002</v>
      </c>
      <c r="K58" s="279" t="s">
        <v>544</v>
      </c>
      <c r="L58" s="279" t="str">
        <f>VLOOKUP(K58,'[1]Project Sheet'!$A$2:$A$46,1,0)</f>
        <v>27258-Ecomm On Model photo-shoot</v>
      </c>
    </row>
    <row r="59" spans="2:12" x14ac:dyDescent="0.25">
      <c r="B59" s="279" t="s">
        <v>563</v>
      </c>
      <c r="C59" s="279" t="s">
        <v>480</v>
      </c>
      <c r="D59" s="279" t="s">
        <v>315</v>
      </c>
      <c r="E59" s="279" t="s">
        <v>565</v>
      </c>
      <c r="F59" s="279" t="s">
        <v>566</v>
      </c>
      <c r="G59" s="279" t="s">
        <v>319</v>
      </c>
      <c r="H59" s="279" t="s">
        <v>483</v>
      </c>
      <c r="I59" s="280">
        <v>38.950000000000003</v>
      </c>
      <c r="J59" s="280">
        <v>17268.940000000002</v>
      </c>
      <c r="K59" s="279" t="s">
        <v>567</v>
      </c>
      <c r="L59" s="279" t="str">
        <f>VLOOKUP(K59,'[1]Project Sheet'!$A$2:$A$46,1,0)</f>
        <v>27238-Decision 2024 Political Gems - 18 subjects</v>
      </c>
    </row>
    <row r="60" spans="2:12" x14ac:dyDescent="0.25">
      <c r="B60" s="279" t="s">
        <v>568</v>
      </c>
      <c r="C60" s="279" t="s">
        <v>486</v>
      </c>
      <c r="D60" s="279" t="s">
        <v>569</v>
      </c>
      <c r="E60" s="279" t="s">
        <v>511</v>
      </c>
      <c r="F60" s="279" t="s">
        <v>570</v>
      </c>
      <c r="G60" s="279" t="s">
        <v>319</v>
      </c>
      <c r="H60" s="279" t="s">
        <v>92</v>
      </c>
      <c r="I60" s="280">
        <v>291.04000000000002</v>
      </c>
      <c r="J60" s="280">
        <v>17559.980000000003</v>
      </c>
      <c r="K60" s="279" t="s">
        <v>429</v>
      </c>
      <c r="L60" s="279" t="str">
        <f>VLOOKUP(K60,'[1]Project Sheet'!$A$2:$A$46,1,0)</f>
        <v>27228-2025 Leaf Lumber Baseball</v>
      </c>
    </row>
    <row r="61" spans="2:12" x14ac:dyDescent="0.25">
      <c r="B61" s="279" t="s">
        <v>568</v>
      </c>
      <c r="C61" s="279" t="s">
        <v>486</v>
      </c>
      <c r="D61" s="279" t="s">
        <v>571</v>
      </c>
      <c r="E61" s="279" t="s">
        <v>572</v>
      </c>
      <c r="F61" s="279" t="s">
        <v>573</v>
      </c>
      <c r="G61" s="279" t="s">
        <v>319</v>
      </c>
      <c r="H61" s="279" t="s">
        <v>92</v>
      </c>
      <c r="I61" s="280">
        <v>166.06</v>
      </c>
      <c r="J61" s="280">
        <v>17726.040000000005</v>
      </c>
      <c r="K61" s="279" t="s">
        <v>574</v>
      </c>
      <c r="L61" s="279" t="str">
        <f>VLOOKUP(K61,'[1]Project Sheet'!$A$2:$A$46,1,0)</f>
        <v>J400015-2027 Fleer Ultra Golf Double Trouble Dual Autos</v>
      </c>
    </row>
    <row r="62" spans="2:12" x14ac:dyDescent="0.25">
      <c r="B62" s="279" t="s">
        <v>568</v>
      </c>
      <c r="C62" s="279" t="s">
        <v>486</v>
      </c>
      <c r="D62" s="279" t="s">
        <v>575</v>
      </c>
      <c r="E62" s="279" t="s">
        <v>511</v>
      </c>
      <c r="F62" s="279" t="s">
        <v>576</v>
      </c>
      <c r="G62" s="279" t="s">
        <v>319</v>
      </c>
      <c r="H62" s="279" t="s">
        <v>92</v>
      </c>
      <c r="I62" s="280">
        <v>1272.99</v>
      </c>
      <c r="J62" s="280">
        <v>18999.030000000006</v>
      </c>
      <c r="K62" s="279" t="s">
        <v>527</v>
      </c>
      <c r="L62" s="279" t="str">
        <f>VLOOKUP(K62,'[1]Project Sheet'!$A$2:$A$46,1,0)</f>
        <v>27305-0-2025 Leaf Glory of the Game Basketball</v>
      </c>
    </row>
    <row r="63" spans="2:12" x14ac:dyDescent="0.25">
      <c r="B63" s="279" t="s">
        <v>568</v>
      </c>
      <c r="C63" s="279" t="s">
        <v>486</v>
      </c>
      <c r="D63" s="279" t="s">
        <v>575</v>
      </c>
      <c r="E63" s="279" t="s">
        <v>511</v>
      </c>
      <c r="F63" s="279" t="s">
        <v>577</v>
      </c>
      <c r="G63" s="279" t="s">
        <v>319</v>
      </c>
      <c r="H63" s="279" t="s">
        <v>92</v>
      </c>
      <c r="I63" s="280">
        <v>1170.02</v>
      </c>
      <c r="J63" s="280">
        <v>20169.050000000007</v>
      </c>
      <c r="K63" s="279" t="s">
        <v>527</v>
      </c>
      <c r="L63" s="279" t="str">
        <f>VLOOKUP(K63,'[1]Project Sheet'!$A$2:$A$46,1,0)</f>
        <v>27305-0-2025 Leaf Glory of the Game Basketball</v>
      </c>
    </row>
    <row r="64" spans="2:12" x14ac:dyDescent="0.25">
      <c r="B64" s="279" t="s">
        <v>568</v>
      </c>
      <c r="C64" s="279" t="s">
        <v>486</v>
      </c>
      <c r="D64" s="279" t="s">
        <v>575</v>
      </c>
      <c r="E64" s="279" t="s">
        <v>511</v>
      </c>
      <c r="F64" s="279" t="s">
        <v>578</v>
      </c>
      <c r="G64" s="279" t="s">
        <v>319</v>
      </c>
      <c r="H64" s="279" t="s">
        <v>92</v>
      </c>
      <c r="I64" s="280">
        <v>748.82</v>
      </c>
      <c r="J64" s="280">
        <v>20917.870000000006</v>
      </c>
      <c r="K64" s="279" t="s">
        <v>527</v>
      </c>
      <c r="L64" s="279" t="str">
        <f>VLOOKUP(K64,'[1]Project Sheet'!$A$2:$A$46,1,0)</f>
        <v>27305-0-2025 Leaf Glory of the Game Basketball</v>
      </c>
    </row>
    <row r="65" spans="2:12" x14ac:dyDescent="0.25">
      <c r="B65" s="279" t="s">
        <v>568</v>
      </c>
      <c r="C65" s="279" t="s">
        <v>486</v>
      </c>
      <c r="D65" s="279" t="s">
        <v>575</v>
      </c>
      <c r="E65" s="279" t="s">
        <v>511</v>
      </c>
      <c r="F65" s="279" t="s">
        <v>579</v>
      </c>
      <c r="G65" s="279" t="s">
        <v>319</v>
      </c>
      <c r="H65" s="279" t="s">
        <v>92</v>
      </c>
      <c r="I65" s="280">
        <v>2808.06</v>
      </c>
      <c r="J65" s="280">
        <v>23725.930000000008</v>
      </c>
      <c r="K65" s="279" t="s">
        <v>527</v>
      </c>
      <c r="L65" s="279" t="str">
        <f>VLOOKUP(K65,'[1]Project Sheet'!$A$2:$A$46,1,0)</f>
        <v>27305-0-2025 Leaf Glory of the Game Basketball</v>
      </c>
    </row>
    <row r="66" spans="2:12" x14ac:dyDescent="0.25">
      <c r="B66" s="279" t="s">
        <v>568</v>
      </c>
      <c r="C66" s="279" t="s">
        <v>486</v>
      </c>
      <c r="D66" s="279" t="s">
        <v>575</v>
      </c>
      <c r="E66" s="279" t="s">
        <v>511</v>
      </c>
      <c r="F66" s="279" t="s">
        <v>580</v>
      </c>
      <c r="G66" s="279" t="s">
        <v>319</v>
      </c>
      <c r="H66" s="279" t="s">
        <v>92</v>
      </c>
      <c r="I66" s="280">
        <v>561.61</v>
      </c>
      <c r="J66" s="280">
        <v>24287.540000000008</v>
      </c>
      <c r="K66" s="279" t="s">
        <v>527</v>
      </c>
      <c r="L66" s="279" t="str">
        <f>VLOOKUP(K66,'[1]Project Sheet'!$A$2:$A$46,1,0)</f>
        <v>27305-0-2025 Leaf Glory of the Game Basketball</v>
      </c>
    </row>
    <row r="67" spans="2:12" x14ac:dyDescent="0.25">
      <c r="B67" s="279" t="s">
        <v>568</v>
      </c>
      <c r="C67" s="279" t="s">
        <v>486</v>
      </c>
      <c r="D67" s="279" t="s">
        <v>575</v>
      </c>
      <c r="E67" s="279" t="s">
        <v>511</v>
      </c>
      <c r="F67" s="279" t="s">
        <v>581</v>
      </c>
      <c r="G67" s="279" t="s">
        <v>319</v>
      </c>
      <c r="H67" s="279" t="s">
        <v>92</v>
      </c>
      <c r="I67" s="280">
        <v>702.01</v>
      </c>
      <c r="J67" s="280">
        <v>24989.550000000007</v>
      </c>
      <c r="K67" s="279" t="s">
        <v>527</v>
      </c>
      <c r="L67" s="279" t="str">
        <f>VLOOKUP(K67,'[1]Project Sheet'!$A$2:$A$46,1,0)</f>
        <v>27305-0-2025 Leaf Glory of the Game Basketball</v>
      </c>
    </row>
    <row r="68" spans="2:12" x14ac:dyDescent="0.25">
      <c r="B68" s="279" t="s">
        <v>568</v>
      </c>
      <c r="C68" s="279" t="s">
        <v>486</v>
      </c>
      <c r="D68" s="279" t="s">
        <v>575</v>
      </c>
      <c r="E68" s="279" t="s">
        <v>511</v>
      </c>
      <c r="F68" s="279" t="s">
        <v>582</v>
      </c>
      <c r="G68" s="279" t="s">
        <v>319</v>
      </c>
      <c r="H68" s="279" t="s">
        <v>92</v>
      </c>
      <c r="I68" s="280">
        <v>1029.6199999999999</v>
      </c>
      <c r="J68" s="280">
        <v>26019.170000000006</v>
      </c>
      <c r="K68" s="279" t="s">
        <v>527</v>
      </c>
      <c r="L68" s="279" t="str">
        <f>VLOOKUP(K68,'[1]Project Sheet'!$A$2:$A$46,1,0)</f>
        <v>27305-0-2025 Leaf Glory of the Game Basketball</v>
      </c>
    </row>
    <row r="69" spans="2:12" x14ac:dyDescent="0.25">
      <c r="B69" s="279" t="s">
        <v>568</v>
      </c>
      <c r="C69" s="279" t="s">
        <v>486</v>
      </c>
      <c r="D69" s="279" t="s">
        <v>575</v>
      </c>
      <c r="E69" s="279" t="s">
        <v>511</v>
      </c>
      <c r="F69" s="279" t="s">
        <v>583</v>
      </c>
      <c r="G69" s="279" t="s">
        <v>319</v>
      </c>
      <c r="H69" s="279" t="s">
        <v>92</v>
      </c>
      <c r="I69" s="280">
        <v>1123.23</v>
      </c>
      <c r="J69" s="280">
        <v>27142.400000000005</v>
      </c>
      <c r="K69" s="279" t="s">
        <v>527</v>
      </c>
      <c r="L69" s="279" t="str">
        <f>VLOOKUP(K69,'[1]Project Sheet'!$A$2:$A$46,1,0)</f>
        <v>27305-0-2025 Leaf Glory of the Game Basketball</v>
      </c>
    </row>
    <row r="70" spans="2:12" x14ac:dyDescent="0.25">
      <c r="B70" s="279" t="s">
        <v>568</v>
      </c>
      <c r="C70" s="279" t="s">
        <v>486</v>
      </c>
      <c r="D70" s="279" t="s">
        <v>575</v>
      </c>
      <c r="E70" s="279" t="s">
        <v>511</v>
      </c>
      <c r="F70" s="279" t="s">
        <v>576</v>
      </c>
      <c r="G70" s="279" t="s">
        <v>319</v>
      </c>
      <c r="H70" s="279" t="s">
        <v>92</v>
      </c>
      <c r="I70" s="280">
        <v>1109.74</v>
      </c>
      <c r="J70" s="280">
        <v>28252.140000000007</v>
      </c>
      <c r="K70" s="279" t="s">
        <v>527</v>
      </c>
      <c r="L70" s="279" t="str">
        <f>VLOOKUP(K70,'[1]Project Sheet'!$A$2:$A$46,1,0)</f>
        <v>27305-0-2025 Leaf Glory of the Game Basketball</v>
      </c>
    </row>
    <row r="71" spans="2:12" x14ac:dyDescent="0.25">
      <c r="B71" s="279" t="s">
        <v>568</v>
      </c>
      <c r="C71" s="279" t="s">
        <v>486</v>
      </c>
      <c r="D71" s="279" t="s">
        <v>575</v>
      </c>
      <c r="E71" s="279" t="s">
        <v>511</v>
      </c>
      <c r="F71" s="279" t="s">
        <v>577</v>
      </c>
      <c r="G71" s="279" t="s">
        <v>319</v>
      </c>
      <c r="H71" s="279" t="s">
        <v>92</v>
      </c>
      <c r="I71" s="280">
        <v>815.99</v>
      </c>
      <c r="J71" s="280">
        <v>29068.130000000008</v>
      </c>
      <c r="K71" s="279" t="s">
        <v>527</v>
      </c>
      <c r="L71" s="279" t="str">
        <f>VLOOKUP(K71,'[1]Project Sheet'!$A$2:$A$46,1,0)</f>
        <v>27305-0-2025 Leaf Glory of the Game Basketball</v>
      </c>
    </row>
    <row r="72" spans="2:12" x14ac:dyDescent="0.25">
      <c r="B72" s="279" t="s">
        <v>568</v>
      </c>
      <c r="C72" s="279" t="s">
        <v>486</v>
      </c>
      <c r="D72" s="279" t="s">
        <v>575</v>
      </c>
      <c r="E72" s="279" t="s">
        <v>511</v>
      </c>
      <c r="F72" s="279" t="s">
        <v>578</v>
      </c>
      <c r="G72" s="279" t="s">
        <v>319</v>
      </c>
      <c r="H72" s="279" t="s">
        <v>92</v>
      </c>
      <c r="I72" s="280">
        <v>652.79</v>
      </c>
      <c r="J72" s="280">
        <v>29720.920000000009</v>
      </c>
      <c r="K72" s="279" t="s">
        <v>527</v>
      </c>
      <c r="L72" s="279" t="str">
        <f>VLOOKUP(K72,'[1]Project Sheet'!$A$2:$A$46,1,0)</f>
        <v>27305-0-2025 Leaf Glory of the Game Basketball</v>
      </c>
    </row>
    <row r="73" spans="2:12" x14ac:dyDescent="0.25">
      <c r="B73" s="279" t="s">
        <v>568</v>
      </c>
      <c r="C73" s="279" t="s">
        <v>486</v>
      </c>
      <c r="D73" s="279" t="s">
        <v>575</v>
      </c>
      <c r="E73" s="279" t="s">
        <v>511</v>
      </c>
      <c r="F73" s="279" t="s">
        <v>579</v>
      </c>
      <c r="G73" s="279" t="s">
        <v>319</v>
      </c>
      <c r="H73" s="279" t="s">
        <v>92</v>
      </c>
      <c r="I73" s="280">
        <v>1468.77</v>
      </c>
      <c r="J73" s="280">
        <v>31189.69000000001</v>
      </c>
      <c r="K73" s="279" t="s">
        <v>527</v>
      </c>
      <c r="L73" s="279" t="str">
        <f>VLOOKUP(K73,'[1]Project Sheet'!$A$2:$A$46,1,0)</f>
        <v>27305-0-2025 Leaf Glory of the Game Basketball</v>
      </c>
    </row>
    <row r="74" spans="2:12" x14ac:dyDescent="0.25">
      <c r="B74" s="279" t="s">
        <v>568</v>
      </c>
      <c r="C74" s="279" t="s">
        <v>486</v>
      </c>
      <c r="D74" s="279" t="s">
        <v>575</v>
      </c>
      <c r="E74" s="279" t="s">
        <v>511</v>
      </c>
      <c r="F74" s="279" t="s">
        <v>580</v>
      </c>
      <c r="G74" s="279" t="s">
        <v>319</v>
      </c>
      <c r="H74" s="279" t="s">
        <v>92</v>
      </c>
      <c r="I74" s="280">
        <v>489.59</v>
      </c>
      <c r="J74" s="280">
        <v>31679.28000000001</v>
      </c>
      <c r="K74" s="279" t="s">
        <v>527</v>
      </c>
      <c r="L74" s="279" t="str">
        <f>VLOOKUP(K74,'[1]Project Sheet'!$A$2:$A$46,1,0)</f>
        <v>27305-0-2025 Leaf Glory of the Game Basketball</v>
      </c>
    </row>
    <row r="75" spans="2:12" x14ac:dyDescent="0.25">
      <c r="B75" s="279" t="s">
        <v>568</v>
      </c>
      <c r="C75" s="279" t="s">
        <v>486</v>
      </c>
      <c r="D75" s="279" t="s">
        <v>575</v>
      </c>
      <c r="E75" s="279" t="s">
        <v>511</v>
      </c>
      <c r="F75" s="279" t="s">
        <v>581</v>
      </c>
      <c r="G75" s="279" t="s">
        <v>319</v>
      </c>
      <c r="H75" s="279" t="s">
        <v>92</v>
      </c>
      <c r="I75" s="280">
        <v>1009.7</v>
      </c>
      <c r="J75" s="280">
        <v>32688.98000000001</v>
      </c>
      <c r="K75" s="279" t="s">
        <v>527</v>
      </c>
      <c r="L75" s="279" t="str">
        <f>VLOOKUP(K75,'[1]Project Sheet'!$A$2:$A$46,1,0)</f>
        <v>27305-0-2025 Leaf Glory of the Game Basketball</v>
      </c>
    </row>
    <row r="76" spans="2:12" x14ac:dyDescent="0.25">
      <c r="B76" s="279" t="s">
        <v>568</v>
      </c>
      <c r="C76" s="279" t="s">
        <v>486</v>
      </c>
      <c r="D76" s="279" t="s">
        <v>575</v>
      </c>
      <c r="E76" s="279" t="s">
        <v>511</v>
      </c>
      <c r="F76" s="279" t="s">
        <v>582</v>
      </c>
      <c r="G76" s="279" t="s">
        <v>319</v>
      </c>
      <c r="H76" s="279" t="s">
        <v>92</v>
      </c>
      <c r="I76" s="280">
        <v>1077.0999999999999</v>
      </c>
      <c r="J76" s="280">
        <v>33766.080000000009</v>
      </c>
      <c r="K76" s="279" t="s">
        <v>527</v>
      </c>
      <c r="L76" s="279" t="str">
        <f>VLOOKUP(K76,'[1]Project Sheet'!$A$2:$A$46,1,0)</f>
        <v>27305-0-2025 Leaf Glory of the Game Basketball</v>
      </c>
    </row>
    <row r="77" spans="2:12" x14ac:dyDescent="0.25">
      <c r="B77" s="279" t="s">
        <v>568</v>
      </c>
      <c r="C77" s="279" t="s">
        <v>486</v>
      </c>
      <c r="D77" s="279" t="s">
        <v>575</v>
      </c>
      <c r="E77" s="279" t="s">
        <v>511</v>
      </c>
      <c r="F77" s="279" t="s">
        <v>583</v>
      </c>
      <c r="G77" s="279" t="s">
        <v>319</v>
      </c>
      <c r="H77" s="279" t="s">
        <v>92</v>
      </c>
      <c r="I77" s="280">
        <v>1175.02</v>
      </c>
      <c r="J77" s="280">
        <v>34941.100000000006</v>
      </c>
      <c r="K77" s="279" t="s">
        <v>527</v>
      </c>
      <c r="L77" s="279" t="str">
        <f>VLOOKUP(K77,'[1]Project Sheet'!$A$2:$A$46,1,0)</f>
        <v>27305-0-2025 Leaf Glory of the Game Basketball</v>
      </c>
    </row>
    <row r="78" spans="2:12" x14ac:dyDescent="0.25">
      <c r="B78" s="279" t="s">
        <v>568</v>
      </c>
      <c r="C78" s="279" t="s">
        <v>486</v>
      </c>
      <c r="D78" s="279" t="s">
        <v>584</v>
      </c>
      <c r="E78" s="279" t="s">
        <v>511</v>
      </c>
      <c r="F78" s="279" t="s">
        <v>585</v>
      </c>
      <c r="G78" s="279" t="s">
        <v>319</v>
      </c>
      <c r="H78" s="279" t="s">
        <v>92</v>
      </c>
      <c r="I78" s="280">
        <v>219.85</v>
      </c>
      <c r="J78" s="280">
        <v>35160.950000000004</v>
      </c>
      <c r="K78" s="279" t="s">
        <v>556</v>
      </c>
      <c r="L78" s="279" t="str">
        <f>VLOOKUP(K78,'[1]Project Sheet'!$A$2:$A$46,1,0)</f>
        <v>27282-0-Decision 2024 • Pieces of America (POA)</v>
      </c>
    </row>
    <row r="79" spans="2:12" x14ac:dyDescent="0.25">
      <c r="B79" s="279" t="s">
        <v>568</v>
      </c>
      <c r="C79" s="279" t="s">
        <v>486</v>
      </c>
      <c r="D79" s="279" t="s">
        <v>584</v>
      </c>
      <c r="E79" s="279" t="s">
        <v>511</v>
      </c>
      <c r="F79" s="279" t="s">
        <v>586</v>
      </c>
      <c r="G79" s="279" t="s">
        <v>319</v>
      </c>
      <c r="H79" s="279" t="s">
        <v>92</v>
      </c>
      <c r="I79" s="280">
        <v>216.72</v>
      </c>
      <c r="J79" s="280">
        <v>35377.670000000006</v>
      </c>
      <c r="K79" s="279" t="s">
        <v>556</v>
      </c>
      <c r="L79" s="279" t="str">
        <f>VLOOKUP(K79,'[1]Project Sheet'!$A$2:$A$46,1,0)</f>
        <v>27282-0-Decision 2024 • Pieces of America (POA)</v>
      </c>
    </row>
    <row r="80" spans="2:12" x14ac:dyDescent="0.25">
      <c r="B80" s="279" t="s">
        <v>587</v>
      </c>
      <c r="C80" s="279" t="s">
        <v>486</v>
      </c>
      <c r="D80" s="279" t="s">
        <v>588</v>
      </c>
      <c r="E80" s="279" t="s">
        <v>572</v>
      </c>
      <c r="F80" s="279" t="s">
        <v>589</v>
      </c>
      <c r="G80" s="279" t="s">
        <v>319</v>
      </c>
      <c r="H80" s="279" t="s">
        <v>92</v>
      </c>
      <c r="I80" s="280">
        <v>237.43</v>
      </c>
      <c r="J80" s="280">
        <v>40802.250000000007</v>
      </c>
      <c r="K80" s="279" t="s">
        <v>527</v>
      </c>
      <c r="L80" s="279" t="str">
        <f>VLOOKUP(K80,'[1]Project Sheet'!$A$2:$A$46,1,0)</f>
        <v>27305-0-2025 Leaf Glory of the Game Basketball</v>
      </c>
    </row>
    <row r="81" spans="2:12" x14ac:dyDescent="0.25">
      <c r="B81" s="279" t="s">
        <v>587</v>
      </c>
      <c r="C81" s="279" t="s">
        <v>486</v>
      </c>
      <c r="D81" s="279" t="s">
        <v>588</v>
      </c>
      <c r="E81" s="279" t="s">
        <v>572</v>
      </c>
      <c r="F81" s="279" t="s">
        <v>590</v>
      </c>
      <c r="G81" s="279" t="s">
        <v>319</v>
      </c>
      <c r="H81" s="279" t="s">
        <v>92</v>
      </c>
      <c r="I81" s="280">
        <v>250.95</v>
      </c>
      <c r="J81" s="280">
        <v>41053.200000000004</v>
      </c>
      <c r="K81" s="279" t="s">
        <v>527</v>
      </c>
      <c r="L81" s="279" t="str">
        <f>VLOOKUP(K81,'[1]Project Sheet'!$A$2:$A$46,1,0)</f>
        <v>27305-0-2025 Leaf Glory of the Game Basketball</v>
      </c>
    </row>
    <row r="82" spans="2:12" x14ac:dyDescent="0.25">
      <c r="B82" s="279" t="s">
        <v>587</v>
      </c>
      <c r="C82" s="279" t="s">
        <v>486</v>
      </c>
      <c r="D82" s="279" t="s">
        <v>588</v>
      </c>
      <c r="E82" s="279" t="s">
        <v>572</v>
      </c>
      <c r="F82" s="279" t="s">
        <v>591</v>
      </c>
      <c r="G82" s="279" t="s">
        <v>319</v>
      </c>
      <c r="H82" s="279" t="s">
        <v>92</v>
      </c>
      <c r="I82" s="280">
        <v>241.94</v>
      </c>
      <c r="J82" s="280">
        <v>41295.140000000007</v>
      </c>
      <c r="K82" s="279" t="s">
        <v>527</v>
      </c>
      <c r="L82" s="279" t="str">
        <f>VLOOKUP(K82,'[1]Project Sheet'!$A$2:$A$46,1,0)</f>
        <v>27305-0-2025 Leaf Glory of the Game Basketball</v>
      </c>
    </row>
    <row r="83" spans="2:12" x14ac:dyDescent="0.25">
      <c r="B83" s="279" t="s">
        <v>587</v>
      </c>
      <c r="C83" s="279" t="s">
        <v>486</v>
      </c>
      <c r="D83" s="279" t="s">
        <v>588</v>
      </c>
      <c r="E83" s="279" t="s">
        <v>572</v>
      </c>
      <c r="F83" s="279" t="s">
        <v>592</v>
      </c>
      <c r="G83" s="279" t="s">
        <v>319</v>
      </c>
      <c r="H83" s="279" t="s">
        <v>92</v>
      </c>
      <c r="I83" s="280">
        <v>250.95</v>
      </c>
      <c r="J83" s="280">
        <v>41546.090000000004</v>
      </c>
      <c r="K83" s="279" t="s">
        <v>527</v>
      </c>
      <c r="L83" s="279" t="str">
        <f>VLOOKUP(K83,'[1]Project Sheet'!$A$2:$A$46,1,0)</f>
        <v>27305-0-2025 Leaf Glory of the Game Basketball</v>
      </c>
    </row>
    <row r="84" spans="2:12" x14ac:dyDescent="0.25">
      <c r="B84" s="279" t="s">
        <v>587</v>
      </c>
      <c r="C84" s="279" t="s">
        <v>486</v>
      </c>
      <c r="D84" s="279" t="s">
        <v>588</v>
      </c>
      <c r="E84" s="279" t="s">
        <v>572</v>
      </c>
      <c r="F84" s="279" t="s">
        <v>593</v>
      </c>
      <c r="G84" s="279" t="s">
        <v>319</v>
      </c>
      <c r="H84" s="279" t="s">
        <v>92</v>
      </c>
      <c r="I84" s="280">
        <v>250.95</v>
      </c>
      <c r="J84" s="280">
        <v>41797.040000000001</v>
      </c>
      <c r="K84" s="279" t="s">
        <v>527</v>
      </c>
      <c r="L84" s="279" t="str">
        <f>VLOOKUP(K84,'[1]Project Sheet'!$A$2:$A$46,1,0)</f>
        <v>27305-0-2025 Leaf Glory of the Game Basketball</v>
      </c>
    </row>
    <row r="85" spans="2:12" x14ac:dyDescent="0.25">
      <c r="B85" s="279" t="s">
        <v>587</v>
      </c>
      <c r="C85" s="279" t="s">
        <v>486</v>
      </c>
      <c r="D85" s="279" t="s">
        <v>588</v>
      </c>
      <c r="E85" s="279" t="s">
        <v>572</v>
      </c>
      <c r="F85" s="279" t="s">
        <v>594</v>
      </c>
      <c r="G85" s="279" t="s">
        <v>319</v>
      </c>
      <c r="H85" s="279" t="s">
        <v>92</v>
      </c>
      <c r="I85" s="280">
        <v>250.95</v>
      </c>
      <c r="J85" s="280">
        <v>42047.99</v>
      </c>
      <c r="K85" s="279" t="s">
        <v>527</v>
      </c>
      <c r="L85" s="279" t="str">
        <f>VLOOKUP(K85,'[1]Project Sheet'!$A$2:$A$46,1,0)</f>
        <v>27305-0-2025 Leaf Glory of the Game Basketball</v>
      </c>
    </row>
    <row r="86" spans="2:12" x14ac:dyDescent="0.25">
      <c r="B86" s="279" t="s">
        <v>587</v>
      </c>
      <c r="C86" s="279" t="s">
        <v>486</v>
      </c>
      <c r="D86" s="279" t="s">
        <v>588</v>
      </c>
      <c r="E86" s="279" t="s">
        <v>572</v>
      </c>
      <c r="F86" s="279" t="s">
        <v>595</v>
      </c>
      <c r="G86" s="279" t="s">
        <v>319</v>
      </c>
      <c r="H86" s="279" t="s">
        <v>92</v>
      </c>
      <c r="I86" s="280">
        <v>241.94</v>
      </c>
      <c r="J86" s="280">
        <v>42289.93</v>
      </c>
      <c r="K86" s="279" t="s">
        <v>527</v>
      </c>
      <c r="L86" s="279" t="str">
        <f>VLOOKUP(K86,'[1]Project Sheet'!$A$2:$A$46,1,0)</f>
        <v>27305-0-2025 Leaf Glory of the Game Basketball</v>
      </c>
    </row>
    <row r="87" spans="2:12" x14ac:dyDescent="0.25">
      <c r="B87" s="279" t="s">
        <v>587</v>
      </c>
      <c r="C87" s="279" t="s">
        <v>486</v>
      </c>
      <c r="D87" s="279" t="s">
        <v>588</v>
      </c>
      <c r="E87" s="279" t="s">
        <v>572</v>
      </c>
      <c r="F87" s="279" t="s">
        <v>596</v>
      </c>
      <c r="G87" s="279" t="s">
        <v>319</v>
      </c>
      <c r="H87" s="279" t="s">
        <v>92</v>
      </c>
      <c r="I87" s="280">
        <v>244.98</v>
      </c>
      <c r="J87" s="280">
        <v>42534.91</v>
      </c>
      <c r="K87" s="279" t="s">
        <v>527</v>
      </c>
      <c r="L87" s="279" t="str">
        <f>VLOOKUP(K87,'[1]Project Sheet'!$A$2:$A$46,1,0)</f>
        <v>27305-0-2025 Leaf Glory of the Game Basketball</v>
      </c>
    </row>
    <row r="88" spans="2:12" x14ac:dyDescent="0.25">
      <c r="B88" s="279" t="s">
        <v>587</v>
      </c>
      <c r="C88" s="279" t="s">
        <v>486</v>
      </c>
      <c r="D88" s="279" t="s">
        <v>588</v>
      </c>
      <c r="E88" s="279" t="s">
        <v>572</v>
      </c>
      <c r="F88" s="279" t="s">
        <v>597</v>
      </c>
      <c r="G88" s="279" t="s">
        <v>319</v>
      </c>
      <c r="H88" s="279" t="s">
        <v>92</v>
      </c>
      <c r="I88" s="280">
        <v>244.98</v>
      </c>
      <c r="J88" s="280">
        <v>42779.890000000007</v>
      </c>
      <c r="K88" s="279" t="s">
        <v>527</v>
      </c>
      <c r="L88" s="279" t="str">
        <f>VLOOKUP(K88,'[1]Project Sheet'!$A$2:$A$46,1,0)</f>
        <v>27305-0-2025 Leaf Glory of the Game Basketball</v>
      </c>
    </row>
    <row r="89" spans="2:12" x14ac:dyDescent="0.25">
      <c r="B89" s="279" t="s">
        <v>587</v>
      </c>
      <c r="C89" s="279" t="s">
        <v>486</v>
      </c>
      <c r="D89" s="279" t="s">
        <v>588</v>
      </c>
      <c r="E89" s="279" t="s">
        <v>572</v>
      </c>
      <c r="F89" s="279" t="s">
        <v>598</v>
      </c>
      <c r="G89" s="279" t="s">
        <v>319</v>
      </c>
      <c r="H89" s="279" t="s">
        <v>92</v>
      </c>
      <c r="I89" s="280">
        <v>240.6</v>
      </c>
      <c r="J89" s="280">
        <v>43020.490000000005</v>
      </c>
      <c r="K89" s="279" t="s">
        <v>527</v>
      </c>
      <c r="L89" s="279" t="str">
        <f>VLOOKUP(K89,'[1]Project Sheet'!$A$2:$A$46,1,0)</f>
        <v>27305-0-2025 Leaf Glory of the Game Basketball</v>
      </c>
    </row>
    <row r="90" spans="2:12" x14ac:dyDescent="0.25">
      <c r="B90" s="279" t="s">
        <v>587</v>
      </c>
      <c r="C90" s="279" t="s">
        <v>486</v>
      </c>
      <c r="D90" s="279" t="s">
        <v>588</v>
      </c>
      <c r="E90" s="279" t="s">
        <v>572</v>
      </c>
      <c r="F90" s="279" t="s">
        <v>599</v>
      </c>
      <c r="G90" s="279" t="s">
        <v>319</v>
      </c>
      <c r="H90" s="279" t="s">
        <v>92</v>
      </c>
      <c r="I90" s="280">
        <v>241.94</v>
      </c>
      <c r="J90" s="280">
        <v>43262.430000000008</v>
      </c>
      <c r="K90" s="279" t="s">
        <v>527</v>
      </c>
      <c r="L90" s="279" t="str">
        <f>VLOOKUP(K90,'[1]Project Sheet'!$A$2:$A$46,1,0)</f>
        <v>27305-0-2025 Leaf Glory of the Game Basketball</v>
      </c>
    </row>
    <row r="91" spans="2:12" x14ac:dyDescent="0.25">
      <c r="B91" s="279" t="s">
        <v>587</v>
      </c>
      <c r="C91" s="279" t="s">
        <v>486</v>
      </c>
      <c r="D91" s="279" t="s">
        <v>588</v>
      </c>
      <c r="E91" s="279" t="s">
        <v>572</v>
      </c>
      <c r="F91" s="279" t="s">
        <v>600</v>
      </c>
      <c r="G91" s="279" t="s">
        <v>319</v>
      </c>
      <c r="H91" s="279" t="s">
        <v>92</v>
      </c>
      <c r="I91" s="280">
        <v>164.55</v>
      </c>
      <c r="J91" s="280">
        <v>43426.98000000001</v>
      </c>
      <c r="K91" s="279" t="s">
        <v>527</v>
      </c>
      <c r="L91" s="279" t="str">
        <f>VLOOKUP(K91,'[1]Project Sheet'!$A$2:$A$46,1,0)</f>
        <v>27305-0-2025 Leaf Glory of the Game Basketball</v>
      </c>
    </row>
    <row r="92" spans="2:12" x14ac:dyDescent="0.25">
      <c r="B92" s="279" t="s">
        <v>587</v>
      </c>
      <c r="C92" s="279" t="s">
        <v>486</v>
      </c>
      <c r="D92" s="279" t="s">
        <v>601</v>
      </c>
      <c r="E92" s="279" t="s">
        <v>602</v>
      </c>
      <c r="F92" s="279" t="s">
        <v>603</v>
      </c>
      <c r="G92" s="279" t="s">
        <v>319</v>
      </c>
      <c r="H92" s="279" t="s">
        <v>92</v>
      </c>
      <c r="I92" s="280">
        <v>95</v>
      </c>
      <c r="J92" s="280">
        <v>43521.98000000001</v>
      </c>
      <c r="K92" s="279" t="s">
        <v>527</v>
      </c>
      <c r="L92" s="279" t="str">
        <f>VLOOKUP(K92,'[1]Project Sheet'!$A$2:$A$46,1,0)</f>
        <v>27305-0-2025 Leaf Glory of the Game Basketball</v>
      </c>
    </row>
    <row r="93" spans="2:12" x14ac:dyDescent="0.25">
      <c r="B93" s="279" t="s">
        <v>587</v>
      </c>
      <c r="C93" s="279" t="s">
        <v>486</v>
      </c>
      <c r="D93" s="279" t="s">
        <v>601</v>
      </c>
      <c r="E93" s="279" t="s">
        <v>602</v>
      </c>
      <c r="F93" s="279" t="s">
        <v>604</v>
      </c>
      <c r="G93" s="279" t="s">
        <v>319</v>
      </c>
      <c r="H93" s="279" t="s">
        <v>92</v>
      </c>
      <c r="I93" s="280">
        <v>100</v>
      </c>
      <c r="J93" s="280">
        <v>43621.98000000001</v>
      </c>
      <c r="K93" s="279" t="s">
        <v>527</v>
      </c>
      <c r="L93" s="279" t="str">
        <f>VLOOKUP(K93,'[1]Project Sheet'!$A$2:$A$46,1,0)</f>
        <v>27305-0-2025 Leaf Glory of the Game Basketball</v>
      </c>
    </row>
    <row r="94" spans="2:12" x14ac:dyDescent="0.25">
      <c r="B94" s="279" t="s">
        <v>587</v>
      </c>
      <c r="C94" s="279" t="s">
        <v>486</v>
      </c>
      <c r="D94" s="279" t="s">
        <v>601</v>
      </c>
      <c r="E94" s="279" t="s">
        <v>602</v>
      </c>
      <c r="F94" s="279" t="s">
        <v>605</v>
      </c>
      <c r="G94" s="279" t="s">
        <v>319</v>
      </c>
      <c r="H94" s="279" t="s">
        <v>92</v>
      </c>
      <c r="I94" s="280">
        <v>5.85</v>
      </c>
      <c r="J94" s="280">
        <v>43627.830000000009</v>
      </c>
      <c r="K94" s="279" t="s">
        <v>527</v>
      </c>
      <c r="L94" s="279" t="str">
        <f>VLOOKUP(K94,'[1]Project Sheet'!$A$2:$A$46,1,0)</f>
        <v>27305-0-2025 Leaf Glory of the Game Basketball</v>
      </c>
    </row>
    <row r="95" spans="2:12" x14ac:dyDescent="0.25">
      <c r="B95" s="279" t="s">
        <v>587</v>
      </c>
      <c r="C95" s="279" t="s">
        <v>486</v>
      </c>
      <c r="D95" s="279" t="s">
        <v>606</v>
      </c>
      <c r="E95" s="279" t="s">
        <v>602</v>
      </c>
      <c r="F95" s="279" t="s">
        <v>607</v>
      </c>
      <c r="G95" s="279" t="s">
        <v>319</v>
      </c>
      <c r="H95" s="279" t="s">
        <v>92</v>
      </c>
      <c r="I95" s="280">
        <v>95</v>
      </c>
      <c r="J95" s="280">
        <v>43722.830000000009</v>
      </c>
      <c r="K95" s="279" t="s">
        <v>527</v>
      </c>
      <c r="L95" s="279" t="str">
        <f>VLOOKUP(K95,'[1]Project Sheet'!$A$2:$A$46,1,0)</f>
        <v>27305-0-2025 Leaf Glory of the Game Basketball</v>
      </c>
    </row>
    <row r="96" spans="2:12" x14ac:dyDescent="0.25">
      <c r="B96" s="279" t="s">
        <v>587</v>
      </c>
      <c r="C96" s="279" t="s">
        <v>486</v>
      </c>
      <c r="D96" s="279" t="s">
        <v>606</v>
      </c>
      <c r="E96" s="279" t="s">
        <v>602</v>
      </c>
      <c r="F96" s="279" t="s">
        <v>608</v>
      </c>
      <c r="G96" s="279" t="s">
        <v>319</v>
      </c>
      <c r="H96" s="279" t="s">
        <v>92</v>
      </c>
      <c r="I96" s="280">
        <v>110</v>
      </c>
      <c r="J96" s="280">
        <v>43832.830000000009</v>
      </c>
      <c r="K96" s="279" t="s">
        <v>527</v>
      </c>
      <c r="L96" s="279" t="str">
        <f>VLOOKUP(K96,'[1]Project Sheet'!$A$2:$A$46,1,0)</f>
        <v>27305-0-2025 Leaf Glory of the Game Basketball</v>
      </c>
    </row>
    <row r="97" spans="2:12" x14ac:dyDescent="0.25">
      <c r="B97" s="279" t="s">
        <v>587</v>
      </c>
      <c r="C97" s="279" t="s">
        <v>486</v>
      </c>
      <c r="D97" s="279" t="s">
        <v>606</v>
      </c>
      <c r="E97" s="279" t="s">
        <v>602</v>
      </c>
      <c r="F97" s="279" t="s">
        <v>605</v>
      </c>
      <c r="G97" s="279" t="s">
        <v>319</v>
      </c>
      <c r="H97" s="279" t="s">
        <v>92</v>
      </c>
      <c r="I97" s="280">
        <v>6.15</v>
      </c>
      <c r="J97" s="280">
        <v>43838.98000000001</v>
      </c>
      <c r="K97" s="279" t="s">
        <v>527</v>
      </c>
      <c r="L97" s="279" t="str">
        <f>VLOOKUP(K97,'[1]Project Sheet'!$A$2:$A$46,1,0)</f>
        <v>27305-0-2025 Leaf Glory of the Game Basketball</v>
      </c>
    </row>
    <row r="98" spans="2:12" x14ac:dyDescent="0.25">
      <c r="B98" s="279" t="s">
        <v>587</v>
      </c>
      <c r="C98" s="279" t="s">
        <v>486</v>
      </c>
      <c r="D98" s="279" t="s">
        <v>609</v>
      </c>
      <c r="E98" s="279" t="s">
        <v>602</v>
      </c>
      <c r="F98" s="279" t="s">
        <v>610</v>
      </c>
      <c r="G98" s="279" t="s">
        <v>319</v>
      </c>
      <c r="H98" s="279" t="s">
        <v>92</v>
      </c>
      <c r="I98" s="280">
        <v>285</v>
      </c>
      <c r="J98" s="280">
        <v>44123.98000000001</v>
      </c>
      <c r="K98" s="279" t="s">
        <v>527</v>
      </c>
      <c r="L98" s="279" t="str">
        <f>VLOOKUP(K98,'[1]Project Sheet'!$A$2:$A$46,1,0)</f>
        <v>27305-0-2025 Leaf Glory of the Game Basketball</v>
      </c>
    </row>
    <row r="99" spans="2:12" x14ac:dyDescent="0.25">
      <c r="B99" s="279" t="s">
        <v>587</v>
      </c>
      <c r="C99" s="279" t="s">
        <v>486</v>
      </c>
      <c r="D99" s="279" t="s">
        <v>609</v>
      </c>
      <c r="E99" s="279" t="s">
        <v>602</v>
      </c>
      <c r="F99" s="279" t="s">
        <v>611</v>
      </c>
      <c r="G99" s="279" t="s">
        <v>319</v>
      </c>
      <c r="H99" s="279" t="s">
        <v>92</v>
      </c>
      <c r="I99" s="280">
        <v>100</v>
      </c>
      <c r="J99" s="280">
        <v>44223.98000000001</v>
      </c>
      <c r="K99" s="279" t="s">
        <v>527</v>
      </c>
      <c r="L99" s="279" t="str">
        <f>VLOOKUP(K99,'[1]Project Sheet'!$A$2:$A$46,1,0)</f>
        <v>27305-0-2025 Leaf Glory of the Game Basketball</v>
      </c>
    </row>
    <row r="100" spans="2:12" x14ac:dyDescent="0.25">
      <c r="B100" s="279" t="s">
        <v>587</v>
      </c>
      <c r="C100" s="279" t="s">
        <v>486</v>
      </c>
      <c r="D100" s="279" t="s">
        <v>609</v>
      </c>
      <c r="E100" s="279" t="s">
        <v>602</v>
      </c>
      <c r="F100" s="279" t="s">
        <v>605</v>
      </c>
      <c r="G100" s="279" t="s">
        <v>319</v>
      </c>
      <c r="H100" s="279" t="s">
        <v>92</v>
      </c>
      <c r="I100" s="280">
        <v>11.55</v>
      </c>
      <c r="J100" s="280">
        <v>44235.530000000013</v>
      </c>
      <c r="K100" s="279" t="s">
        <v>527</v>
      </c>
      <c r="L100" s="279" t="str">
        <f>VLOOKUP(K100,'[1]Project Sheet'!$A$2:$A$46,1,0)</f>
        <v>27305-0-2025 Leaf Glory of the Game Basketball</v>
      </c>
    </row>
    <row r="101" spans="2:12" x14ac:dyDescent="0.25">
      <c r="B101" s="279" t="s">
        <v>587</v>
      </c>
      <c r="C101" s="279" t="s">
        <v>486</v>
      </c>
      <c r="D101" s="279" t="s">
        <v>612</v>
      </c>
      <c r="E101" s="279" t="s">
        <v>602</v>
      </c>
      <c r="F101" s="279" t="s">
        <v>613</v>
      </c>
      <c r="G101" s="279" t="s">
        <v>319</v>
      </c>
      <c r="H101" s="279" t="s">
        <v>92</v>
      </c>
      <c r="I101" s="280">
        <v>180</v>
      </c>
      <c r="J101" s="280">
        <v>44415.530000000013</v>
      </c>
      <c r="K101" s="279" t="s">
        <v>527</v>
      </c>
      <c r="L101" s="279" t="str">
        <f>VLOOKUP(K101,'[1]Project Sheet'!$A$2:$A$46,1,0)</f>
        <v>27305-0-2025 Leaf Glory of the Game Basketball</v>
      </c>
    </row>
    <row r="102" spans="2:12" x14ac:dyDescent="0.25">
      <c r="B102" s="279" t="s">
        <v>587</v>
      </c>
      <c r="C102" s="279" t="s">
        <v>486</v>
      </c>
      <c r="D102" s="279" t="s">
        <v>612</v>
      </c>
      <c r="E102" s="279" t="s">
        <v>602</v>
      </c>
      <c r="F102" s="279" t="s">
        <v>614</v>
      </c>
      <c r="G102" s="279" t="s">
        <v>319</v>
      </c>
      <c r="H102" s="279" t="s">
        <v>92</v>
      </c>
      <c r="I102" s="280">
        <v>100</v>
      </c>
      <c r="J102" s="280">
        <v>44515.530000000013</v>
      </c>
      <c r="K102" s="279" t="s">
        <v>527</v>
      </c>
      <c r="L102" s="279" t="str">
        <f>VLOOKUP(K102,'[1]Project Sheet'!$A$2:$A$46,1,0)</f>
        <v>27305-0-2025 Leaf Glory of the Game Basketball</v>
      </c>
    </row>
    <row r="103" spans="2:12" x14ac:dyDescent="0.25">
      <c r="B103" s="279" t="s">
        <v>587</v>
      </c>
      <c r="C103" s="279" t="s">
        <v>486</v>
      </c>
      <c r="D103" s="279" t="s">
        <v>612</v>
      </c>
      <c r="E103" s="279" t="s">
        <v>602</v>
      </c>
      <c r="F103" s="279" t="s">
        <v>605</v>
      </c>
      <c r="G103" s="279" t="s">
        <v>319</v>
      </c>
      <c r="H103" s="279" t="s">
        <v>92</v>
      </c>
      <c r="I103" s="280">
        <v>8.4</v>
      </c>
      <c r="J103" s="280">
        <v>44523.930000000015</v>
      </c>
      <c r="K103" s="279" t="s">
        <v>527</v>
      </c>
      <c r="L103" s="279" t="str">
        <f>VLOOKUP(K103,'[1]Project Sheet'!$A$2:$A$46,1,0)</f>
        <v>27305-0-2025 Leaf Glory of the Game Basketball</v>
      </c>
    </row>
    <row r="104" spans="2:12" x14ac:dyDescent="0.25">
      <c r="B104" s="279" t="s">
        <v>587</v>
      </c>
      <c r="C104" s="279" t="s">
        <v>486</v>
      </c>
      <c r="D104" s="279" t="s">
        <v>615</v>
      </c>
      <c r="E104" s="279" t="s">
        <v>602</v>
      </c>
      <c r="F104" s="279" t="s">
        <v>616</v>
      </c>
      <c r="G104" s="279" t="s">
        <v>319</v>
      </c>
      <c r="H104" s="279" t="s">
        <v>92</v>
      </c>
      <c r="I104" s="280">
        <v>140</v>
      </c>
      <c r="J104" s="280">
        <v>44663.930000000015</v>
      </c>
      <c r="K104" s="279" t="s">
        <v>527</v>
      </c>
      <c r="L104" s="279" t="str">
        <f>VLOOKUP(K104,'[1]Project Sheet'!$A$2:$A$46,1,0)</f>
        <v>27305-0-2025 Leaf Glory of the Game Basketball</v>
      </c>
    </row>
    <row r="105" spans="2:12" x14ac:dyDescent="0.25">
      <c r="B105" s="279" t="s">
        <v>587</v>
      </c>
      <c r="C105" s="279" t="s">
        <v>486</v>
      </c>
      <c r="D105" s="279" t="s">
        <v>615</v>
      </c>
      <c r="E105" s="279" t="s">
        <v>602</v>
      </c>
      <c r="F105" s="279" t="s">
        <v>617</v>
      </c>
      <c r="G105" s="279" t="s">
        <v>319</v>
      </c>
      <c r="H105" s="279" t="s">
        <v>92</v>
      </c>
      <c r="I105" s="280">
        <v>125</v>
      </c>
      <c r="J105" s="280">
        <v>44788.930000000015</v>
      </c>
      <c r="K105" s="279" t="s">
        <v>527</v>
      </c>
      <c r="L105" s="279" t="str">
        <f>VLOOKUP(K105,'[1]Project Sheet'!$A$2:$A$46,1,0)</f>
        <v>27305-0-2025 Leaf Glory of the Game Basketball</v>
      </c>
    </row>
    <row r="106" spans="2:12" x14ac:dyDescent="0.25">
      <c r="B106" s="279" t="s">
        <v>587</v>
      </c>
      <c r="C106" s="279" t="s">
        <v>486</v>
      </c>
      <c r="D106" s="279" t="s">
        <v>615</v>
      </c>
      <c r="E106" s="279" t="s">
        <v>602</v>
      </c>
      <c r="F106" s="279" t="s">
        <v>605</v>
      </c>
      <c r="G106" s="279" t="s">
        <v>319</v>
      </c>
      <c r="H106" s="279" t="s">
        <v>92</v>
      </c>
      <c r="I106" s="280">
        <v>7.95</v>
      </c>
      <c r="J106" s="280">
        <v>44796.880000000012</v>
      </c>
      <c r="K106" s="279" t="s">
        <v>527</v>
      </c>
      <c r="L106" s="279" t="str">
        <f>VLOOKUP(K106,'[1]Project Sheet'!$A$2:$A$46,1,0)</f>
        <v>27305-0-2025 Leaf Glory of the Game Basketball</v>
      </c>
    </row>
    <row r="107" spans="2:12" x14ac:dyDescent="0.25">
      <c r="B107" s="279" t="s">
        <v>587</v>
      </c>
      <c r="C107" s="279" t="s">
        <v>486</v>
      </c>
      <c r="D107" s="279" t="s">
        <v>618</v>
      </c>
      <c r="E107" s="279" t="s">
        <v>602</v>
      </c>
      <c r="F107" s="279" t="s">
        <v>619</v>
      </c>
      <c r="G107" s="279" t="s">
        <v>319</v>
      </c>
      <c r="H107" s="279" t="s">
        <v>92</v>
      </c>
      <c r="I107" s="280">
        <v>125</v>
      </c>
      <c r="J107" s="280">
        <v>44921.880000000012</v>
      </c>
      <c r="K107" s="279" t="s">
        <v>527</v>
      </c>
      <c r="L107" s="279" t="str">
        <f>VLOOKUP(K107,'[1]Project Sheet'!$A$2:$A$46,1,0)</f>
        <v>27305-0-2025 Leaf Glory of the Game Basketball</v>
      </c>
    </row>
    <row r="108" spans="2:12" x14ac:dyDescent="0.25">
      <c r="B108" s="279" t="s">
        <v>587</v>
      </c>
      <c r="C108" s="279" t="s">
        <v>486</v>
      </c>
      <c r="D108" s="279" t="s">
        <v>618</v>
      </c>
      <c r="E108" s="279" t="s">
        <v>602</v>
      </c>
      <c r="F108" s="279" t="s">
        <v>620</v>
      </c>
      <c r="G108" s="279" t="s">
        <v>319</v>
      </c>
      <c r="H108" s="279" t="s">
        <v>92</v>
      </c>
      <c r="I108" s="280">
        <v>100</v>
      </c>
      <c r="J108" s="280">
        <v>45021.880000000012</v>
      </c>
      <c r="K108" s="279" t="s">
        <v>527</v>
      </c>
      <c r="L108" s="279" t="str">
        <f>VLOOKUP(K108,'[1]Project Sheet'!$A$2:$A$46,1,0)</f>
        <v>27305-0-2025 Leaf Glory of the Game Basketball</v>
      </c>
    </row>
    <row r="109" spans="2:12" x14ac:dyDescent="0.25">
      <c r="B109" s="279" t="s">
        <v>587</v>
      </c>
      <c r="C109" s="279" t="s">
        <v>486</v>
      </c>
      <c r="D109" s="279" t="s">
        <v>618</v>
      </c>
      <c r="E109" s="279" t="s">
        <v>602</v>
      </c>
      <c r="F109" s="279" t="s">
        <v>605</v>
      </c>
      <c r="G109" s="279" t="s">
        <v>319</v>
      </c>
      <c r="H109" s="279" t="s">
        <v>92</v>
      </c>
      <c r="I109" s="280">
        <v>6.75</v>
      </c>
      <c r="J109" s="280">
        <v>45028.630000000012</v>
      </c>
      <c r="K109" s="279" t="s">
        <v>527</v>
      </c>
      <c r="L109" s="279" t="str">
        <f>VLOOKUP(K109,'[1]Project Sheet'!$A$2:$A$46,1,0)</f>
        <v>27305-0-2025 Leaf Glory of the Game Basketball</v>
      </c>
    </row>
    <row r="110" spans="2:12" x14ac:dyDescent="0.25">
      <c r="B110" s="279" t="s">
        <v>587</v>
      </c>
      <c r="C110" s="279" t="s">
        <v>486</v>
      </c>
      <c r="D110" s="279" t="s">
        <v>621</v>
      </c>
      <c r="E110" s="279" t="s">
        <v>602</v>
      </c>
      <c r="F110" s="279" t="s">
        <v>622</v>
      </c>
      <c r="G110" s="279" t="s">
        <v>319</v>
      </c>
      <c r="H110" s="279" t="s">
        <v>92</v>
      </c>
      <c r="I110" s="280">
        <v>102</v>
      </c>
      <c r="J110" s="280">
        <v>45130.630000000012</v>
      </c>
      <c r="K110" s="279" t="s">
        <v>527</v>
      </c>
      <c r="L110" s="279" t="str">
        <f>VLOOKUP(K110,'[1]Project Sheet'!$A$2:$A$46,1,0)</f>
        <v>27305-0-2025 Leaf Glory of the Game Basketball</v>
      </c>
    </row>
    <row r="111" spans="2:12" x14ac:dyDescent="0.25">
      <c r="B111" s="279" t="s">
        <v>587</v>
      </c>
      <c r="C111" s="279" t="s">
        <v>486</v>
      </c>
      <c r="D111" s="279" t="s">
        <v>621</v>
      </c>
      <c r="E111" s="279" t="s">
        <v>602</v>
      </c>
      <c r="F111" s="279" t="s">
        <v>623</v>
      </c>
      <c r="G111" s="279" t="s">
        <v>319</v>
      </c>
      <c r="H111" s="279" t="s">
        <v>92</v>
      </c>
      <c r="I111" s="280">
        <v>115</v>
      </c>
      <c r="J111" s="280">
        <v>45245.630000000012</v>
      </c>
      <c r="K111" s="279" t="s">
        <v>527</v>
      </c>
      <c r="L111" s="279" t="str">
        <f>VLOOKUP(K111,'[1]Project Sheet'!$A$2:$A$46,1,0)</f>
        <v>27305-0-2025 Leaf Glory of the Game Basketball</v>
      </c>
    </row>
    <row r="112" spans="2:12" x14ac:dyDescent="0.25">
      <c r="B112" s="279" t="s">
        <v>587</v>
      </c>
      <c r="C112" s="279" t="s">
        <v>486</v>
      </c>
      <c r="D112" s="279" t="s">
        <v>621</v>
      </c>
      <c r="E112" s="279" t="s">
        <v>602</v>
      </c>
      <c r="F112" s="279" t="s">
        <v>605</v>
      </c>
      <c r="G112" s="279" t="s">
        <v>319</v>
      </c>
      <c r="H112" s="279" t="s">
        <v>92</v>
      </c>
      <c r="I112" s="280">
        <v>6.51</v>
      </c>
      <c r="J112" s="280">
        <v>45252.140000000014</v>
      </c>
      <c r="K112" s="279" t="s">
        <v>527</v>
      </c>
      <c r="L112" s="279" t="str">
        <f>VLOOKUP(K112,'[1]Project Sheet'!$A$2:$A$46,1,0)</f>
        <v>27305-0-2025 Leaf Glory of the Game Basketball</v>
      </c>
    </row>
    <row r="113" spans="2:12" x14ac:dyDescent="0.25">
      <c r="B113" s="279" t="s">
        <v>587</v>
      </c>
      <c r="C113" s="279" t="s">
        <v>486</v>
      </c>
      <c r="D113" s="279" t="s">
        <v>624</v>
      </c>
      <c r="E113" s="279" t="s">
        <v>602</v>
      </c>
      <c r="F113" s="279" t="s">
        <v>625</v>
      </c>
      <c r="G113" s="279" t="s">
        <v>319</v>
      </c>
      <c r="H113" s="279" t="s">
        <v>92</v>
      </c>
      <c r="I113" s="280">
        <v>95</v>
      </c>
      <c r="J113" s="280">
        <v>45347.140000000014</v>
      </c>
      <c r="K113" s="279" t="s">
        <v>527</v>
      </c>
      <c r="L113" s="279" t="str">
        <f>VLOOKUP(K113,'[1]Project Sheet'!$A$2:$A$46,1,0)</f>
        <v>27305-0-2025 Leaf Glory of the Game Basketball</v>
      </c>
    </row>
    <row r="114" spans="2:12" x14ac:dyDescent="0.25">
      <c r="B114" s="279" t="s">
        <v>587</v>
      </c>
      <c r="C114" s="279" t="s">
        <v>486</v>
      </c>
      <c r="D114" s="279" t="s">
        <v>624</v>
      </c>
      <c r="E114" s="279" t="s">
        <v>602</v>
      </c>
      <c r="F114" s="279" t="s">
        <v>626</v>
      </c>
      <c r="G114" s="279" t="s">
        <v>319</v>
      </c>
      <c r="H114" s="279" t="s">
        <v>92</v>
      </c>
      <c r="I114" s="280">
        <v>100</v>
      </c>
      <c r="J114" s="280">
        <v>45447.140000000014</v>
      </c>
      <c r="K114" s="279" t="s">
        <v>527</v>
      </c>
      <c r="L114" s="279" t="str">
        <f>VLOOKUP(K114,'[1]Project Sheet'!$A$2:$A$46,1,0)</f>
        <v>27305-0-2025 Leaf Glory of the Game Basketball</v>
      </c>
    </row>
    <row r="115" spans="2:12" x14ac:dyDescent="0.25">
      <c r="B115" s="279" t="s">
        <v>587</v>
      </c>
      <c r="C115" s="279" t="s">
        <v>486</v>
      </c>
      <c r="D115" s="279" t="s">
        <v>624</v>
      </c>
      <c r="E115" s="279" t="s">
        <v>602</v>
      </c>
      <c r="F115" s="279" t="s">
        <v>605</v>
      </c>
      <c r="G115" s="279" t="s">
        <v>319</v>
      </c>
      <c r="H115" s="279" t="s">
        <v>92</v>
      </c>
      <c r="I115" s="280">
        <v>5.85</v>
      </c>
      <c r="J115" s="280">
        <v>45452.990000000013</v>
      </c>
      <c r="K115" s="279" t="s">
        <v>527</v>
      </c>
      <c r="L115" s="279" t="str">
        <f>VLOOKUP(K115,'[1]Project Sheet'!$A$2:$A$46,1,0)</f>
        <v>27305-0-2025 Leaf Glory of the Game Basketball</v>
      </c>
    </row>
    <row r="116" spans="2:12" x14ac:dyDescent="0.25">
      <c r="B116" s="279" t="s">
        <v>587</v>
      </c>
      <c r="C116" s="279" t="s">
        <v>486</v>
      </c>
      <c r="D116" s="279" t="s">
        <v>627</v>
      </c>
      <c r="E116" s="279" t="s">
        <v>602</v>
      </c>
      <c r="F116" s="279" t="s">
        <v>628</v>
      </c>
      <c r="G116" s="279" t="s">
        <v>319</v>
      </c>
      <c r="H116" s="279" t="s">
        <v>92</v>
      </c>
      <c r="I116" s="280">
        <v>125</v>
      </c>
      <c r="J116" s="280">
        <v>45577.990000000013</v>
      </c>
      <c r="K116" s="279" t="s">
        <v>527</v>
      </c>
      <c r="L116" s="279" t="str">
        <f>VLOOKUP(K116,'[1]Project Sheet'!$A$2:$A$46,1,0)</f>
        <v>27305-0-2025 Leaf Glory of the Game Basketball</v>
      </c>
    </row>
    <row r="117" spans="2:12" x14ac:dyDescent="0.25">
      <c r="B117" s="279" t="s">
        <v>587</v>
      </c>
      <c r="C117" s="279" t="s">
        <v>486</v>
      </c>
      <c r="D117" s="279" t="s">
        <v>627</v>
      </c>
      <c r="E117" s="279" t="s">
        <v>602</v>
      </c>
      <c r="F117" s="279" t="s">
        <v>629</v>
      </c>
      <c r="G117" s="279" t="s">
        <v>319</v>
      </c>
      <c r="H117" s="279" t="s">
        <v>92</v>
      </c>
      <c r="I117" s="280">
        <v>100</v>
      </c>
      <c r="J117" s="280">
        <v>45677.990000000013</v>
      </c>
      <c r="K117" s="279" t="s">
        <v>527</v>
      </c>
      <c r="L117" s="279" t="str">
        <f>VLOOKUP(K117,'[1]Project Sheet'!$A$2:$A$46,1,0)</f>
        <v>27305-0-2025 Leaf Glory of the Game Basketball</v>
      </c>
    </row>
    <row r="118" spans="2:12" x14ac:dyDescent="0.25">
      <c r="B118" s="279" t="s">
        <v>587</v>
      </c>
      <c r="C118" s="279" t="s">
        <v>486</v>
      </c>
      <c r="D118" s="279" t="s">
        <v>627</v>
      </c>
      <c r="E118" s="279" t="s">
        <v>602</v>
      </c>
      <c r="F118" s="279" t="s">
        <v>630</v>
      </c>
      <c r="G118" s="279" t="s">
        <v>319</v>
      </c>
      <c r="H118" s="279" t="s">
        <v>92</v>
      </c>
      <c r="I118" s="280">
        <v>58.04</v>
      </c>
      <c r="J118" s="280">
        <v>45736.030000000013</v>
      </c>
      <c r="K118" s="279" t="s">
        <v>527</v>
      </c>
      <c r="L118" s="279" t="str">
        <f>VLOOKUP(K118,'[1]Project Sheet'!$A$2:$A$46,1,0)</f>
        <v>27305-0-2025 Leaf Glory of the Game Basketball</v>
      </c>
    </row>
    <row r="119" spans="2:12" x14ac:dyDescent="0.25">
      <c r="B119" s="279" t="s">
        <v>587</v>
      </c>
      <c r="C119" s="279" t="s">
        <v>486</v>
      </c>
      <c r="D119" s="279" t="s">
        <v>627</v>
      </c>
      <c r="E119" s="279" t="s">
        <v>602</v>
      </c>
      <c r="F119" s="279" t="s">
        <v>605</v>
      </c>
      <c r="G119" s="279" t="s">
        <v>319</v>
      </c>
      <c r="H119" s="279" t="s">
        <v>92</v>
      </c>
      <c r="I119" s="280">
        <v>8.49</v>
      </c>
      <c r="J119" s="280">
        <v>45744.520000000011</v>
      </c>
      <c r="K119" s="279" t="s">
        <v>527</v>
      </c>
      <c r="L119" s="279" t="str">
        <f>VLOOKUP(K119,'[1]Project Sheet'!$A$2:$A$46,1,0)</f>
        <v>27305-0-2025 Leaf Glory of the Game Basketball</v>
      </c>
    </row>
    <row r="120" spans="2:12" x14ac:dyDescent="0.25">
      <c r="B120" s="279" t="s">
        <v>587</v>
      </c>
      <c r="C120" s="279" t="s">
        <v>486</v>
      </c>
      <c r="D120" s="279" t="s">
        <v>631</v>
      </c>
      <c r="E120" s="279" t="s">
        <v>632</v>
      </c>
      <c r="F120" s="279" t="s">
        <v>633</v>
      </c>
      <c r="G120" s="279" t="s">
        <v>319</v>
      </c>
      <c r="H120" s="279" t="s">
        <v>92</v>
      </c>
      <c r="I120" s="280">
        <v>300</v>
      </c>
      <c r="J120" s="280">
        <v>46234.520000000011</v>
      </c>
      <c r="K120" s="279" t="s">
        <v>484</v>
      </c>
      <c r="L120" s="279" t="str">
        <f>VLOOKUP(K120,'[1]Project Sheet'!$A$2:$A$46,1,0)</f>
        <v>27315-0-C4 25 photo/video shoot</v>
      </c>
    </row>
  </sheetData>
  <autoFilter ref="B1:L120" xr:uid="{8D4B3FEF-A70D-B944-82F4-C9836B181100}"/>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57D3-CD0D-4565-9E06-ACC6BECC457D}">
  <sheetPr codeName="Sheet12"/>
  <dimension ref="A2:F18"/>
  <sheetViews>
    <sheetView showGridLines="0" workbookViewId="0">
      <selection activeCell="A10" sqref="A4:A17"/>
    </sheetView>
  </sheetViews>
  <sheetFormatPr defaultColWidth="9.140625" defaultRowHeight="15" x14ac:dyDescent="0.25"/>
  <cols>
    <col min="1" max="1" width="61.7109375" style="16" bestFit="1" customWidth="1"/>
    <col min="2" max="2" width="14.85546875" style="16" bestFit="1" customWidth="1"/>
    <col min="3" max="3" width="9.140625" style="16"/>
    <col min="4" max="4" width="97.28515625" style="16" bestFit="1" customWidth="1"/>
    <col min="5" max="16384" width="9.140625" style="16"/>
  </cols>
  <sheetData>
    <row r="2" spans="1:6" x14ac:dyDescent="0.25">
      <c r="F2" s="151" t="s">
        <v>45</v>
      </c>
    </row>
    <row r="3" spans="1:6" x14ac:dyDescent="0.25">
      <c r="A3" s="283" t="s">
        <v>634</v>
      </c>
      <c r="B3" s="16" t="s">
        <v>635</v>
      </c>
      <c r="D3" s="284" t="s">
        <v>636</v>
      </c>
      <c r="F3" s="238" t="s">
        <v>47</v>
      </c>
    </row>
    <row r="4" spans="1:6" x14ac:dyDescent="0.25">
      <c r="A4" s="17" t="s">
        <v>508</v>
      </c>
      <c r="B4" s="285">
        <v>157.47999999999999</v>
      </c>
      <c r="F4" s="238" t="s">
        <v>46</v>
      </c>
    </row>
    <row r="5" spans="1:6" x14ac:dyDescent="0.25">
      <c r="A5" s="17" t="s">
        <v>429</v>
      </c>
      <c r="B5" s="285">
        <v>620.95000000000005</v>
      </c>
      <c r="F5" s="238" t="s">
        <v>34</v>
      </c>
    </row>
    <row r="6" spans="1:6" x14ac:dyDescent="0.25">
      <c r="A6" s="17" t="s">
        <v>567</v>
      </c>
      <c r="B6" s="285">
        <v>38.950000000000003</v>
      </c>
      <c r="F6" s="238" t="s">
        <v>36</v>
      </c>
    </row>
    <row r="7" spans="1:6" x14ac:dyDescent="0.25">
      <c r="A7" s="17" t="s">
        <v>549</v>
      </c>
      <c r="B7" s="285">
        <v>147.30000000000001</v>
      </c>
    </row>
    <row r="8" spans="1:6" x14ac:dyDescent="0.25">
      <c r="A8" s="17" t="s">
        <v>541</v>
      </c>
      <c r="B8" s="285">
        <v>76.400000000000006</v>
      </c>
    </row>
    <row r="9" spans="1:6" x14ac:dyDescent="0.25">
      <c r="A9" s="17" t="s">
        <v>490</v>
      </c>
      <c r="B9" s="285">
        <v>461.53999999999996</v>
      </c>
    </row>
    <row r="10" spans="1:6" x14ac:dyDescent="0.25">
      <c r="A10" s="17" t="s">
        <v>544</v>
      </c>
      <c r="B10" s="285">
        <v>500.76</v>
      </c>
    </row>
    <row r="11" spans="1:6" x14ac:dyDescent="0.25">
      <c r="A11" s="17" t="s">
        <v>556</v>
      </c>
      <c r="B11" s="285">
        <v>559.57000000000005</v>
      </c>
    </row>
    <row r="12" spans="1:6" x14ac:dyDescent="0.25">
      <c r="A12" s="17" t="s">
        <v>523</v>
      </c>
      <c r="B12" s="285">
        <v>208.36</v>
      </c>
    </row>
    <row r="13" spans="1:6" x14ac:dyDescent="0.25">
      <c r="A13" s="17" t="s">
        <v>515</v>
      </c>
      <c r="B13" s="285">
        <v>665.45</v>
      </c>
    </row>
    <row r="14" spans="1:6" x14ac:dyDescent="0.25">
      <c r="A14" s="17" t="s">
        <v>519</v>
      </c>
      <c r="B14" s="285">
        <v>320.8</v>
      </c>
    </row>
    <row r="15" spans="1:6" x14ac:dyDescent="0.25">
      <c r="A15" s="17" t="s">
        <v>527</v>
      </c>
      <c r="B15" s="285">
        <v>26227.01</v>
      </c>
    </row>
    <row r="16" spans="1:6" x14ac:dyDescent="0.25">
      <c r="A16" s="17" t="s">
        <v>484</v>
      </c>
      <c r="B16" s="285">
        <v>1164.02</v>
      </c>
    </row>
    <row r="17" spans="1:2" x14ac:dyDescent="0.25">
      <c r="A17" s="17" t="s">
        <v>574</v>
      </c>
      <c r="B17" s="285">
        <v>166.06</v>
      </c>
    </row>
    <row r="18" spans="1:2" x14ac:dyDescent="0.25">
      <c r="A18" s="17" t="s">
        <v>637</v>
      </c>
      <c r="B18" s="285">
        <v>31314.65</v>
      </c>
    </row>
  </sheetData>
  <hyperlinks>
    <hyperlink ref="F2" location="Index!A1" display="Home" xr:uid="{B27F06D3-B16A-4B59-8561-DD3B2CAD47AF}"/>
    <hyperlink ref="F4" location="P_L" display="Profit &amp; Loss" xr:uid="{F40DE91E-47A6-4DD6-B8DE-5AE353781CDF}"/>
    <hyperlink ref="F3" location="B_S" display="Balance Sheet" xr:uid="{D56DF4E9-C661-445D-8764-5B8A6DFAB881}"/>
    <hyperlink ref="F5" location="PL_YTD" display="PL-Division (YTD)" xr:uid="{484D8D93-BD02-493C-8FA5-CDD140FE75A7}"/>
    <hyperlink ref="F6" location="PL_DM" display="PL-Division (Month)" xr:uid="{567E0A2B-8D6D-4CAE-9275-0B5E7B780E4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E4529-B7C5-4D5A-B68F-A7243D6C877B}">
  <sheetPr codeName="Sheet13"/>
  <dimension ref="B2:Y17"/>
  <sheetViews>
    <sheetView showGridLines="0" zoomScaleNormal="100" workbookViewId="0">
      <pane xSplit="9" ySplit="9" topLeftCell="J10" activePane="bottomRight" state="frozen"/>
      <selection pane="topRight"/>
      <selection pane="bottomLeft"/>
      <selection pane="bottomRight" activeCell="L31" sqref="L31"/>
    </sheetView>
  </sheetViews>
  <sheetFormatPr defaultColWidth="9.140625" defaultRowHeight="15" outlineLevelCol="1" x14ac:dyDescent="0.25"/>
  <cols>
    <col min="1" max="1" width="2.7109375" style="16" customWidth="1"/>
    <col min="2" max="2" width="16.28515625" style="17" customWidth="1"/>
    <col min="3" max="3" width="41" style="16" bestFit="1" customWidth="1"/>
    <col min="4" max="5" width="12.7109375" style="16" customWidth="1"/>
    <col min="6" max="6" width="10.140625" style="16" bestFit="1" customWidth="1"/>
    <col min="7" max="7" width="23.28515625" style="16" bestFit="1" customWidth="1"/>
    <col min="8" max="8" width="15.7109375" style="16" customWidth="1"/>
    <col min="9" max="9" width="17.5703125" style="97" bestFit="1" customWidth="1"/>
    <col min="10" max="12" width="12.7109375" style="97" customWidth="1"/>
    <col min="13" max="21" width="12.7109375" style="97" hidden="1" customWidth="1" outlineLevel="1"/>
    <col min="22" max="22" width="1.7109375" style="97" hidden="1" customWidth="1" outlineLevel="1"/>
    <col min="23" max="23" width="12.140625" style="97" customWidth="1" collapsed="1"/>
    <col min="24" max="24" width="9.140625" style="16"/>
    <col min="25" max="25" width="11.140625" style="16" bestFit="1" customWidth="1"/>
    <col min="26" max="16384" width="9.140625" style="16"/>
  </cols>
  <sheetData>
    <row r="2" spans="2:25" ht="15.75" x14ac:dyDescent="0.25">
      <c r="B2" s="25" t="str">
        <f>BS!B2</f>
        <v>Pacific Nexus</v>
      </c>
      <c r="C2" s="56"/>
      <c r="D2" s="56"/>
      <c r="E2" s="56"/>
      <c r="G2" s="151" t="s">
        <v>45</v>
      </c>
      <c r="H2" s="151"/>
    </row>
    <row r="3" spans="2:25" ht="15.75" x14ac:dyDescent="0.25">
      <c r="B3" s="25" t="str">
        <f>BS!B3</f>
        <v>Period Ending 03/31/2026</v>
      </c>
      <c r="C3" s="56"/>
      <c r="D3" s="56"/>
      <c r="E3" s="56"/>
      <c r="G3" s="238" t="s">
        <v>47</v>
      </c>
      <c r="H3" s="238"/>
    </row>
    <row r="4" spans="2:25" ht="15.75" x14ac:dyDescent="0.25">
      <c r="B4" s="57"/>
      <c r="C4" s="56"/>
      <c r="D4" s="56"/>
      <c r="E4" s="56"/>
      <c r="G4" s="238" t="s">
        <v>46</v>
      </c>
      <c r="H4" s="238"/>
    </row>
    <row r="5" spans="2:25" ht="15.75" x14ac:dyDescent="0.25">
      <c r="B5" s="25" t="str">
        <f>BS!B17</f>
        <v>1300 Prepaid Expenses</v>
      </c>
      <c r="C5" s="56"/>
      <c r="D5" s="56"/>
      <c r="E5" s="56"/>
      <c r="G5" s="238" t="s">
        <v>34</v>
      </c>
      <c r="H5" s="238"/>
    </row>
    <row r="6" spans="2:25" x14ac:dyDescent="0.25">
      <c r="G6" s="238" t="s">
        <v>36</v>
      </c>
      <c r="H6" s="238"/>
    </row>
    <row r="7" spans="2:25" x14ac:dyDescent="0.25">
      <c r="B7" s="22" t="s">
        <v>638</v>
      </c>
      <c r="C7" s="23">
        <f>BS!C17</f>
        <v>18571.309999999998</v>
      </c>
    </row>
    <row r="9" spans="2:25" s="21" customFormat="1" x14ac:dyDescent="0.25">
      <c r="B9" s="52" t="s">
        <v>639</v>
      </c>
      <c r="C9" s="29" t="s">
        <v>474</v>
      </c>
      <c r="D9" s="29" t="s">
        <v>640</v>
      </c>
      <c r="E9" s="29" t="s">
        <v>641</v>
      </c>
      <c r="F9" s="29" t="s">
        <v>642</v>
      </c>
      <c r="G9" s="29" t="s">
        <v>643</v>
      </c>
      <c r="H9" s="29" t="s">
        <v>1082</v>
      </c>
      <c r="I9" s="98" t="s">
        <v>1081</v>
      </c>
      <c r="J9" s="101">
        <v>46053</v>
      </c>
      <c r="K9" s="101">
        <f>EOMONTH(J9,1)</f>
        <v>46081</v>
      </c>
      <c r="L9" s="101">
        <f t="shared" ref="L9:U9" si="0">EOMONTH(K9,1)</f>
        <v>46112</v>
      </c>
      <c r="M9" s="101">
        <f t="shared" si="0"/>
        <v>46142</v>
      </c>
      <c r="N9" s="101">
        <f t="shared" si="0"/>
        <v>46173</v>
      </c>
      <c r="O9" s="101">
        <f t="shared" si="0"/>
        <v>46203</v>
      </c>
      <c r="P9" s="101">
        <f t="shared" si="0"/>
        <v>46234</v>
      </c>
      <c r="Q9" s="101">
        <f t="shared" si="0"/>
        <v>46265</v>
      </c>
      <c r="R9" s="101">
        <f t="shared" si="0"/>
        <v>46295</v>
      </c>
      <c r="S9" s="101">
        <f t="shared" si="0"/>
        <v>46326</v>
      </c>
      <c r="T9" s="101">
        <f t="shared" si="0"/>
        <v>46356</v>
      </c>
      <c r="U9" s="101">
        <f t="shared" si="0"/>
        <v>46387</v>
      </c>
      <c r="V9" s="101"/>
      <c r="W9" s="101" t="s">
        <v>478</v>
      </c>
    </row>
    <row r="10" spans="2:25" x14ac:dyDescent="0.25">
      <c r="B10" s="53">
        <v>46015</v>
      </c>
      <c r="C10" s="27" t="s">
        <v>644</v>
      </c>
      <c r="D10" s="237">
        <v>46023</v>
      </c>
      <c r="E10" s="237">
        <v>46387</v>
      </c>
      <c r="F10" s="27" t="s">
        <v>645</v>
      </c>
      <c r="G10" s="27" t="s">
        <v>646</v>
      </c>
      <c r="H10" s="816">
        <v>3948</v>
      </c>
      <c r="I10" s="99">
        <f>3948</f>
        <v>3948</v>
      </c>
      <c r="J10" s="99">
        <f>-$I$10/12</f>
        <v>-329</v>
      </c>
      <c r="K10" s="99">
        <f t="shared" ref="K10:U10" si="1">-$I$10/12</f>
        <v>-329</v>
      </c>
      <c r="L10" s="99">
        <f t="shared" si="1"/>
        <v>-329</v>
      </c>
      <c r="M10" s="99">
        <f t="shared" si="1"/>
        <v>-329</v>
      </c>
      <c r="N10" s="99">
        <f t="shared" si="1"/>
        <v>-329</v>
      </c>
      <c r="O10" s="99">
        <f t="shared" si="1"/>
        <v>-329</v>
      </c>
      <c r="P10" s="99">
        <f t="shared" si="1"/>
        <v>-329</v>
      </c>
      <c r="Q10" s="99">
        <f t="shared" si="1"/>
        <v>-329</v>
      </c>
      <c r="R10" s="99">
        <f t="shared" si="1"/>
        <v>-329</v>
      </c>
      <c r="S10" s="99">
        <f t="shared" si="1"/>
        <v>-329</v>
      </c>
      <c r="T10" s="99">
        <f t="shared" si="1"/>
        <v>-329</v>
      </c>
      <c r="U10" s="99">
        <f t="shared" si="1"/>
        <v>-329</v>
      </c>
      <c r="V10" s="99"/>
      <c r="W10" s="301">
        <f>SUM(I10:L10)</f>
        <v>2961</v>
      </c>
    </row>
    <row r="11" spans="2:25" x14ac:dyDescent="0.25">
      <c r="B11" s="53">
        <v>45809</v>
      </c>
      <c r="C11" s="27" t="s">
        <v>647</v>
      </c>
      <c r="D11" s="237">
        <v>45809</v>
      </c>
      <c r="E11" s="237">
        <v>46173</v>
      </c>
      <c r="F11" s="27" t="s">
        <v>645</v>
      </c>
      <c r="G11" s="27" t="s">
        <v>648</v>
      </c>
      <c r="H11" s="816">
        <v>1728</v>
      </c>
      <c r="I11" s="99">
        <v>720</v>
      </c>
      <c r="J11" s="99">
        <f>-1728/12</f>
        <v>-144</v>
      </c>
      <c r="K11" s="99">
        <f t="shared" ref="K11:N11" si="2">-1728/12</f>
        <v>-144</v>
      </c>
      <c r="L11" s="99">
        <f t="shared" si="2"/>
        <v>-144</v>
      </c>
      <c r="M11" s="99">
        <f t="shared" si="2"/>
        <v>-144</v>
      </c>
      <c r="N11" s="99">
        <f t="shared" si="2"/>
        <v>-144</v>
      </c>
      <c r="O11" s="99"/>
      <c r="P11" s="99"/>
      <c r="Q11" s="99"/>
      <c r="R11" s="99"/>
      <c r="S11" s="99"/>
      <c r="T11" s="99"/>
      <c r="U11" s="99"/>
      <c r="V11" s="99"/>
      <c r="W11" s="301">
        <f>SUM(I11:L11)</f>
        <v>288</v>
      </c>
    </row>
    <row r="12" spans="2:25" x14ac:dyDescent="0.25">
      <c r="B12" s="53">
        <v>45996</v>
      </c>
      <c r="C12" s="27" t="s">
        <v>649</v>
      </c>
      <c r="D12" s="237">
        <v>45992</v>
      </c>
      <c r="E12" s="237">
        <v>46356</v>
      </c>
      <c r="F12" s="27" t="s">
        <v>645</v>
      </c>
      <c r="G12" s="27" t="s">
        <v>646</v>
      </c>
      <c r="H12" s="816">
        <v>4019</v>
      </c>
      <c r="I12" s="99">
        <v>3684.08</v>
      </c>
      <c r="J12" s="99">
        <f>+-4019/12</f>
        <v>-334.91666666666669</v>
      </c>
      <c r="K12" s="99">
        <v>-334.92</v>
      </c>
      <c r="L12" s="99">
        <f t="shared" ref="L12:T12" si="3">+-4019/12</f>
        <v>-334.91666666666669</v>
      </c>
      <c r="M12" s="99">
        <f t="shared" si="3"/>
        <v>-334.91666666666669</v>
      </c>
      <c r="N12" s="99">
        <f t="shared" si="3"/>
        <v>-334.91666666666669</v>
      </c>
      <c r="O12" s="99">
        <f t="shared" si="3"/>
        <v>-334.91666666666669</v>
      </c>
      <c r="P12" s="99">
        <f t="shared" si="3"/>
        <v>-334.91666666666669</v>
      </c>
      <c r="Q12" s="99">
        <f t="shared" si="3"/>
        <v>-334.91666666666669</v>
      </c>
      <c r="R12" s="99">
        <f t="shared" si="3"/>
        <v>-334.91666666666669</v>
      </c>
      <c r="S12" s="99">
        <f t="shared" si="3"/>
        <v>-334.91666666666669</v>
      </c>
      <c r="T12" s="99">
        <f t="shared" si="3"/>
        <v>-334.91666666666669</v>
      </c>
      <c r="U12" s="99"/>
      <c r="V12" s="99"/>
      <c r="W12" s="301">
        <f t="shared" ref="W12:W15" si="4">SUM(I12:L12)</f>
        <v>2679.3266666666668</v>
      </c>
      <c r="Y12" s="19"/>
    </row>
    <row r="13" spans="2:25" x14ac:dyDescent="0.25">
      <c r="B13" s="53">
        <v>46012</v>
      </c>
      <c r="C13" s="27" t="s">
        <v>650</v>
      </c>
      <c r="D13" s="237">
        <v>45992</v>
      </c>
      <c r="E13" s="237">
        <v>46356</v>
      </c>
      <c r="F13" s="27" t="s">
        <v>645</v>
      </c>
      <c r="G13" s="27" t="s">
        <v>648</v>
      </c>
      <c r="H13" s="816">
        <v>2001</v>
      </c>
      <c r="I13" s="99">
        <v>1834.24</v>
      </c>
      <c r="J13" s="99">
        <f>-2001/12</f>
        <v>-166.75</v>
      </c>
      <c r="K13" s="99">
        <f t="shared" ref="K13:T13" si="5">-2001/12</f>
        <v>-166.75</v>
      </c>
      <c r="L13" s="99">
        <f t="shared" si="5"/>
        <v>-166.75</v>
      </c>
      <c r="M13" s="99">
        <f t="shared" si="5"/>
        <v>-166.75</v>
      </c>
      <c r="N13" s="99">
        <f t="shared" si="5"/>
        <v>-166.75</v>
      </c>
      <c r="O13" s="99">
        <f t="shared" si="5"/>
        <v>-166.75</v>
      </c>
      <c r="P13" s="99">
        <f t="shared" si="5"/>
        <v>-166.75</v>
      </c>
      <c r="Q13" s="99">
        <f t="shared" si="5"/>
        <v>-166.75</v>
      </c>
      <c r="R13" s="99">
        <f t="shared" si="5"/>
        <v>-166.75</v>
      </c>
      <c r="S13" s="99">
        <f t="shared" si="5"/>
        <v>-166.75</v>
      </c>
      <c r="T13" s="99">
        <f t="shared" si="5"/>
        <v>-166.75</v>
      </c>
      <c r="U13" s="99"/>
      <c r="V13" s="99"/>
      <c r="W13" s="301">
        <f t="shared" si="4"/>
        <v>1333.99</v>
      </c>
      <c r="Y13" s="19"/>
    </row>
    <row r="14" spans="2:25" x14ac:dyDescent="0.25">
      <c r="B14" s="53">
        <v>46049</v>
      </c>
      <c r="C14" s="27" t="s">
        <v>651</v>
      </c>
      <c r="D14" s="237">
        <v>46113</v>
      </c>
      <c r="E14" s="237">
        <v>46142</v>
      </c>
      <c r="F14" s="27" t="s">
        <v>1056</v>
      </c>
      <c r="G14" s="27" t="s">
        <v>652</v>
      </c>
      <c r="H14" s="816">
        <v>3135.75</v>
      </c>
      <c r="I14" s="816">
        <v>0</v>
      </c>
      <c r="J14" s="99">
        <v>3135.75</v>
      </c>
      <c r="K14" s="99">
        <v>-3135.75</v>
      </c>
      <c r="L14" s="99">
        <v>3135.75</v>
      </c>
      <c r="M14" s="99"/>
      <c r="N14" s="99"/>
      <c r="O14" s="99"/>
      <c r="P14" s="99"/>
      <c r="Q14" s="99"/>
      <c r="R14" s="99"/>
      <c r="S14" s="99"/>
      <c r="T14" s="99"/>
      <c r="U14" s="99"/>
      <c r="V14" s="99"/>
      <c r="W14" s="301">
        <f t="shared" si="4"/>
        <v>3135.75</v>
      </c>
      <c r="Y14" s="19"/>
    </row>
    <row r="15" spans="2:25" x14ac:dyDescent="0.25">
      <c r="B15" s="53">
        <v>46070</v>
      </c>
      <c r="C15" s="27" t="s">
        <v>653</v>
      </c>
      <c r="D15" s="237">
        <v>46113</v>
      </c>
      <c r="E15" s="237">
        <v>46142</v>
      </c>
      <c r="F15" s="27" t="s">
        <v>1056</v>
      </c>
      <c r="G15" s="27" t="s">
        <v>1079</v>
      </c>
      <c r="H15" s="816">
        <v>8173.25</v>
      </c>
      <c r="I15" s="99">
        <v>0</v>
      </c>
      <c r="J15" s="99">
        <v>0</v>
      </c>
      <c r="K15" s="99">
        <v>8503.67</v>
      </c>
      <c r="L15" s="99">
        <f>-8503.67+8173.25</f>
        <v>-330.42000000000007</v>
      </c>
      <c r="M15" s="99"/>
      <c r="N15" s="99"/>
      <c r="O15" s="99"/>
      <c r="P15" s="99"/>
      <c r="Q15" s="99"/>
      <c r="R15" s="99"/>
      <c r="S15" s="99"/>
      <c r="T15" s="99"/>
      <c r="U15" s="99"/>
      <c r="V15" s="99"/>
      <c r="W15" s="301">
        <f t="shared" si="4"/>
        <v>8173.25</v>
      </c>
      <c r="Y15" s="19"/>
    </row>
    <row r="16" spans="2:25" x14ac:dyDescent="0.25">
      <c r="B16" s="53"/>
      <c r="C16" s="27"/>
      <c r="D16" s="27"/>
      <c r="E16" s="27"/>
      <c r="F16" s="27"/>
      <c r="G16" s="27"/>
      <c r="H16" s="816"/>
      <c r="I16" s="99"/>
      <c r="J16" s="99"/>
      <c r="K16" s="99"/>
      <c r="L16" s="99"/>
      <c r="M16" s="99"/>
      <c r="N16" s="99"/>
      <c r="O16" s="99"/>
      <c r="P16" s="99"/>
      <c r="Q16" s="99"/>
      <c r="R16" s="99"/>
      <c r="S16" s="99"/>
      <c r="T16" s="99"/>
      <c r="U16" s="99"/>
      <c r="V16" s="99"/>
      <c r="W16" s="99"/>
      <c r="Y16" s="19"/>
    </row>
    <row r="17" spans="2:25" s="21" customFormat="1" x14ac:dyDescent="0.25">
      <c r="B17" s="54"/>
      <c r="C17" s="32"/>
      <c r="D17" s="32"/>
      <c r="E17" s="32"/>
      <c r="F17" s="32"/>
      <c r="G17" s="32"/>
      <c r="H17" s="817">
        <f>SUM(H10:H16)</f>
        <v>23005</v>
      </c>
      <c r="I17" s="100"/>
      <c r="J17" s="309">
        <f t="shared" ref="J17:U17" si="6">SUM(J10:J16)</f>
        <v>2161.083333333333</v>
      </c>
      <c r="K17" s="309">
        <f t="shared" si="6"/>
        <v>4393.25</v>
      </c>
      <c r="L17" s="309">
        <f t="shared" si="6"/>
        <v>1830.663333333333</v>
      </c>
      <c r="M17" s="309">
        <f t="shared" si="6"/>
        <v>-974.66666666666674</v>
      </c>
      <c r="N17" s="309">
        <f t="shared" si="6"/>
        <v>-974.66666666666674</v>
      </c>
      <c r="O17" s="309">
        <f t="shared" si="6"/>
        <v>-830.66666666666674</v>
      </c>
      <c r="P17" s="309">
        <f t="shared" si="6"/>
        <v>-830.66666666666674</v>
      </c>
      <c r="Q17" s="309">
        <f t="shared" si="6"/>
        <v>-830.66666666666674</v>
      </c>
      <c r="R17" s="309">
        <f t="shared" si="6"/>
        <v>-830.66666666666674</v>
      </c>
      <c r="S17" s="309">
        <f t="shared" si="6"/>
        <v>-830.66666666666674</v>
      </c>
      <c r="T17" s="309">
        <f t="shared" si="6"/>
        <v>-830.66666666666674</v>
      </c>
      <c r="U17" s="309">
        <f t="shared" si="6"/>
        <v>-329</v>
      </c>
      <c r="V17" s="100"/>
      <c r="W17" s="301">
        <f>SUM(W10:W16)</f>
        <v>18571.316666666666</v>
      </c>
      <c r="Y17" s="65"/>
    </row>
  </sheetData>
  <hyperlinks>
    <hyperlink ref="G2" location="Index!A1" display="Home" xr:uid="{02E44A5A-8DE4-4C84-92A3-BCD071139600}"/>
    <hyperlink ref="G4" location="P_L" display="Profit &amp; Loss" xr:uid="{FEA6B895-F76A-4917-98B2-D1C4151DACDB}"/>
    <hyperlink ref="G3" location="B_S" display="Balance Sheet" xr:uid="{5C0E6195-B11B-4C60-B852-6EA5064BF16C}"/>
    <hyperlink ref="G5" location="PL_YTD" display="PL-Division (YTD)" xr:uid="{D0964F11-1020-4A52-A52A-FE8ED43ABD01}"/>
    <hyperlink ref="G6" location="PL_DM" display="PL-Division (Month)" xr:uid="{1A1A11B2-FDF2-4935-ACF1-1D98196D2D07}"/>
  </hyperlinks>
  <pageMargins left="0.7" right="0.7" top="0.75" bottom="0.75" header="0.3" footer="0.3"/>
  <ignoredErrors>
    <ignoredError sqref="J17 W14"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B249-AEC0-46D5-AE22-1B551F4821BC}">
  <sheetPr codeName="Sheet14">
    <tabColor rgb="FFFFFF00"/>
  </sheetPr>
  <dimension ref="B2:J92"/>
  <sheetViews>
    <sheetView showGridLines="0" zoomScaleNormal="100" workbookViewId="0">
      <pane ySplit="11" topLeftCell="A12" activePane="bottomLeft" state="frozen"/>
      <selection pane="bottomLeft" activeCell="C8" sqref="C8"/>
    </sheetView>
  </sheetViews>
  <sheetFormatPr defaultColWidth="9.140625" defaultRowHeight="15" x14ac:dyDescent="0.25"/>
  <cols>
    <col min="1" max="1" width="2.7109375" style="16" customWidth="1"/>
    <col min="2" max="2" width="31.42578125" style="16" bestFit="1" customWidth="1"/>
    <col min="3" max="3" width="12.5703125" style="16" bestFit="1" customWidth="1"/>
    <col min="4" max="4" width="9.140625" style="16" customWidth="1"/>
    <col min="5" max="5" width="12" style="16" customWidth="1"/>
    <col min="6" max="6" width="80.28515625" style="313" customWidth="1"/>
    <col min="7" max="7" width="10.7109375" style="16" bestFit="1" customWidth="1"/>
    <col min="8" max="8" width="14.85546875" style="316" bestFit="1" customWidth="1"/>
    <col min="9" max="9" width="69.5703125" style="312" bestFit="1" customWidth="1"/>
    <col min="10" max="16384" width="9.140625" style="16"/>
  </cols>
  <sheetData>
    <row r="2" spans="2:10" ht="15.75" x14ac:dyDescent="0.25">
      <c r="B2" s="18" t="str">
        <f>BS!B2</f>
        <v>Pacific Nexus</v>
      </c>
      <c r="E2" s="151" t="s">
        <v>45</v>
      </c>
    </row>
    <row r="3" spans="2:10" ht="15.75" x14ac:dyDescent="0.25">
      <c r="B3" s="18" t="str">
        <f>BS!B3</f>
        <v>Period Ending 03/31/2026</v>
      </c>
      <c r="E3" s="238" t="s">
        <v>47</v>
      </c>
    </row>
    <row r="4" spans="2:10" ht="15.75" x14ac:dyDescent="0.25">
      <c r="B4" s="56"/>
      <c r="E4" s="238" t="s">
        <v>46</v>
      </c>
    </row>
    <row r="5" spans="2:10" ht="15.75" x14ac:dyDescent="0.25">
      <c r="B5" s="18" t="str">
        <f>BS!B14</f>
        <v>1100 Accounts Receivable</v>
      </c>
      <c r="E5" s="238" t="s">
        <v>34</v>
      </c>
    </row>
    <row r="6" spans="2:10" x14ac:dyDescent="0.25">
      <c r="E6" s="238" t="s">
        <v>36</v>
      </c>
    </row>
    <row r="8" spans="2:10" x14ac:dyDescent="0.25">
      <c r="B8" s="22" t="s">
        <v>638</v>
      </c>
      <c r="C8" s="23">
        <f>BS!C14</f>
        <v>169897.05000000002</v>
      </c>
    </row>
    <row r="9" spans="2:10" x14ac:dyDescent="0.25">
      <c r="B9" s="21" t="s">
        <v>654</v>
      </c>
    </row>
    <row r="10" spans="2:10" ht="15.75" thickBot="1" x14ac:dyDescent="0.3">
      <c r="B10" s="21"/>
    </row>
    <row r="11" spans="2:10" ht="30.75" thickBot="1" x14ac:dyDescent="0.3">
      <c r="B11" s="95" t="s">
        <v>27</v>
      </c>
      <c r="C11" s="96" t="s">
        <v>639</v>
      </c>
      <c r="D11" s="96" t="s">
        <v>655</v>
      </c>
      <c r="E11" s="96" t="s">
        <v>473</v>
      </c>
      <c r="F11" s="96" t="s">
        <v>388</v>
      </c>
      <c r="G11" s="682" t="s">
        <v>656</v>
      </c>
      <c r="H11" s="317" t="s">
        <v>657</v>
      </c>
      <c r="I11" s="679" t="s">
        <v>658</v>
      </c>
    </row>
    <row r="12" spans="2:10" x14ac:dyDescent="0.25">
      <c r="B12" s="805" t="s">
        <v>824</v>
      </c>
      <c r="F12" s="16"/>
      <c r="G12" s="121"/>
      <c r="H12" s="121"/>
      <c r="I12" s="121"/>
    </row>
    <row r="13" spans="2:10" s="315" customFormat="1" x14ac:dyDescent="0.25">
      <c r="B13" s="75"/>
      <c r="C13" s="16" t="s">
        <v>660</v>
      </c>
      <c r="D13" s="16" t="s">
        <v>661</v>
      </c>
      <c r="E13" s="16" t="s">
        <v>662</v>
      </c>
      <c r="F13" s="16" t="s">
        <v>663</v>
      </c>
      <c r="G13" s="121" t="s">
        <v>664</v>
      </c>
      <c r="H13" s="812">
        <v>570.35</v>
      </c>
      <c r="I13" s="709" t="s">
        <v>1262</v>
      </c>
      <c r="J13" s="16"/>
    </row>
    <row r="14" spans="2:10" s="315" customFormat="1" x14ac:dyDescent="0.25">
      <c r="B14" s="75"/>
      <c r="C14" s="16" t="s">
        <v>660</v>
      </c>
      <c r="D14" s="16" t="s">
        <v>661</v>
      </c>
      <c r="E14" s="16" t="s">
        <v>665</v>
      </c>
      <c r="F14" s="16" t="s">
        <v>666</v>
      </c>
      <c r="G14" s="121" t="s">
        <v>664</v>
      </c>
      <c r="H14" s="812">
        <v>167.17</v>
      </c>
      <c r="I14" s="709" t="s">
        <v>1262</v>
      </c>
      <c r="J14" s="16"/>
    </row>
    <row r="15" spans="2:10" s="315" customFormat="1" x14ac:dyDescent="0.25">
      <c r="B15" s="75"/>
      <c r="C15" s="16" t="s">
        <v>667</v>
      </c>
      <c r="D15" s="16" t="s">
        <v>661</v>
      </c>
      <c r="E15" s="16" t="s">
        <v>668</v>
      </c>
      <c r="F15" s="16" t="s">
        <v>669</v>
      </c>
      <c r="G15" s="121" t="s">
        <v>670</v>
      </c>
      <c r="H15" s="812">
        <v>815.71</v>
      </c>
      <c r="I15" s="709" t="s">
        <v>1262</v>
      </c>
      <c r="J15" s="16"/>
    </row>
    <row r="16" spans="2:10" x14ac:dyDescent="0.25">
      <c r="B16" s="806" t="s">
        <v>832</v>
      </c>
      <c r="F16" s="16"/>
      <c r="G16" s="121"/>
      <c r="H16" s="813">
        <f>H13+H14+H15</f>
        <v>1553.23</v>
      </c>
      <c r="I16" s="678"/>
    </row>
    <row r="17" spans="2:9" x14ac:dyDescent="0.25">
      <c r="B17" s="805" t="s">
        <v>659</v>
      </c>
      <c r="F17" s="16"/>
      <c r="G17" s="121"/>
      <c r="H17" s="121"/>
      <c r="I17" s="678"/>
    </row>
    <row r="18" spans="2:9" x14ac:dyDescent="0.25">
      <c r="B18" s="75"/>
      <c r="C18" s="16" t="s">
        <v>418</v>
      </c>
      <c r="D18" s="16" t="s">
        <v>661</v>
      </c>
      <c r="E18" s="16" t="s">
        <v>673</v>
      </c>
      <c r="F18" s="16" t="s">
        <v>674</v>
      </c>
      <c r="G18" s="121" t="s">
        <v>421</v>
      </c>
      <c r="H18" s="812">
        <v>1788.13</v>
      </c>
      <c r="I18" s="709" t="s">
        <v>1262</v>
      </c>
    </row>
    <row r="19" spans="2:9" x14ac:dyDescent="0.25">
      <c r="B19" s="806" t="s">
        <v>671</v>
      </c>
      <c r="F19" s="16"/>
      <c r="G19" s="121"/>
      <c r="H19" s="813">
        <f>H18</f>
        <v>1788.13</v>
      </c>
      <c r="I19" s="678"/>
    </row>
    <row r="20" spans="2:9" x14ac:dyDescent="0.25">
      <c r="B20" s="805" t="s">
        <v>672</v>
      </c>
      <c r="F20" s="16"/>
      <c r="G20" s="121"/>
      <c r="H20" s="121"/>
      <c r="I20" s="678"/>
    </row>
    <row r="21" spans="2:9" ht="30" x14ac:dyDescent="0.25">
      <c r="B21" s="75"/>
      <c r="C21" s="16" t="s">
        <v>412</v>
      </c>
      <c r="D21" s="16" t="s">
        <v>661</v>
      </c>
      <c r="E21" s="16" t="s">
        <v>677</v>
      </c>
      <c r="F21" s="16" t="s">
        <v>678</v>
      </c>
      <c r="G21" s="121" t="s">
        <v>412</v>
      </c>
      <c r="H21" s="812">
        <v>7481.59</v>
      </c>
      <c r="I21" s="678" t="s">
        <v>1484</v>
      </c>
    </row>
    <row r="22" spans="2:9" x14ac:dyDescent="0.25">
      <c r="B22" s="75"/>
      <c r="C22" s="16" t="s">
        <v>416</v>
      </c>
      <c r="D22" s="16" t="s">
        <v>661</v>
      </c>
      <c r="E22" s="16" t="s">
        <v>679</v>
      </c>
      <c r="F22" s="16" t="s">
        <v>680</v>
      </c>
      <c r="G22" s="121" t="s">
        <v>681</v>
      </c>
      <c r="H22" s="812">
        <v>2255.41</v>
      </c>
      <c r="I22" s="709" t="s">
        <v>1262</v>
      </c>
    </row>
    <row r="23" spans="2:9" x14ac:dyDescent="0.25">
      <c r="B23" s="75"/>
      <c r="C23" s="16" t="s">
        <v>682</v>
      </c>
      <c r="D23" s="16" t="s">
        <v>661</v>
      </c>
      <c r="E23" s="16" t="s">
        <v>683</v>
      </c>
      <c r="F23" s="16" t="s">
        <v>684</v>
      </c>
      <c r="G23" s="121" t="s">
        <v>685</v>
      </c>
      <c r="H23" s="812">
        <v>1521.31</v>
      </c>
      <c r="I23" s="709" t="s">
        <v>1262</v>
      </c>
    </row>
    <row r="24" spans="2:9" x14ac:dyDescent="0.25">
      <c r="B24" s="75"/>
      <c r="C24" s="16" t="s">
        <v>686</v>
      </c>
      <c r="D24" s="16" t="s">
        <v>661</v>
      </c>
      <c r="E24" s="16" t="s">
        <v>687</v>
      </c>
      <c r="F24" s="16" t="s">
        <v>688</v>
      </c>
      <c r="G24" s="121" t="s">
        <v>686</v>
      </c>
      <c r="H24" s="812">
        <v>375.11</v>
      </c>
      <c r="I24" s="709" t="s">
        <v>1262</v>
      </c>
    </row>
    <row r="25" spans="2:9" x14ac:dyDescent="0.25">
      <c r="B25" s="806" t="s">
        <v>675</v>
      </c>
      <c r="F25" s="16"/>
      <c r="G25" s="121"/>
      <c r="H25" s="813">
        <f>H21+H22+H23+H24</f>
        <v>11633.42</v>
      </c>
      <c r="I25" s="678"/>
    </row>
    <row r="26" spans="2:9" x14ac:dyDescent="0.25">
      <c r="B26" s="805" t="s">
        <v>676</v>
      </c>
      <c r="F26" s="16"/>
      <c r="G26" s="121"/>
      <c r="H26" s="121"/>
      <c r="I26" s="678"/>
    </row>
    <row r="27" spans="2:9" ht="30" x14ac:dyDescent="0.25">
      <c r="B27" s="75"/>
      <c r="C27" s="16" t="s">
        <v>690</v>
      </c>
      <c r="D27" s="16" t="s">
        <v>661</v>
      </c>
      <c r="E27" s="16" t="s">
        <v>1215</v>
      </c>
      <c r="F27" s="16" t="s">
        <v>419</v>
      </c>
      <c r="G27" s="121" t="s">
        <v>690</v>
      </c>
      <c r="H27" s="812">
        <v>20600.86</v>
      </c>
      <c r="I27" s="678" t="s">
        <v>1476</v>
      </c>
    </row>
    <row r="28" spans="2:9" ht="30" x14ac:dyDescent="0.25">
      <c r="B28" s="75"/>
      <c r="C28" s="16" t="s">
        <v>690</v>
      </c>
      <c r="D28" s="16" t="s">
        <v>661</v>
      </c>
      <c r="E28" s="16" t="s">
        <v>1216</v>
      </c>
      <c r="F28" s="16" t="s">
        <v>419</v>
      </c>
      <c r="G28" s="121" t="s">
        <v>690</v>
      </c>
      <c r="H28" s="812">
        <v>20700.86</v>
      </c>
      <c r="I28" s="678" t="s">
        <v>1476</v>
      </c>
    </row>
    <row r="29" spans="2:9" x14ac:dyDescent="0.25">
      <c r="B29" s="75"/>
      <c r="C29" s="16" t="s">
        <v>858</v>
      </c>
      <c r="D29" s="16" t="s">
        <v>661</v>
      </c>
      <c r="E29" s="16" t="s">
        <v>1217</v>
      </c>
      <c r="F29" s="16" t="s">
        <v>1218</v>
      </c>
      <c r="G29" s="121" t="s">
        <v>1125</v>
      </c>
      <c r="H29" s="812">
        <v>1920.51</v>
      </c>
      <c r="I29" s="709" t="s">
        <v>1262</v>
      </c>
    </row>
    <row r="30" spans="2:9" ht="30" x14ac:dyDescent="0.25">
      <c r="B30" s="75"/>
      <c r="C30" s="16" t="s">
        <v>692</v>
      </c>
      <c r="D30" s="16" t="s">
        <v>661</v>
      </c>
      <c r="E30" s="16" t="s">
        <v>694</v>
      </c>
      <c r="F30" s="16" t="s">
        <v>695</v>
      </c>
      <c r="G30" s="121" t="s">
        <v>693</v>
      </c>
      <c r="H30" s="812">
        <v>902.46</v>
      </c>
      <c r="I30" s="678" t="s">
        <v>1477</v>
      </c>
    </row>
    <row r="31" spans="2:9" x14ac:dyDescent="0.25">
      <c r="B31" s="75"/>
      <c r="C31" s="16" t="s">
        <v>1128</v>
      </c>
      <c r="D31" s="16" t="s">
        <v>661</v>
      </c>
      <c r="E31" s="16" t="s">
        <v>1219</v>
      </c>
      <c r="F31" s="16" t="s">
        <v>1220</v>
      </c>
      <c r="G31" s="121" t="s">
        <v>1128</v>
      </c>
      <c r="H31" s="812">
        <v>3126.29</v>
      </c>
      <c r="I31" s="678"/>
    </row>
    <row r="32" spans="2:9" x14ac:dyDescent="0.25">
      <c r="B32" s="75"/>
      <c r="C32" s="16" t="s">
        <v>885</v>
      </c>
      <c r="D32" s="16" t="s">
        <v>661</v>
      </c>
      <c r="E32" s="16" t="s">
        <v>1221</v>
      </c>
      <c r="F32" s="16" t="s">
        <v>1222</v>
      </c>
      <c r="G32" s="121" t="s">
        <v>885</v>
      </c>
      <c r="H32" s="812">
        <v>1560.07</v>
      </c>
      <c r="I32" s="709" t="s">
        <v>1262</v>
      </c>
    </row>
    <row r="33" spans="2:9" x14ac:dyDescent="0.25">
      <c r="B33" s="75"/>
      <c r="C33" s="16" t="s">
        <v>885</v>
      </c>
      <c r="D33" s="16" t="s">
        <v>661</v>
      </c>
      <c r="E33" s="16" t="s">
        <v>1223</v>
      </c>
      <c r="F33" s="16" t="s">
        <v>1224</v>
      </c>
      <c r="G33" s="121" t="s">
        <v>885</v>
      </c>
      <c r="H33" s="812">
        <v>1256.94</v>
      </c>
      <c r="I33" s="709" t="s">
        <v>1262</v>
      </c>
    </row>
    <row r="34" spans="2:9" x14ac:dyDescent="0.25">
      <c r="B34" s="806" t="s">
        <v>689</v>
      </c>
      <c r="F34" s="16"/>
      <c r="G34" s="121"/>
      <c r="H34" s="813">
        <f>H27+H28+H29+H30+H31+H32+H33</f>
        <v>50067.990000000005</v>
      </c>
      <c r="I34" s="678"/>
    </row>
    <row r="35" spans="2:9" x14ac:dyDescent="0.25">
      <c r="B35" s="805" t="s">
        <v>311</v>
      </c>
      <c r="F35" s="16"/>
      <c r="G35" s="121"/>
      <c r="H35" s="121"/>
      <c r="I35" s="678"/>
    </row>
    <row r="36" spans="2:9" x14ac:dyDescent="0.25">
      <c r="B36" s="75"/>
      <c r="C36" s="16" t="s">
        <v>887</v>
      </c>
      <c r="D36" s="16" t="s">
        <v>661</v>
      </c>
      <c r="E36" s="16" t="s">
        <v>1225</v>
      </c>
      <c r="F36" s="16" t="s">
        <v>1226</v>
      </c>
      <c r="G36" s="121" t="s">
        <v>887</v>
      </c>
      <c r="H36" s="812">
        <v>3326.13</v>
      </c>
      <c r="I36" s="678"/>
    </row>
    <row r="37" spans="2:9" x14ac:dyDescent="0.25">
      <c r="B37" s="75"/>
      <c r="C37" s="16" t="s">
        <v>887</v>
      </c>
      <c r="D37" s="16" t="s">
        <v>661</v>
      </c>
      <c r="E37" s="16" t="s">
        <v>1227</v>
      </c>
      <c r="F37" s="16" t="s">
        <v>1228</v>
      </c>
      <c r="G37" s="121" t="s">
        <v>887</v>
      </c>
      <c r="H37" s="812">
        <v>1086.02</v>
      </c>
      <c r="I37" s="709" t="s">
        <v>1262</v>
      </c>
    </row>
    <row r="38" spans="2:9" x14ac:dyDescent="0.25">
      <c r="B38" s="75"/>
      <c r="C38" s="16" t="s">
        <v>887</v>
      </c>
      <c r="D38" s="16" t="s">
        <v>661</v>
      </c>
      <c r="E38" s="16" t="s">
        <v>1229</v>
      </c>
      <c r="F38" s="16" t="s">
        <v>1230</v>
      </c>
      <c r="G38" s="121" t="s">
        <v>887</v>
      </c>
      <c r="H38" s="812">
        <v>242.59</v>
      </c>
      <c r="I38" s="709" t="s">
        <v>1262</v>
      </c>
    </row>
    <row r="39" spans="2:9" x14ac:dyDescent="0.25">
      <c r="B39" s="75"/>
      <c r="C39" s="16" t="s">
        <v>887</v>
      </c>
      <c r="D39" s="16" t="s">
        <v>661</v>
      </c>
      <c r="E39" s="16" t="s">
        <v>1231</v>
      </c>
      <c r="F39" s="16" t="s">
        <v>1232</v>
      </c>
      <c r="G39" s="121" t="s">
        <v>1140</v>
      </c>
      <c r="H39" s="812">
        <v>2486.89</v>
      </c>
      <c r="I39" s="709" t="s">
        <v>1262</v>
      </c>
    </row>
    <row r="40" spans="2:9" x14ac:dyDescent="0.25">
      <c r="B40" s="75"/>
      <c r="C40" s="16" t="s">
        <v>1233</v>
      </c>
      <c r="D40" s="16" t="s">
        <v>661</v>
      </c>
      <c r="E40" s="16" t="s">
        <v>1234</v>
      </c>
      <c r="F40" s="16" t="s">
        <v>1235</v>
      </c>
      <c r="G40" s="121" t="s">
        <v>1236</v>
      </c>
      <c r="H40" s="812">
        <v>2232</v>
      </c>
      <c r="I40" s="709" t="s">
        <v>1262</v>
      </c>
    </row>
    <row r="41" spans="2:9" x14ac:dyDescent="0.25">
      <c r="B41" s="75"/>
      <c r="C41" s="16" t="s">
        <v>873</v>
      </c>
      <c r="D41" s="16" t="s">
        <v>661</v>
      </c>
      <c r="E41" s="16" t="s">
        <v>1237</v>
      </c>
      <c r="F41" s="16" t="s">
        <v>1238</v>
      </c>
      <c r="G41" s="121" t="s">
        <v>1142</v>
      </c>
      <c r="H41" s="812">
        <v>538.55999999999995</v>
      </c>
      <c r="I41" s="709" t="s">
        <v>1262</v>
      </c>
    </row>
    <row r="42" spans="2:9" x14ac:dyDescent="0.25">
      <c r="B42" s="75"/>
      <c r="C42" s="16" t="s">
        <v>873</v>
      </c>
      <c r="D42" s="16" t="s">
        <v>661</v>
      </c>
      <c r="E42" s="16" t="s">
        <v>1239</v>
      </c>
      <c r="F42" s="16" t="s">
        <v>1240</v>
      </c>
      <c r="G42" s="121" t="s">
        <v>1142</v>
      </c>
      <c r="H42" s="812">
        <v>538.55999999999995</v>
      </c>
      <c r="I42" s="709" t="s">
        <v>1262</v>
      </c>
    </row>
    <row r="43" spans="2:9" x14ac:dyDescent="0.25">
      <c r="B43" s="75"/>
      <c r="C43" s="16" t="s">
        <v>873</v>
      </c>
      <c r="D43" s="16" t="s">
        <v>661</v>
      </c>
      <c r="E43" s="16" t="s">
        <v>1241</v>
      </c>
      <c r="F43" s="16" t="s">
        <v>1242</v>
      </c>
      <c r="G43" s="121" t="s">
        <v>1142</v>
      </c>
      <c r="H43" s="812">
        <v>478.46</v>
      </c>
      <c r="I43" s="709" t="s">
        <v>1262</v>
      </c>
    </row>
    <row r="44" spans="2:9" x14ac:dyDescent="0.25">
      <c r="B44" s="75"/>
      <c r="C44" s="16" t="s">
        <v>1128</v>
      </c>
      <c r="D44" s="16" t="s">
        <v>661</v>
      </c>
      <c r="E44" s="16" t="s">
        <v>1243</v>
      </c>
      <c r="F44" s="16" t="s">
        <v>1244</v>
      </c>
      <c r="G44" s="121" t="s">
        <v>1245</v>
      </c>
      <c r="H44" s="812">
        <v>2970</v>
      </c>
      <c r="I44" s="709" t="s">
        <v>1262</v>
      </c>
    </row>
    <row r="45" spans="2:9" x14ac:dyDescent="0.25">
      <c r="B45" s="75"/>
      <c r="C45" s="16" t="s">
        <v>1124</v>
      </c>
      <c r="D45" s="16" t="s">
        <v>661</v>
      </c>
      <c r="E45" s="16" t="s">
        <v>1246</v>
      </c>
      <c r="F45" s="16" t="s">
        <v>1247</v>
      </c>
      <c r="G45" s="121" t="s">
        <v>1149</v>
      </c>
      <c r="H45" s="812">
        <v>6100</v>
      </c>
      <c r="I45" s="709" t="s">
        <v>1262</v>
      </c>
    </row>
    <row r="46" spans="2:9" x14ac:dyDescent="0.25">
      <c r="B46" s="75"/>
      <c r="C46" s="16" t="s">
        <v>879</v>
      </c>
      <c r="D46" s="16" t="s">
        <v>661</v>
      </c>
      <c r="E46" s="16" t="s">
        <v>1248</v>
      </c>
      <c r="F46" s="16" t="s">
        <v>1249</v>
      </c>
      <c r="G46" s="121" t="s">
        <v>1154</v>
      </c>
      <c r="H46" s="812">
        <v>594.33000000000004</v>
      </c>
      <c r="I46" s="678"/>
    </row>
    <row r="47" spans="2:9" x14ac:dyDescent="0.25">
      <c r="B47" s="75"/>
      <c r="C47" s="16" t="s">
        <v>869</v>
      </c>
      <c r="D47" s="16" t="s">
        <v>661</v>
      </c>
      <c r="E47" s="16" t="s">
        <v>1250</v>
      </c>
      <c r="F47" s="16" t="s">
        <v>1251</v>
      </c>
      <c r="G47" s="121" t="s">
        <v>1172</v>
      </c>
      <c r="H47" s="812">
        <v>3586.89</v>
      </c>
      <c r="I47" s="709" t="s">
        <v>1262</v>
      </c>
    </row>
    <row r="48" spans="2:9" x14ac:dyDescent="0.25">
      <c r="B48" s="75"/>
      <c r="C48" s="16" t="s">
        <v>873</v>
      </c>
      <c r="D48" s="16" t="s">
        <v>661</v>
      </c>
      <c r="E48" s="16" t="s">
        <v>1252</v>
      </c>
      <c r="F48" s="16" t="s">
        <v>1253</v>
      </c>
      <c r="G48" s="121" t="s">
        <v>1184</v>
      </c>
      <c r="H48" s="812">
        <v>17971.75</v>
      </c>
      <c r="I48" s="678"/>
    </row>
    <row r="49" spans="2:9" x14ac:dyDescent="0.25">
      <c r="B49" s="75"/>
      <c r="C49" s="16" t="s">
        <v>1100</v>
      </c>
      <c r="D49" s="16" t="s">
        <v>661</v>
      </c>
      <c r="E49" s="16" t="s">
        <v>1254</v>
      </c>
      <c r="F49" s="16" t="s">
        <v>1255</v>
      </c>
      <c r="G49" s="121" t="s">
        <v>1191</v>
      </c>
      <c r="H49" s="812">
        <v>250</v>
      </c>
      <c r="I49" s="678"/>
    </row>
    <row r="50" spans="2:9" x14ac:dyDescent="0.25">
      <c r="B50" s="75"/>
      <c r="C50" s="16" t="s">
        <v>1100</v>
      </c>
      <c r="D50" s="16" t="s">
        <v>661</v>
      </c>
      <c r="E50" s="16" t="s">
        <v>1256</v>
      </c>
      <c r="F50" s="16" t="s">
        <v>1257</v>
      </c>
      <c r="G50" s="121" t="s">
        <v>1191</v>
      </c>
      <c r="H50" s="812">
        <v>2294.5</v>
      </c>
      <c r="I50" s="678"/>
    </row>
    <row r="51" spans="2:9" x14ac:dyDescent="0.25">
      <c r="B51" s="75"/>
      <c r="C51" s="16" t="s">
        <v>879</v>
      </c>
      <c r="D51" s="16" t="s">
        <v>661</v>
      </c>
      <c r="E51" s="16" t="s">
        <v>1258</v>
      </c>
      <c r="F51" s="16" t="s">
        <v>419</v>
      </c>
      <c r="G51" s="121" t="s">
        <v>1259</v>
      </c>
      <c r="H51" s="812">
        <v>6188.56</v>
      </c>
      <c r="I51" s="678"/>
    </row>
    <row r="52" spans="2:9" x14ac:dyDescent="0.25">
      <c r="B52" s="75"/>
      <c r="C52" s="16" t="s">
        <v>885</v>
      </c>
      <c r="D52" s="16" t="s">
        <v>661</v>
      </c>
      <c r="E52" s="16" t="s">
        <v>1260</v>
      </c>
      <c r="F52" s="16" t="s">
        <v>408</v>
      </c>
      <c r="G52" s="121" t="s">
        <v>1261</v>
      </c>
      <c r="H52" s="812">
        <v>53969.04</v>
      </c>
      <c r="I52" s="709" t="s">
        <v>1262</v>
      </c>
    </row>
    <row r="53" spans="2:9" x14ac:dyDescent="0.25">
      <c r="B53" s="806" t="s">
        <v>699</v>
      </c>
      <c r="F53" s="16"/>
      <c r="G53" s="121"/>
      <c r="H53" s="813">
        <f>H36+H37+H38+H39+H40+H41+H42+H43+H44+H45+H46+H47+H48+H49+H50+H51+H52</f>
        <v>104854.28</v>
      </c>
      <c r="I53" s="121"/>
    </row>
    <row r="54" spans="2:9" ht="15.75" thickBot="1" x14ac:dyDescent="0.3">
      <c r="B54" s="674"/>
      <c r="C54" s="48"/>
      <c r="D54" s="48"/>
      <c r="E54" s="48"/>
      <c r="F54" s="48"/>
      <c r="G54" s="678"/>
      <c r="H54" s="811"/>
      <c r="I54" s="121"/>
    </row>
    <row r="55" spans="2:9" ht="15.75" thickBot="1" x14ac:dyDescent="0.3">
      <c r="B55" s="675" t="s">
        <v>700</v>
      </c>
      <c r="C55" s="676"/>
      <c r="D55" s="676"/>
      <c r="E55" s="676"/>
      <c r="F55" s="677"/>
      <c r="G55" s="683"/>
      <c r="H55" s="681">
        <f>++H34+H16+H25+H19+H53</f>
        <v>169897.05</v>
      </c>
      <c r="I55" s="680"/>
    </row>
    <row r="58" spans="2:9" x14ac:dyDescent="0.25">
      <c r="E58" s="814"/>
    </row>
    <row r="59" spans="2:9" x14ac:dyDescent="0.25">
      <c r="E59" s="815"/>
    </row>
    <row r="60" spans="2:9" x14ac:dyDescent="0.25">
      <c r="E60" s="815"/>
    </row>
    <row r="61" spans="2:9" x14ac:dyDescent="0.25">
      <c r="E61" s="814"/>
    </row>
    <row r="62" spans="2:9" x14ac:dyDescent="0.25">
      <c r="E62" s="814"/>
    </row>
    <row r="63" spans="2:9" x14ac:dyDescent="0.25">
      <c r="E63" s="815"/>
    </row>
    <row r="64" spans="2:9" x14ac:dyDescent="0.25">
      <c r="E64" s="815"/>
    </row>
    <row r="65" spans="5:5" x14ac:dyDescent="0.25">
      <c r="E65" s="814"/>
    </row>
    <row r="66" spans="5:5" x14ac:dyDescent="0.25">
      <c r="E66" s="814"/>
    </row>
    <row r="67" spans="5:5" x14ac:dyDescent="0.25">
      <c r="E67" s="814"/>
    </row>
    <row r="68" spans="5:5" x14ac:dyDescent="0.25">
      <c r="E68" s="814"/>
    </row>
    <row r="69" spans="5:5" x14ac:dyDescent="0.25">
      <c r="E69" s="814"/>
    </row>
    <row r="70" spans="5:5" x14ac:dyDescent="0.25">
      <c r="E70" s="815"/>
    </row>
    <row r="71" spans="5:5" x14ac:dyDescent="0.25">
      <c r="E71" s="815"/>
    </row>
    <row r="72" spans="5:5" x14ac:dyDescent="0.25">
      <c r="E72" s="814"/>
    </row>
    <row r="73" spans="5:5" x14ac:dyDescent="0.25">
      <c r="E73" s="814"/>
    </row>
    <row r="74" spans="5:5" x14ac:dyDescent="0.25">
      <c r="E74" s="814"/>
    </row>
    <row r="75" spans="5:5" x14ac:dyDescent="0.25">
      <c r="E75" s="814"/>
    </row>
    <row r="76" spans="5:5" x14ac:dyDescent="0.25">
      <c r="E76" s="814"/>
    </row>
    <row r="77" spans="5:5" x14ac:dyDescent="0.25">
      <c r="E77" s="814"/>
    </row>
    <row r="78" spans="5:5" x14ac:dyDescent="0.25">
      <c r="E78" s="814"/>
    </row>
    <row r="79" spans="5:5" x14ac:dyDescent="0.25">
      <c r="E79" s="814"/>
    </row>
    <row r="80" spans="5:5" x14ac:dyDescent="0.25">
      <c r="E80" s="814"/>
    </row>
    <row r="81" spans="5:5" x14ac:dyDescent="0.25">
      <c r="E81" s="814"/>
    </row>
    <row r="82" spans="5:5" x14ac:dyDescent="0.25">
      <c r="E82" s="814"/>
    </row>
    <row r="83" spans="5:5" x14ac:dyDescent="0.25">
      <c r="E83" s="814"/>
    </row>
    <row r="84" spans="5:5" x14ac:dyDescent="0.25">
      <c r="E84" s="814"/>
    </row>
    <row r="85" spans="5:5" x14ac:dyDescent="0.25">
      <c r="E85" s="814"/>
    </row>
    <row r="86" spans="5:5" x14ac:dyDescent="0.25">
      <c r="E86" s="814"/>
    </row>
    <row r="87" spans="5:5" x14ac:dyDescent="0.25">
      <c r="E87" s="814"/>
    </row>
    <row r="88" spans="5:5" x14ac:dyDescent="0.25">
      <c r="E88" s="814"/>
    </row>
    <row r="89" spans="5:5" x14ac:dyDescent="0.25">
      <c r="E89" s="814"/>
    </row>
    <row r="90" spans="5:5" x14ac:dyDescent="0.25">
      <c r="E90" s="814"/>
    </row>
    <row r="91" spans="5:5" x14ac:dyDescent="0.25">
      <c r="E91" s="814"/>
    </row>
    <row r="92" spans="5:5" x14ac:dyDescent="0.25">
      <c r="E92" s="814"/>
    </row>
  </sheetData>
  <autoFilter ref="B11:I55" xr:uid="{A797B249-AEC0-46D5-AE22-1B551F4821BC}"/>
  <conditionalFormatting sqref="E1:E1048576">
    <cfRule type="duplicateValues" dxfId="13" priority="1"/>
  </conditionalFormatting>
  <conditionalFormatting sqref="E12:E54">
    <cfRule type="duplicateValues" dxfId="12" priority="24"/>
  </conditionalFormatting>
  <conditionalFormatting sqref="E55:E1048576 E1 E7:E11">
    <cfRule type="duplicateValues" dxfId="11" priority="5"/>
  </conditionalFormatting>
  <hyperlinks>
    <hyperlink ref="E2" location="Index!A1" display="Home" xr:uid="{8D5B844A-B6AD-45AD-8553-2D31B68852F6}"/>
    <hyperlink ref="E4" location="P_L" display="Profit &amp; Loss" xr:uid="{A2CE76FA-7E5E-4358-A47E-33CA77B4F9E8}"/>
    <hyperlink ref="E3" location="B_S" display="Balance Sheet" xr:uid="{868B291B-BE90-4232-8FCD-EA7FE2145C23}"/>
    <hyperlink ref="E5" location="PL_YTD" display="PL-Division (YTD)" xr:uid="{46728B4A-2337-4867-9DA0-5CE994D15B98}"/>
    <hyperlink ref="E6" location="PL_DM" display="PL-Division (Month)" xr:uid="{9E612DB3-F562-4C70-B97F-7CC1FAF1AC9F}"/>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390D-3611-4A9A-9B6F-DDEF69292DB8}">
  <sheetPr codeName="Sheet15">
    <tabColor rgb="FFFFFF00"/>
  </sheetPr>
  <dimension ref="B2:H114"/>
  <sheetViews>
    <sheetView showGridLines="0" workbookViewId="0">
      <pane ySplit="8" topLeftCell="A9" activePane="bottomLeft" state="frozen"/>
      <selection pane="bottomLeft" activeCell="G58" sqref="G58"/>
    </sheetView>
  </sheetViews>
  <sheetFormatPr defaultColWidth="9.140625" defaultRowHeight="15" outlineLevelRow="1" x14ac:dyDescent="0.25"/>
  <cols>
    <col min="1" max="1" width="2.7109375" style="16" customWidth="1"/>
    <col min="2" max="2" width="32.85546875" style="16" bestFit="1" customWidth="1"/>
    <col min="3" max="3" width="16" style="16" bestFit="1" customWidth="1"/>
    <col min="4" max="4" width="48.28515625" style="16" bestFit="1" customWidth="1"/>
    <col min="5" max="5" width="16.28515625" style="24" bestFit="1" customWidth="1"/>
    <col min="6" max="6" width="35" style="16" customWidth="1"/>
    <col min="7" max="7" width="61.28515625" style="16" customWidth="1"/>
    <col min="8" max="8" width="10.5703125" style="16" bestFit="1" customWidth="1"/>
    <col min="9" max="16384" width="9.140625" style="16"/>
  </cols>
  <sheetData>
    <row r="2" spans="2:6" ht="15.75" x14ac:dyDescent="0.25">
      <c r="B2" s="18" t="str">
        <f>BS!B2</f>
        <v>Pacific Nexus</v>
      </c>
      <c r="D2" s="151" t="s">
        <v>45</v>
      </c>
      <c r="E2" s="20"/>
    </row>
    <row r="3" spans="2:6" ht="15.75" x14ac:dyDescent="0.25">
      <c r="B3" s="18" t="str">
        <f>BS!B3</f>
        <v>Period Ending 03/31/2026</v>
      </c>
      <c r="D3" s="238" t="s">
        <v>47</v>
      </c>
      <c r="E3" s="20"/>
    </row>
    <row r="4" spans="2:6" ht="15.75" x14ac:dyDescent="0.25">
      <c r="B4" s="18"/>
      <c r="D4" s="238" t="s">
        <v>46</v>
      </c>
      <c r="E4" s="238"/>
    </row>
    <row r="5" spans="2:6" ht="15.75" x14ac:dyDescent="0.25">
      <c r="B5" s="18" t="str">
        <f>BS!B21</f>
        <v>Fixed Assets</v>
      </c>
      <c r="D5" s="238" t="s">
        <v>34</v>
      </c>
      <c r="E5" s="238"/>
    </row>
    <row r="6" spans="2:6" x14ac:dyDescent="0.25">
      <c r="C6" s="19"/>
      <c r="D6" s="238" t="s">
        <v>36</v>
      </c>
    </row>
    <row r="7" spans="2:6" x14ac:dyDescent="0.25">
      <c r="C7" s="34"/>
      <c r="F7" s="64"/>
    </row>
    <row r="8" spans="2:6" x14ac:dyDescent="0.25">
      <c r="B8" s="22" t="s">
        <v>638</v>
      </c>
      <c r="C8" s="23">
        <f>BS!C28</f>
        <v>144485.22</v>
      </c>
      <c r="D8" s="19">
        <f>+C8-E21</f>
        <v>0</v>
      </c>
    </row>
    <row r="9" spans="2:6" x14ac:dyDescent="0.25">
      <c r="B9" s="21"/>
      <c r="C9" s="26"/>
    </row>
    <row r="10" spans="2:6" x14ac:dyDescent="0.25">
      <c r="B10" s="35" t="s">
        <v>68</v>
      </c>
      <c r="C10" s="35" t="s">
        <v>701</v>
      </c>
      <c r="D10" s="35" t="s">
        <v>702</v>
      </c>
      <c r="E10" s="36" t="s">
        <v>703</v>
      </c>
      <c r="F10" s="36" t="s">
        <v>658</v>
      </c>
    </row>
    <row r="11" spans="2:6" x14ac:dyDescent="0.25">
      <c r="B11" s="27" t="s">
        <v>69</v>
      </c>
      <c r="C11" s="31">
        <f>SUM(E25:E33)+SUM(E36:E57)</f>
        <v>210849.37</v>
      </c>
      <c r="D11" s="31">
        <f>+SUM(E59:E61)</f>
        <v>16142.45</v>
      </c>
      <c r="E11" s="31">
        <f>C11+D11</f>
        <v>226991.82</v>
      </c>
      <c r="F11" s="37"/>
    </row>
    <row r="12" spans="2:6" ht="30" x14ac:dyDescent="0.25">
      <c r="B12" s="102" t="s">
        <v>71</v>
      </c>
      <c r="C12" s="31">
        <v>0</v>
      </c>
      <c r="D12" s="31"/>
      <c r="E12" s="33">
        <f>E84</f>
        <v>-91592.159999999989</v>
      </c>
      <c r="F12" s="37"/>
    </row>
    <row r="13" spans="2:6" x14ac:dyDescent="0.25">
      <c r="B13" s="102"/>
      <c r="C13" s="31"/>
      <c r="D13" s="31"/>
      <c r="E13" s="33"/>
      <c r="F13" s="37"/>
    </row>
    <row r="14" spans="2:6" x14ac:dyDescent="0.25">
      <c r="B14" s="102"/>
      <c r="C14" s="31"/>
      <c r="D14" s="31"/>
      <c r="E14" s="33">
        <f>SUM(E11:E13)</f>
        <v>135399.66000000003</v>
      </c>
      <c r="F14" s="37"/>
    </row>
    <row r="15" spans="2:6" x14ac:dyDescent="0.25">
      <c r="B15" s="102"/>
      <c r="C15" s="31"/>
      <c r="D15" s="31"/>
      <c r="E15" s="33"/>
      <c r="F15" s="37"/>
    </row>
    <row r="16" spans="2:6" x14ac:dyDescent="0.25">
      <c r="B16" s="27" t="s">
        <v>73</v>
      </c>
      <c r="C16" s="31">
        <v>12840</v>
      </c>
      <c r="D16" s="31">
        <v>0</v>
      </c>
      <c r="E16" s="31">
        <f>C16+D16</f>
        <v>12840</v>
      </c>
      <c r="F16" s="37" t="s">
        <v>704</v>
      </c>
    </row>
    <row r="17" spans="2:6" ht="30" x14ac:dyDescent="0.25">
      <c r="B17" s="102" t="s">
        <v>74</v>
      </c>
      <c r="C17" s="31">
        <v>0</v>
      </c>
      <c r="D17" s="31"/>
      <c r="E17" s="31">
        <f>E109</f>
        <v>-3754.4399999999991</v>
      </c>
      <c r="F17" s="37"/>
    </row>
    <row r="18" spans="2:6" x14ac:dyDescent="0.25">
      <c r="B18" s="102"/>
      <c r="C18" s="31"/>
      <c r="D18" s="31"/>
      <c r="E18" s="31"/>
      <c r="F18" s="37"/>
    </row>
    <row r="19" spans="2:6" x14ac:dyDescent="0.25">
      <c r="B19" s="102"/>
      <c r="C19" s="31"/>
      <c r="D19" s="31"/>
      <c r="E19" s="33">
        <f>SUM(E16:E18)</f>
        <v>9085.5600000000013</v>
      </c>
      <c r="F19" s="37"/>
    </row>
    <row r="20" spans="2:6" x14ac:dyDescent="0.25">
      <c r="B20" s="27"/>
      <c r="C20" s="31"/>
      <c r="D20" s="31"/>
      <c r="E20" s="31"/>
      <c r="F20" s="37"/>
    </row>
    <row r="21" spans="2:6" x14ac:dyDescent="0.25">
      <c r="B21" s="27"/>
      <c r="C21" s="27"/>
      <c r="D21" s="27"/>
      <c r="E21" s="161">
        <f>+E14+E19</f>
        <v>144485.22000000003</v>
      </c>
      <c r="F21" s="33"/>
    </row>
    <row r="23" spans="2:6" x14ac:dyDescent="0.25">
      <c r="B23" s="105" t="s">
        <v>705</v>
      </c>
    </row>
    <row r="24" spans="2:6" x14ac:dyDescent="0.25">
      <c r="B24" s="39" t="s">
        <v>639</v>
      </c>
      <c r="C24" s="39" t="s">
        <v>706</v>
      </c>
      <c r="D24" s="39" t="s">
        <v>707</v>
      </c>
      <c r="E24" s="40" t="s">
        <v>48</v>
      </c>
      <c r="F24" s="40" t="s">
        <v>708</v>
      </c>
    </row>
    <row r="25" spans="2:6" ht="30" hidden="1" outlineLevel="1" x14ac:dyDescent="0.25">
      <c r="B25" s="41" t="s">
        <v>709</v>
      </c>
      <c r="C25" s="42" t="s">
        <v>710</v>
      </c>
      <c r="D25" s="44" t="s">
        <v>711</v>
      </c>
      <c r="E25" s="43">
        <v>4000</v>
      </c>
      <c r="F25" s="27" t="s">
        <v>701</v>
      </c>
    </row>
    <row r="26" spans="2:6" hidden="1" outlineLevel="1" x14ac:dyDescent="0.25">
      <c r="B26" s="41" t="s">
        <v>709</v>
      </c>
      <c r="C26" s="42" t="s">
        <v>710</v>
      </c>
      <c r="D26" s="44" t="s">
        <v>712</v>
      </c>
      <c r="E26" s="43">
        <v>23845</v>
      </c>
      <c r="F26" s="27" t="s">
        <v>701</v>
      </c>
    </row>
    <row r="27" spans="2:6" hidden="1" outlineLevel="1" x14ac:dyDescent="0.25">
      <c r="B27" s="41" t="s">
        <v>709</v>
      </c>
      <c r="C27" s="42" t="s">
        <v>710</v>
      </c>
      <c r="D27" s="44" t="s">
        <v>713</v>
      </c>
      <c r="E27" s="43">
        <v>35000</v>
      </c>
      <c r="F27" s="27" t="s">
        <v>701</v>
      </c>
    </row>
    <row r="28" spans="2:6" hidden="1" outlineLevel="1" x14ac:dyDescent="0.25">
      <c r="B28" s="27" t="s">
        <v>714</v>
      </c>
      <c r="C28" s="42" t="s">
        <v>710</v>
      </c>
      <c r="D28" s="44" t="s">
        <v>715</v>
      </c>
      <c r="E28" s="43">
        <v>7414.2</v>
      </c>
      <c r="F28" s="27"/>
    </row>
    <row r="29" spans="2:6" ht="30" hidden="1" outlineLevel="1" x14ac:dyDescent="0.25">
      <c r="B29" s="27" t="s">
        <v>716</v>
      </c>
      <c r="C29" s="42" t="s">
        <v>710</v>
      </c>
      <c r="D29" s="44" t="s">
        <v>717</v>
      </c>
      <c r="E29" s="58">
        <v>1293</v>
      </c>
      <c r="F29" s="27"/>
    </row>
    <row r="30" spans="2:6" hidden="1" outlineLevel="1" x14ac:dyDescent="0.25">
      <c r="B30" s="27" t="s">
        <v>718</v>
      </c>
      <c r="C30" s="42" t="s">
        <v>486</v>
      </c>
      <c r="D30" s="44" t="s">
        <v>719</v>
      </c>
      <c r="E30" s="58">
        <v>13947</v>
      </c>
      <c r="F30" s="27"/>
    </row>
    <row r="31" spans="2:6" hidden="1" outlineLevel="1" x14ac:dyDescent="0.25">
      <c r="B31" s="27" t="s">
        <v>720</v>
      </c>
      <c r="C31" s="42" t="s">
        <v>486</v>
      </c>
      <c r="D31" s="44" t="s">
        <v>721</v>
      </c>
      <c r="E31" s="58">
        <v>17033.68</v>
      </c>
      <c r="F31" s="27"/>
    </row>
    <row r="32" spans="2:6" ht="30" hidden="1" outlineLevel="1" x14ac:dyDescent="0.25">
      <c r="B32" s="27" t="s">
        <v>722</v>
      </c>
      <c r="C32" s="42" t="s">
        <v>710</v>
      </c>
      <c r="D32" s="44" t="s">
        <v>723</v>
      </c>
      <c r="E32" s="58">
        <v>-1293</v>
      </c>
      <c r="F32" s="27"/>
    </row>
    <row r="33" spans="2:6" ht="30" hidden="1" outlineLevel="1" x14ac:dyDescent="0.25">
      <c r="B33" s="27" t="s">
        <v>722</v>
      </c>
      <c r="C33" s="42" t="s">
        <v>710</v>
      </c>
      <c r="D33" s="44" t="s">
        <v>724</v>
      </c>
      <c r="E33" s="58">
        <v>4870.49</v>
      </c>
      <c r="F33" s="27"/>
    </row>
    <row r="34" spans="2:6" hidden="1" outlineLevel="1" x14ac:dyDescent="0.25">
      <c r="B34" s="27"/>
      <c r="C34" s="42"/>
      <c r="D34" s="44"/>
      <c r="E34" s="58"/>
      <c r="F34" s="27"/>
    </row>
    <row r="35" spans="2:6" collapsed="1" x14ac:dyDescent="0.25">
      <c r="B35" s="32">
        <v>2024</v>
      </c>
      <c r="C35" s="42"/>
      <c r="D35" s="44"/>
      <c r="E35" s="58"/>
      <c r="F35" s="27"/>
    </row>
    <row r="36" spans="2:6" ht="30" hidden="1" outlineLevel="1" x14ac:dyDescent="0.25">
      <c r="B36" s="27" t="s">
        <v>725</v>
      </c>
      <c r="C36" s="42" t="s">
        <v>480</v>
      </c>
      <c r="D36" s="44" t="s">
        <v>726</v>
      </c>
      <c r="E36" s="58">
        <v>17033.68</v>
      </c>
      <c r="F36" s="27"/>
    </row>
    <row r="37" spans="2:6" ht="30" hidden="1" outlineLevel="1" x14ac:dyDescent="0.25">
      <c r="B37" s="27" t="s">
        <v>727</v>
      </c>
      <c r="C37" s="42" t="s">
        <v>728</v>
      </c>
      <c r="D37" s="44" t="s">
        <v>729</v>
      </c>
      <c r="E37" s="58">
        <v>-17033.68</v>
      </c>
      <c r="F37" s="27"/>
    </row>
    <row r="38" spans="2:6" hidden="1" outlineLevel="1" x14ac:dyDescent="0.25">
      <c r="B38" s="53">
        <v>45808</v>
      </c>
      <c r="C38" s="42" t="s">
        <v>710</v>
      </c>
      <c r="D38" s="44" t="s">
        <v>730</v>
      </c>
      <c r="E38" s="58">
        <v>-700</v>
      </c>
      <c r="F38" s="27"/>
    </row>
    <row r="39" spans="2:6" hidden="1" outlineLevel="1" x14ac:dyDescent="0.25">
      <c r="B39" s="53" t="s">
        <v>406</v>
      </c>
      <c r="C39" s="42" t="s">
        <v>486</v>
      </c>
      <c r="D39" s="44" t="s">
        <v>731</v>
      </c>
      <c r="E39" s="58">
        <v>27500</v>
      </c>
      <c r="F39" s="27" t="s">
        <v>732</v>
      </c>
    </row>
    <row r="40" spans="2:6" hidden="1" outlineLevel="1" x14ac:dyDescent="0.25">
      <c r="B40" s="53" t="s">
        <v>733</v>
      </c>
      <c r="C40" s="42" t="s">
        <v>710</v>
      </c>
      <c r="D40" s="44" t="s">
        <v>734</v>
      </c>
      <c r="E40" s="58">
        <v>25000</v>
      </c>
      <c r="F40" s="27" t="s">
        <v>732</v>
      </c>
    </row>
    <row r="41" spans="2:6" hidden="1" outlineLevel="1" x14ac:dyDescent="0.25">
      <c r="B41" s="53" t="s">
        <v>733</v>
      </c>
      <c r="C41" s="42" t="s">
        <v>710</v>
      </c>
      <c r="D41" s="44" t="s">
        <v>735</v>
      </c>
      <c r="E41" s="58">
        <v>9000</v>
      </c>
      <c r="F41" s="27" t="s">
        <v>732</v>
      </c>
    </row>
    <row r="42" spans="2:6" hidden="1" outlineLevel="1" x14ac:dyDescent="0.25">
      <c r="B42" s="53" t="s">
        <v>733</v>
      </c>
      <c r="C42" s="42" t="s">
        <v>710</v>
      </c>
      <c r="D42" s="44" t="s">
        <v>736</v>
      </c>
      <c r="E42" s="58">
        <v>7089</v>
      </c>
      <c r="F42" s="27" t="s">
        <v>732</v>
      </c>
    </row>
    <row r="43" spans="2:6" hidden="1" outlineLevel="1" x14ac:dyDescent="0.25">
      <c r="B43" s="53" t="s">
        <v>733</v>
      </c>
      <c r="C43" s="42" t="s">
        <v>710</v>
      </c>
      <c r="D43" s="44" t="s">
        <v>737</v>
      </c>
      <c r="E43" s="58">
        <v>6437</v>
      </c>
      <c r="F43" s="27" t="s">
        <v>732</v>
      </c>
    </row>
    <row r="44" spans="2:6" hidden="1" outlineLevel="1" x14ac:dyDescent="0.25">
      <c r="B44" s="53" t="s">
        <v>733</v>
      </c>
      <c r="C44" s="42" t="s">
        <v>710</v>
      </c>
      <c r="D44" s="44" t="s">
        <v>738</v>
      </c>
      <c r="E44" s="58">
        <v>5872</v>
      </c>
      <c r="F44" s="27" t="s">
        <v>732</v>
      </c>
    </row>
    <row r="45" spans="2:6" hidden="1" outlineLevel="1" x14ac:dyDescent="0.25">
      <c r="B45" s="53" t="s">
        <v>733</v>
      </c>
      <c r="C45" s="42" t="s">
        <v>710</v>
      </c>
      <c r="D45" s="44" t="s">
        <v>739</v>
      </c>
      <c r="E45" s="58">
        <v>4000</v>
      </c>
      <c r="F45" s="27" t="s">
        <v>732</v>
      </c>
    </row>
    <row r="46" spans="2:6" hidden="1" outlineLevel="1" x14ac:dyDescent="0.25">
      <c r="B46" s="53" t="s">
        <v>733</v>
      </c>
      <c r="C46" s="42" t="s">
        <v>710</v>
      </c>
      <c r="D46" s="44" t="s">
        <v>740</v>
      </c>
      <c r="E46" s="58">
        <v>3000</v>
      </c>
      <c r="F46" s="27" t="s">
        <v>732</v>
      </c>
    </row>
    <row r="47" spans="2:6" hidden="1" outlineLevel="1" x14ac:dyDescent="0.25">
      <c r="B47" s="53" t="s">
        <v>733</v>
      </c>
      <c r="C47" s="42" t="s">
        <v>710</v>
      </c>
      <c r="D47" s="44" t="s">
        <v>741</v>
      </c>
      <c r="E47" s="58">
        <v>2100</v>
      </c>
      <c r="F47" s="27" t="s">
        <v>732</v>
      </c>
    </row>
    <row r="48" spans="2:6" hidden="1" outlineLevel="1" x14ac:dyDescent="0.25">
      <c r="B48" s="53" t="s">
        <v>733</v>
      </c>
      <c r="C48" s="42" t="s">
        <v>710</v>
      </c>
      <c r="D48" s="44" t="s">
        <v>742</v>
      </c>
      <c r="E48" s="58">
        <v>2100</v>
      </c>
      <c r="F48" s="27" t="s">
        <v>732</v>
      </c>
    </row>
    <row r="49" spans="2:6" hidden="1" outlineLevel="1" x14ac:dyDescent="0.25">
      <c r="B49" s="53" t="s">
        <v>733</v>
      </c>
      <c r="C49" s="42" t="s">
        <v>710</v>
      </c>
      <c r="D49" s="44" t="s">
        <v>743</v>
      </c>
      <c r="E49" s="58">
        <v>2026</v>
      </c>
      <c r="F49" s="27" t="s">
        <v>732</v>
      </c>
    </row>
    <row r="50" spans="2:6" hidden="1" outlineLevel="1" x14ac:dyDescent="0.25">
      <c r="B50" s="53" t="s">
        <v>733</v>
      </c>
      <c r="C50" s="42" t="s">
        <v>710</v>
      </c>
      <c r="D50" s="44" t="s">
        <v>744</v>
      </c>
      <c r="E50" s="58">
        <v>1926</v>
      </c>
      <c r="F50" s="27" t="s">
        <v>732</v>
      </c>
    </row>
    <row r="51" spans="2:6" hidden="1" outlineLevel="1" x14ac:dyDescent="0.25">
      <c r="B51" s="53" t="s">
        <v>733</v>
      </c>
      <c r="C51" s="42" t="s">
        <v>710</v>
      </c>
      <c r="D51" s="44" t="s">
        <v>745</v>
      </c>
      <c r="E51" s="58">
        <v>1803</v>
      </c>
      <c r="F51" s="27" t="s">
        <v>732</v>
      </c>
    </row>
    <row r="52" spans="2:6" hidden="1" outlineLevel="1" x14ac:dyDescent="0.25">
      <c r="B52" s="53" t="s">
        <v>733</v>
      </c>
      <c r="C52" s="42" t="s">
        <v>710</v>
      </c>
      <c r="D52" s="44" t="s">
        <v>746</v>
      </c>
      <c r="E52" s="58">
        <v>1442</v>
      </c>
      <c r="F52" s="27" t="s">
        <v>732</v>
      </c>
    </row>
    <row r="53" spans="2:6" hidden="1" outlineLevel="1" x14ac:dyDescent="0.25">
      <c r="B53" s="53" t="s">
        <v>733</v>
      </c>
      <c r="C53" s="42" t="s">
        <v>710</v>
      </c>
      <c r="D53" s="44" t="s">
        <v>747</v>
      </c>
      <c r="E53" s="58">
        <v>800</v>
      </c>
      <c r="F53" s="27" t="s">
        <v>732</v>
      </c>
    </row>
    <row r="54" spans="2:6" hidden="1" outlineLevel="1" x14ac:dyDescent="0.25">
      <c r="B54" s="53" t="s">
        <v>733</v>
      </c>
      <c r="C54" s="42" t="s">
        <v>710</v>
      </c>
      <c r="D54" s="44" t="s">
        <v>748</v>
      </c>
      <c r="E54" s="58">
        <v>241</v>
      </c>
      <c r="F54" s="27" t="s">
        <v>732</v>
      </c>
    </row>
    <row r="55" spans="2:6" hidden="1" outlineLevel="1" x14ac:dyDescent="0.25">
      <c r="B55" s="53" t="s">
        <v>733</v>
      </c>
      <c r="C55" s="42" t="s">
        <v>710</v>
      </c>
      <c r="D55" s="44" t="s">
        <v>749</v>
      </c>
      <c r="E55" s="58">
        <v>83</v>
      </c>
      <c r="F55" s="27" t="s">
        <v>732</v>
      </c>
    </row>
    <row r="56" spans="2:6" hidden="1" outlineLevel="1" x14ac:dyDescent="0.25">
      <c r="B56" s="53" t="s">
        <v>733</v>
      </c>
      <c r="C56" s="42" t="s">
        <v>710</v>
      </c>
      <c r="D56" s="44" t="s">
        <v>750</v>
      </c>
      <c r="E56" s="58">
        <v>20</v>
      </c>
      <c r="F56" s="27" t="s">
        <v>732</v>
      </c>
    </row>
    <row r="57" spans="2:6" hidden="1" outlineLevel="1" x14ac:dyDescent="0.25">
      <c r="B57" s="403">
        <v>46002</v>
      </c>
      <c r="C57" s="404" t="s">
        <v>480</v>
      </c>
      <c r="D57" s="405" t="s">
        <v>751</v>
      </c>
      <c r="E57" s="406">
        <v>5000</v>
      </c>
      <c r="F57" s="407" t="s">
        <v>732</v>
      </c>
    </row>
    <row r="58" spans="2:6" collapsed="1" x14ac:dyDescent="0.25">
      <c r="B58" s="685">
        <v>2025</v>
      </c>
      <c r="C58" s="42"/>
      <c r="D58" s="44"/>
      <c r="E58" s="58"/>
      <c r="F58" s="27"/>
    </row>
    <row r="59" spans="2:6" ht="30" x14ac:dyDescent="0.25">
      <c r="B59" s="793">
        <v>46076</v>
      </c>
      <c r="C59" s="42" t="s">
        <v>480</v>
      </c>
      <c r="D59" s="44" t="s">
        <v>1058</v>
      </c>
      <c r="E59" s="58">
        <v>7417.45</v>
      </c>
      <c r="F59" s="27"/>
    </row>
    <row r="60" spans="2:6" x14ac:dyDescent="0.25">
      <c r="B60" s="788">
        <v>46111</v>
      </c>
      <c r="C60" s="789" t="s">
        <v>480</v>
      </c>
      <c r="D60" s="790" t="s">
        <v>1089</v>
      </c>
      <c r="E60" s="791">
        <v>1580</v>
      </c>
      <c r="F60" s="792"/>
    </row>
    <row r="61" spans="2:6" x14ac:dyDescent="0.25">
      <c r="B61" s="788">
        <v>46111</v>
      </c>
      <c r="C61" s="789" t="s">
        <v>480</v>
      </c>
      <c r="D61" s="790" t="s">
        <v>1089</v>
      </c>
      <c r="E61" s="791">
        <v>7145</v>
      </c>
      <c r="F61" s="792"/>
    </row>
    <row r="62" spans="2:6" x14ac:dyDescent="0.25">
      <c r="B62" s="685"/>
      <c r="C62" s="42"/>
      <c r="D62" s="44"/>
      <c r="E62" s="58"/>
      <c r="F62" s="27"/>
    </row>
    <row r="63" spans="2:6" x14ac:dyDescent="0.25">
      <c r="B63" s="27"/>
      <c r="C63" s="27"/>
      <c r="D63" s="59" t="s">
        <v>274</v>
      </c>
      <c r="E63" s="46">
        <f>SUM(E25:E61)</f>
        <v>226991.82000000004</v>
      </c>
      <c r="F63" s="27"/>
    </row>
    <row r="65" spans="2:8" x14ac:dyDescent="0.25">
      <c r="B65" s="39" t="s">
        <v>639</v>
      </c>
      <c r="C65" s="39" t="s">
        <v>706</v>
      </c>
      <c r="D65" s="39" t="s">
        <v>707</v>
      </c>
      <c r="E65" s="40" t="s">
        <v>48</v>
      </c>
      <c r="F65" s="40" t="s">
        <v>708</v>
      </c>
    </row>
    <row r="66" spans="2:8" ht="30" hidden="1" outlineLevel="1" x14ac:dyDescent="0.25">
      <c r="B66" s="27" t="s">
        <v>722</v>
      </c>
      <c r="C66" s="42" t="s">
        <v>710</v>
      </c>
      <c r="D66" s="44" t="s">
        <v>752</v>
      </c>
      <c r="E66" s="58">
        <v>-72154</v>
      </c>
      <c r="F66" s="27"/>
    </row>
    <row r="67" spans="2:8" hidden="1" outlineLevel="1" x14ac:dyDescent="0.25">
      <c r="B67" s="27" t="s">
        <v>753</v>
      </c>
      <c r="C67" s="42" t="s">
        <v>710</v>
      </c>
      <c r="D67" s="44" t="s">
        <v>754</v>
      </c>
      <c r="E67" s="58">
        <v>-707.42</v>
      </c>
      <c r="F67" s="27"/>
    </row>
    <row r="68" spans="2:8" hidden="1" outlineLevel="1" x14ac:dyDescent="0.25">
      <c r="B68" s="27" t="s">
        <v>755</v>
      </c>
      <c r="C68" s="42" t="s">
        <v>710</v>
      </c>
      <c r="D68" s="44" t="s">
        <v>754</v>
      </c>
      <c r="E68" s="58">
        <v>-707.42</v>
      </c>
      <c r="F68" s="27"/>
    </row>
    <row r="69" spans="2:8" hidden="1" outlineLevel="1" x14ac:dyDescent="0.25">
      <c r="B69" s="27" t="s">
        <v>756</v>
      </c>
      <c r="C69" s="42" t="s">
        <v>710</v>
      </c>
      <c r="D69" s="44" t="s">
        <v>754</v>
      </c>
      <c r="E69" s="58">
        <v>-707.42</v>
      </c>
      <c r="F69" s="27"/>
    </row>
    <row r="70" spans="2:8" hidden="1" outlineLevel="1" x14ac:dyDescent="0.25">
      <c r="B70" s="27" t="s">
        <v>757</v>
      </c>
      <c r="C70" s="42" t="s">
        <v>710</v>
      </c>
      <c r="D70" s="44" t="s">
        <v>754</v>
      </c>
      <c r="E70" s="58">
        <v>-707.42</v>
      </c>
      <c r="F70" s="27"/>
    </row>
    <row r="71" spans="2:8" hidden="1" outlineLevel="1" x14ac:dyDescent="0.25">
      <c r="B71" s="27" t="s">
        <v>758</v>
      </c>
      <c r="C71" s="42" t="s">
        <v>710</v>
      </c>
      <c r="D71" s="44" t="s">
        <v>754</v>
      </c>
      <c r="E71" s="58">
        <v>-707.42</v>
      </c>
      <c r="F71" s="27"/>
    </row>
    <row r="72" spans="2:8" hidden="1" outlineLevel="1" x14ac:dyDescent="0.25">
      <c r="B72" s="27" t="s">
        <v>759</v>
      </c>
      <c r="C72" s="42" t="s">
        <v>710</v>
      </c>
      <c r="D72" s="44" t="s">
        <v>754</v>
      </c>
      <c r="E72" s="58">
        <v>-707.42</v>
      </c>
      <c r="F72" s="27"/>
    </row>
    <row r="73" spans="2:8" hidden="1" outlineLevel="1" x14ac:dyDescent="0.25">
      <c r="B73" s="27" t="s">
        <v>760</v>
      </c>
      <c r="C73" s="42" t="s">
        <v>710</v>
      </c>
      <c r="D73" s="44" t="s">
        <v>754</v>
      </c>
      <c r="E73" s="58">
        <v>-707.42</v>
      </c>
      <c r="F73" s="27"/>
    </row>
    <row r="74" spans="2:8" hidden="1" outlineLevel="1" x14ac:dyDescent="0.25">
      <c r="B74" s="27" t="s">
        <v>761</v>
      </c>
      <c r="C74" s="42" t="s">
        <v>710</v>
      </c>
      <c r="D74" s="44" t="s">
        <v>754</v>
      </c>
      <c r="E74" s="58">
        <v>-707.42</v>
      </c>
      <c r="F74" s="27"/>
    </row>
    <row r="75" spans="2:8" hidden="1" outlineLevel="1" x14ac:dyDescent="0.25">
      <c r="B75" s="53">
        <v>45930</v>
      </c>
      <c r="C75" s="42" t="s">
        <v>710</v>
      </c>
      <c r="D75" s="44" t="s">
        <v>754</v>
      </c>
      <c r="E75" s="58">
        <v>-707.42</v>
      </c>
      <c r="F75" s="27"/>
      <c r="H75" s="19"/>
    </row>
    <row r="76" spans="2:8" hidden="1" outlineLevel="1" x14ac:dyDescent="0.25">
      <c r="B76" s="53">
        <v>45961</v>
      </c>
      <c r="C76" s="42" t="s">
        <v>710</v>
      </c>
      <c r="D76" s="44" t="s">
        <v>754</v>
      </c>
      <c r="E76" s="58">
        <v>-707.42</v>
      </c>
      <c r="F76" s="27"/>
    </row>
    <row r="77" spans="2:8" hidden="1" outlineLevel="1" x14ac:dyDescent="0.25">
      <c r="B77" s="53">
        <v>45991</v>
      </c>
      <c r="C77" s="42" t="s">
        <v>710</v>
      </c>
      <c r="D77" s="44" t="s">
        <v>754</v>
      </c>
      <c r="E77" s="58">
        <f>-707.42-1673.98</f>
        <v>-2381.4</v>
      </c>
      <c r="F77" s="27"/>
    </row>
    <row r="78" spans="2:8" hidden="1" outlineLevel="1" x14ac:dyDescent="0.25">
      <c r="B78" s="53">
        <v>46022</v>
      </c>
      <c r="C78" s="42" t="s">
        <v>710</v>
      </c>
      <c r="D78" s="44" t="s">
        <v>754</v>
      </c>
      <c r="E78" s="58">
        <f>-707.42-1757.32</f>
        <v>-2464.7399999999998</v>
      </c>
      <c r="F78" s="27"/>
    </row>
    <row r="79" spans="2:8" collapsed="1" x14ac:dyDescent="0.25">
      <c r="B79" s="53">
        <v>46053</v>
      </c>
      <c r="C79" s="42" t="s">
        <v>710</v>
      </c>
      <c r="D79" s="44" t="s">
        <v>754</v>
      </c>
      <c r="E79" s="58">
        <f>-707.42-1757.32</f>
        <v>-2464.7399999999998</v>
      </c>
      <c r="F79" s="27"/>
    </row>
    <row r="80" spans="2:8" x14ac:dyDescent="0.25">
      <c r="B80" s="53">
        <v>46081</v>
      </c>
      <c r="C80" s="42" t="s">
        <v>710</v>
      </c>
      <c r="D80" s="44" t="s">
        <v>754</v>
      </c>
      <c r="E80" s="58">
        <f>-707.42-1757.32</f>
        <v>-2464.7399999999998</v>
      </c>
      <c r="F80" s="27"/>
    </row>
    <row r="81" spans="2:6" x14ac:dyDescent="0.25">
      <c r="B81" s="53">
        <v>46112</v>
      </c>
      <c r="C81" s="42" t="s">
        <v>710</v>
      </c>
      <c r="D81" s="44" t="s">
        <v>754</v>
      </c>
      <c r="E81" s="58">
        <f>-831.02-1757.32</f>
        <v>-2588.34</v>
      </c>
      <c r="F81" s="27"/>
    </row>
    <row r="82" spans="2:6" x14ac:dyDescent="0.25">
      <c r="B82" s="53"/>
      <c r="C82" s="42"/>
      <c r="D82" s="44"/>
      <c r="E82" s="58"/>
      <c r="F82" s="27"/>
    </row>
    <row r="83" spans="2:6" x14ac:dyDescent="0.25">
      <c r="B83" s="53"/>
      <c r="C83" s="42"/>
      <c r="D83" s="44"/>
      <c r="E83" s="58"/>
      <c r="F83" s="27"/>
    </row>
    <row r="84" spans="2:6" x14ac:dyDescent="0.25">
      <c r="B84" s="27"/>
      <c r="C84" s="27"/>
      <c r="D84" s="59" t="s">
        <v>274</v>
      </c>
      <c r="E84" s="46">
        <f>SUM(E66:E83)</f>
        <v>-91592.159999999989</v>
      </c>
      <c r="F84" s="27"/>
    </row>
    <row r="87" spans="2:6" x14ac:dyDescent="0.25">
      <c r="B87" s="104" t="s">
        <v>762</v>
      </c>
      <c r="D87" s="60"/>
      <c r="E87" s="61"/>
    </row>
    <row r="88" spans="2:6" x14ac:dyDescent="0.25">
      <c r="B88" s="39" t="s">
        <v>639</v>
      </c>
      <c r="C88" s="39" t="s">
        <v>706</v>
      </c>
      <c r="D88" s="39" t="s">
        <v>707</v>
      </c>
      <c r="E88" s="40" t="s">
        <v>48</v>
      </c>
      <c r="F88" s="40" t="s">
        <v>708</v>
      </c>
    </row>
    <row r="89" spans="2:6" x14ac:dyDescent="0.25">
      <c r="B89" s="53">
        <v>45736</v>
      </c>
      <c r="C89" s="27" t="s">
        <v>486</v>
      </c>
      <c r="D89" s="27" t="s">
        <v>763</v>
      </c>
      <c r="E89" s="58">
        <v>5805</v>
      </c>
      <c r="F89" s="27"/>
    </row>
    <row r="90" spans="2:6" x14ac:dyDescent="0.25">
      <c r="B90" s="53">
        <v>45776</v>
      </c>
      <c r="C90" s="27" t="s">
        <v>486</v>
      </c>
      <c r="D90" s="27" t="s">
        <v>763</v>
      </c>
      <c r="E90" s="58">
        <v>7035</v>
      </c>
      <c r="F90" s="27"/>
    </row>
    <row r="91" spans="2:6" x14ac:dyDescent="0.25">
      <c r="B91" s="45"/>
      <c r="C91" s="27"/>
      <c r="D91" s="59" t="s">
        <v>274</v>
      </c>
      <c r="E91" s="46">
        <f>SUM(E89:E90)</f>
        <v>12840</v>
      </c>
      <c r="F91" s="27"/>
    </row>
    <row r="93" spans="2:6" x14ac:dyDescent="0.25">
      <c r="B93" s="21"/>
    </row>
    <row r="94" spans="2:6" x14ac:dyDescent="0.25">
      <c r="B94" s="39" t="s">
        <v>639</v>
      </c>
      <c r="C94" s="39" t="s">
        <v>706</v>
      </c>
      <c r="D94" s="39" t="s">
        <v>707</v>
      </c>
      <c r="E94" s="40" t="s">
        <v>48</v>
      </c>
      <c r="F94" s="40" t="s">
        <v>708</v>
      </c>
    </row>
    <row r="95" spans="2:6" hidden="1" outlineLevel="1" x14ac:dyDescent="0.25">
      <c r="B95" s="45" t="s">
        <v>756</v>
      </c>
      <c r="C95" s="45" t="s">
        <v>710</v>
      </c>
      <c r="D95" s="45" t="s">
        <v>764</v>
      </c>
      <c r="E95" s="58">
        <v>-129</v>
      </c>
      <c r="F95" s="27"/>
    </row>
    <row r="96" spans="2:6" hidden="1" outlineLevel="1" x14ac:dyDescent="0.25">
      <c r="B96" s="45" t="s">
        <v>757</v>
      </c>
      <c r="C96" s="45" t="s">
        <v>710</v>
      </c>
      <c r="D96" s="45" t="s">
        <v>764</v>
      </c>
      <c r="E96" s="58">
        <v>-302.12</v>
      </c>
      <c r="F96" s="27"/>
    </row>
    <row r="97" spans="2:6" hidden="1" outlineLevel="1" x14ac:dyDescent="0.25">
      <c r="B97" s="45" t="s">
        <v>758</v>
      </c>
      <c r="C97" s="45" t="s">
        <v>710</v>
      </c>
      <c r="D97" s="103" t="s">
        <v>764</v>
      </c>
      <c r="E97" s="58">
        <v>-302.12</v>
      </c>
      <c r="F97" s="27"/>
    </row>
    <row r="98" spans="2:6" hidden="1" outlineLevel="1" x14ac:dyDescent="0.25">
      <c r="B98" s="45" t="s">
        <v>759</v>
      </c>
      <c r="C98" s="45" t="s">
        <v>710</v>
      </c>
      <c r="D98" s="45" t="s">
        <v>764</v>
      </c>
      <c r="E98" s="58">
        <v>-302.12</v>
      </c>
      <c r="F98" s="27"/>
    </row>
    <row r="99" spans="2:6" hidden="1" outlineLevel="1" x14ac:dyDescent="0.25">
      <c r="B99" s="45" t="s">
        <v>760</v>
      </c>
      <c r="C99" s="45" t="s">
        <v>710</v>
      </c>
      <c r="D99" s="45" t="s">
        <v>764</v>
      </c>
      <c r="E99" s="58">
        <v>-302.12</v>
      </c>
      <c r="F99" s="27"/>
    </row>
    <row r="100" spans="2:6" hidden="1" outlineLevel="1" x14ac:dyDescent="0.25">
      <c r="B100" s="45" t="s">
        <v>761</v>
      </c>
      <c r="C100" s="45" t="s">
        <v>710</v>
      </c>
      <c r="D100" s="45" t="s">
        <v>764</v>
      </c>
      <c r="E100" s="58">
        <v>-302.12</v>
      </c>
      <c r="F100" s="27"/>
    </row>
    <row r="101" spans="2:6" hidden="1" outlineLevel="1" x14ac:dyDescent="0.25">
      <c r="B101" s="53">
        <v>45930</v>
      </c>
      <c r="C101" s="45" t="s">
        <v>710</v>
      </c>
      <c r="D101" s="45" t="s">
        <v>764</v>
      </c>
      <c r="E101" s="58">
        <v>-302.12</v>
      </c>
      <c r="F101" s="27"/>
    </row>
    <row r="102" spans="2:6" hidden="1" outlineLevel="1" x14ac:dyDescent="0.25">
      <c r="B102" s="53">
        <v>45961</v>
      </c>
      <c r="C102" s="45" t="s">
        <v>710</v>
      </c>
      <c r="D102" s="45" t="s">
        <v>764</v>
      </c>
      <c r="E102" s="58">
        <v>-302.12</v>
      </c>
      <c r="F102" s="27"/>
    </row>
    <row r="103" spans="2:6" hidden="1" outlineLevel="1" x14ac:dyDescent="0.25">
      <c r="B103" s="53">
        <v>45991</v>
      </c>
      <c r="C103" s="45" t="s">
        <v>710</v>
      </c>
      <c r="D103" s="45" t="s">
        <v>764</v>
      </c>
      <c r="E103" s="58">
        <v>-302.12</v>
      </c>
      <c r="F103" s="27"/>
    </row>
    <row r="104" spans="2:6" hidden="1" outlineLevel="1" x14ac:dyDescent="0.25">
      <c r="B104" s="53">
        <v>46022</v>
      </c>
      <c r="C104" s="45" t="s">
        <v>710</v>
      </c>
      <c r="D104" s="45" t="s">
        <v>764</v>
      </c>
      <c r="E104" s="58">
        <v>-302.12</v>
      </c>
      <c r="F104" s="27"/>
    </row>
    <row r="105" spans="2:6" collapsed="1" x14ac:dyDescent="0.25">
      <c r="B105" s="53">
        <v>46053</v>
      </c>
      <c r="C105" s="45" t="s">
        <v>710</v>
      </c>
      <c r="D105" s="45" t="s">
        <v>764</v>
      </c>
      <c r="E105" s="58">
        <v>-302.12</v>
      </c>
      <c r="F105" s="27"/>
    </row>
    <row r="106" spans="2:6" x14ac:dyDescent="0.25">
      <c r="B106" s="53">
        <v>46081</v>
      </c>
      <c r="C106" s="45" t="s">
        <v>710</v>
      </c>
      <c r="D106" s="45" t="s">
        <v>764</v>
      </c>
      <c r="E106" s="58">
        <v>-302.12</v>
      </c>
      <c r="F106" s="27"/>
    </row>
    <row r="107" spans="2:6" x14ac:dyDescent="0.25">
      <c r="B107" s="53">
        <v>46112</v>
      </c>
      <c r="C107" s="45" t="s">
        <v>710</v>
      </c>
      <c r="D107" s="45" t="s">
        <v>764</v>
      </c>
      <c r="E107" s="58">
        <v>-302.12</v>
      </c>
      <c r="F107" s="27"/>
    </row>
    <row r="108" spans="2:6" x14ac:dyDescent="0.25">
      <c r="B108" s="53"/>
      <c r="C108" s="45"/>
      <c r="D108" s="45"/>
      <c r="E108" s="58"/>
      <c r="F108" s="27"/>
    </row>
    <row r="109" spans="2:6" x14ac:dyDescent="0.25">
      <c r="B109" s="27"/>
      <c r="C109" s="27"/>
      <c r="D109" s="59" t="s">
        <v>274</v>
      </c>
      <c r="E109" s="46">
        <f>SUM(E95:E108)</f>
        <v>-3754.4399999999991</v>
      </c>
      <c r="F109" s="27"/>
    </row>
    <row r="110" spans="2:6" x14ac:dyDescent="0.25">
      <c r="B110" s="21"/>
    </row>
    <row r="111" spans="2:6" x14ac:dyDescent="0.25">
      <c r="B111" s="21"/>
    </row>
    <row r="112" spans="2:6" x14ac:dyDescent="0.25">
      <c r="B112" s="21"/>
    </row>
    <row r="113" spans="2:2" x14ac:dyDescent="0.25">
      <c r="B113" s="21"/>
    </row>
    <row r="114" spans="2:2" x14ac:dyDescent="0.25">
      <c r="B114" s="21"/>
    </row>
  </sheetData>
  <hyperlinks>
    <hyperlink ref="D2" location="Index!A1" display="Home" xr:uid="{B93FF148-E831-475C-8082-62CB2EC4141C}"/>
    <hyperlink ref="D4" location="P_L" display="Profit &amp; Loss" xr:uid="{05D9E737-F384-48B0-A99E-E6F9FA371C3C}"/>
    <hyperlink ref="D3" location="B_S" display="Balance Sheet" xr:uid="{6CA326D5-A7BB-43E8-B831-E26FCB59A566}"/>
    <hyperlink ref="D5" location="PL_YTD" display="PL-Division (YTD)" xr:uid="{32F3A2EF-C71E-4798-927F-4BEAC6C86C37}"/>
    <hyperlink ref="D6" location="PL_DM" display="PL-Division (Month)" xr:uid="{FA737C81-9F0E-4EA9-9913-B2849D57D523}"/>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CA22-77AC-435D-8FD4-7FB3D0FD4169}">
  <sheetPr codeName="Sheet16">
    <tabColor rgb="FFFFFF00"/>
  </sheetPr>
  <dimension ref="B2:I140"/>
  <sheetViews>
    <sheetView showGridLines="0" workbookViewId="0">
      <pane ySplit="8" topLeftCell="A9" activePane="bottomLeft" state="frozen"/>
      <selection pane="bottomLeft" activeCell="A9" sqref="A9"/>
    </sheetView>
  </sheetViews>
  <sheetFormatPr defaultColWidth="9.140625" defaultRowHeight="15" outlineLevelRow="1" x14ac:dyDescent="0.25"/>
  <cols>
    <col min="1" max="1" width="2.7109375" style="16" customWidth="1"/>
    <col min="2" max="2" width="32.85546875" style="48" bestFit="1" customWidth="1"/>
    <col min="3" max="3" width="16.85546875" style="16" bestFit="1" customWidth="1"/>
    <col min="4" max="4" width="48.28515625" style="16" bestFit="1" customWidth="1"/>
    <col min="5" max="5" width="16.28515625" style="24" bestFit="1" customWidth="1"/>
    <col min="6" max="6" width="35" style="16" customWidth="1"/>
    <col min="7" max="8" width="9.140625" style="16"/>
    <col min="9" max="9" width="11.5703125" style="16" bestFit="1" customWidth="1"/>
    <col min="10" max="16384" width="9.140625" style="16"/>
  </cols>
  <sheetData>
    <row r="2" spans="2:6" ht="15.75" x14ac:dyDescent="0.25">
      <c r="B2" s="106" t="str">
        <f>BS!B2</f>
        <v>Pacific Nexus</v>
      </c>
      <c r="D2" s="151" t="s">
        <v>45</v>
      </c>
      <c r="E2" s="20"/>
    </row>
    <row r="3" spans="2:6" ht="15.75" x14ac:dyDescent="0.25">
      <c r="B3" s="106" t="str">
        <f>BS!B3</f>
        <v>Period Ending 03/31/2026</v>
      </c>
      <c r="D3" s="238" t="s">
        <v>47</v>
      </c>
      <c r="E3" s="20"/>
    </row>
    <row r="4" spans="2:6" ht="15.75" x14ac:dyDescent="0.25">
      <c r="B4" s="106"/>
      <c r="D4" s="238" t="s">
        <v>46</v>
      </c>
      <c r="E4" s="238"/>
    </row>
    <row r="5" spans="2:6" ht="15.75" x14ac:dyDescent="0.25">
      <c r="B5" s="106" t="str">
        <f>BS!B29</f>
        <v>Other Assets</v>
      </c>
      <c r="D5" s="238" t="s">
        <v>34</v>
      </c>
      <c r="E5" s="238"/>
    </row>
    <row r="6" spans="2:6" x14ac:dyDescent="0.25">
      <c r="C6" s="19"/>
      <c r="D6" s="238" t="s">
        <v>36</v>
      </c>
    </row>
    <row r="7" spans="2:6" x14ac:dyDescent="0.25">
      <c r="C7" s="34"/>
      <c r="F7" s="64"/>
    </row>
    <row r="8" spans="2:6" x14ac:dyDescent="0.25">
      <c r="B8" s="107" t="s">
        <v>638</v>
      </c>
      <c r="C8" s="23">
        <f>BS!C40</f>
        <v>2189411.83</v>
      </c>
      <c r="D8" s="19">
        <f>+C8-E18</f>
        <v>0</v>
      </c>
    </row>
    <row r="9" spans="2:6" x14ac:dyDescent="0.25">
      <c r="B9" s="108"/>
      <c r="C9" s="26"/>
    </row>
    <row r="10" spans="2:6" x14ac:dyDescent="0.25">
      <c r="B10" s="109" t="s">
        <v>77</v>
      </c>
      <c r="C10" s="35" t="s">
        <v>701</v>
      </c>
      <c r="D10" s="35" t="s">
        <v>702</v>
      </c>
      <c r="E10" s="36" t="s">
        <v>703</v>
      </c>
      <c r="F10" s="36" t="s">
        <v>658</v>
      </c>
    </row>
    <row r="11" spans="2:6" x14ac:dyDescent="0.25">
      <c r="B11" s="102" t="s">
        <v>78</v>
      </c>
      <c r="C11" s="31">
        <f>++E22+E23</f>
        <v>2236541.77</v>
      </c>
      <c r="D11" s="31">
        <v>0</v>
      </c>
      <c r="E11" s="31">
        <f>C11+D11</f>
        <v>2236541.77</v>
      </c>
      <c r="F11" s="37"/>
    </row>
    <row r="12" spans="2:6" ht="30" x14ac:dyDescent="0.25">
      <c r="B12" s="102" t="s">
        <v>279</v>
      </c>
      <c r="C12" s="31"/>
      <c r="D12" s="31"/>
      <c r="E12" s="31">
        <f>++E47</f>
        <v>-298205.45000000007</v>
      </c>
      <c r="F12" s="37"/>
    </row>
    <row r="13" spans="2:6" x14ac:dyDescent="0.25">
      <c r="B13" s="102" t="s">
        <v>82</v>
      </c>
      <c r="C13" s="31">
        <f>+E52</f>
        <v>67628.25</v>
      </c>
      <c r="D13" s="31"/>
      <c r="E13" s="31">
        <f>C13+D13</f>
        <v>67628.25</v>
      </c>
      <c r="F13" s="37"/>
    </row>
    <row r="14" spans="2:6" ht="45" x14ac:dyDescent="0.25">
      <c r="B14" s="102" t="s">
        <v>280</v>
      </c>
      <c r="C14" s="31"/>
      <c r="D14" s="31"/>
      <c r="E14" s="31">
        <f>++E76</f>
        <v>-13525.549999999996</v>
      </c>
      <c r="F14" s="37"/>
    </row>
    <row r="15" spans="2:6" x14ac:dyDescent="0.25">
      <c r="B15" s="102" t="s">
        <v>85</v>
      </c>
      <c r="C15" s="31">
        <f>SUM(E81:E83)</f>
        <v>91113.36</v>
      </c>
      <c r="D15" s="31">
        <f>+E84</f>
        <v>3229.82</v>
      </c>
      <c r="E15" s="31">
        <f>C15+D15</f>
        <v>94343.180000000008</v>
      </c>
      <c r="F15" s="37"/>
    </row>
    <row r="16" spans="2:6" x14ac:dyDescent="0.25">
      <c r="B16" s="102" t="s">
        <v>86</v>
      </c>
      <c r="C16" s="31">
        <f>SUM(E91:E112)</f>
        <v>95118.67</v>
      </c>
      <c r="D16" s="31">
        <f>SUM(E113:E126)</f>
        <v>16250</v>
      </c>
      <c r="E16" s="31">
        <f>C16+D16</f>
        <v>111368.67</v>
      </c>
      <c r="F16" s="37"/>
    </row>
    <row r="17" spans="2:9" ht="30.75" customHeight="1" x14ac:dyDescent="0.25">
      <c r="B17" s="310" t="s">
        <v>281</v>
      </c>
      <c r="C17" s="31"/>
      <c r="D17" s="31"/>
      <c r="E17" s="31">
        <f>+E140</f>
        <v>-8739.0400000000009</v>
      </c>
      <c r="F17" s="37"/>
    </row>
    <row r="18" spans="2:9" x14ac:dyDescent="0.25">
      <c r="B18" s="102"/>
      <c r="C18" s="27"/>
      <c r="D18" s="27"/>
      <c r="E18" s="38">
        <f>SUM(E11:E17)</f>
        <v>2189411.8299999996</v>
      </c>
      <c r="F18" s="33"/>
      <c r="G18" s="19"/>
      <c r="I18" s="19"/>
    </row>
    <row r="20" spans="2:9" x14ac:dyDescent="0.25">
      <c r="B20" s="105" t="s">
        <v>1468</v>
      </c>
    </row>
    <row r="21" spans="2:9" x14ac:dyDescent="0.25">
      <c r="B21" s="110" t="s">
        <v>639</v>
      </c>
      <c r="C21" s="39" t="s">
        <v>706</v>
      </c>
      <c r="D21" s="39" t="s">
        <v>707</v>
      </c>
      <c r="E21" s="40" t="s">
        <v>48</v>
      </c>
      <c r="F21" s="40" t="s">
        <v>708</v>
      </c>
    </row>
    <row r="22" spans="2:9" x14ac:dyDescent="0.25">
      <c r="B22" s="111" t="s">
        <v>709</v>
      </c>
      <c r="C22" s="42" t="s">
        <v>710</v>
      </c>
      <c r="D22" s="44" t="s">
        <v>765</v>
      </c>
      <c r="E22" s="43">
        <v>2324041.77</v>
      </c>
      <c r="F22" s="27" t="s">
        <v>701</v>
      </c>
    </row>
    <row r="23" spans="2:9" x14ac:dyDescent="0.25">
      <c r="B23" s="111" t="s">
        <v>709</v>
      </c>
      <c r="C23" s="42" t="s">
        <v>728</v>
      </c>
      <c r="D23" s="44" t="s">
        <v>766</v>
      </c>
      <c r="E23" s="43">
        <v>-87500</v>
      </c>
      <c r="F23" s="27" t="s">
        <v>701</v>
      </c>
    </row>
    <row r="24" spans="2:9" x14ac:dyDescent="0.25">
      <c r="B24" s="112"/>
      <c r="C24" s="42"/>
      <c r="D24" s="44"/>
      <c r="E24" s="58"/>
      <c r="F24" s="27"/>
    </row>
    <row r="25" spans="2:9" x14ac:dyDescent="0.25">
      <c r="B25" s="102"/>
      <c r="C25" s="27"/>
      <c r="D25" s="59" t="s">
        <v>274</v>
      </c>
      <c r="E25" s="46">
        <f>SUM(E22:E24)</f>
        <v>2236541.77</v>
      </c>
      <c r="F25" s="27"/>
    </row>
    <row r="26" spans="2:9" x14ac:dyDescent="0.25">
      <c r="D26" s="60"/>
      <c r="E26" s="61"/>
    </row>
    <row r="27" spans="2:9" x14ac:dyDescent="0.25">
      <c r="D27" s="60"/>
      <c r="E27" s="61"/>
    </row>
    <row r="28" spans="2:9" ht="30" x14ac:dyDescent="0.25">
      <c r="B28" s="105" t="s">
        <v>767</v>
      </c>
    </row>
    <row r="29" spans="2:9" x14ac:dyDescent="0.25">
      <c r="B29" s="110" t="s">
        <v>639</v>
      </c>
      <c r="C29" s="39" t="s">
        <v>706</v>
      </c>
      <c r="D29" s="39" t="s">
        <v>707</v>
      </c>
      <c r="E29" s="40" t="s">
        <v>48</v>
      </c>
      <c r="F29" s="40" t="s">
        <v>708</v>
      </c>
    </row>
    <row r="30" spans="2:9" ht="30" hidden="1" outlineLevel="1" x14ac:dyDescent="0.25">
      <c r="B30" s="102" t="s">
        <v>722</v>
      </c>
      <c r="C30" s="42" t="s">
        <v>710</v>
      </c>
      <c r="D30" s="44" t="s">
        <v>768</v>
      </c>
      <c r="E30" s="58">
        <v>-111827</v>
      </c>
      <c r="F30" s="27"/>
    </row>
    <row r="31" spans="2:9" hidden="1" outlineLevel="1" x14ac:dyDescent="0.25">
      <c r="B31" s="102" t="s">
        <v>753</v>
      </c>
      <c r="C31" s="42" t="s">
        <v>710</v>
      </c>
      <c r="D31" s="44" t="s">
        <v>769</v>
      </c>
      <c r="E31" s="58">
        <v>-12425.23</v>
      </c>
      <c r="F31" s="27"/>
    </row>
    <row r="32" spans="2:9" hidden="1" outlineLevel="1" x14ac:dyDescent="0.25">
      <c r="B32" s="102" t="s">
        <v>755</v>
      </c>
      <c r="C32" s="42" t="s">
        <v>710</v>
      </c>
      <c r="D32" s="44" t="s">
        <v>769</v>
      </c>
      <c r="E32" s="58">
        <v>-12425.23</v>
      </c>
      <c r="F32" s="27"/>
    </row>
    <row r="33" spans="2:6" hidden="1" outlineLevel="1" x14ac:dyDescent="0.25">
      <c r="B33" s="102" t="s">
        <v>756</v>
      </c>
      <c r="C33" s="42" t="s">
        <v>710</v>
      </c>
      <c r="D33" s="44" t="s">
        <v>769</v>
      </c>
      <c r="E33" s="58">
        <v>-12425.23</v>
      </c>
      <c r="F33" s="27"/>
    </row>
    <row r="34" spans="2:6" hidden="1" outlineLevel="1" x14ac:dyDescent="0.25">
      <c r="B34" s="102" t="s">
        <v>757</v>
      </c>
      <c r="C34" s="42" t="s">
        <v>710</v>
      </c>
      <c r="D34" s="44" t="s">
        <v>769</v>
      </c>
      <c r="E34" s="58">
        <v>-12425.23</v>
      </c>
      <c r="F34" s="27"/>
    </row>
    <row r="35" spans="2:6" hidden="1" outlineLevel="1" x14ac:dyDescent="0.25">
      <c r="B35" s="102" t="s">
        <v>758</v>
      </c>
      <c r="C35" s="42" t="s">
        <v>710</v>
      </c>
      <c r="D35" s="44" t="s">
        <v>769</v>
      </c>
      <c r="E35" s="58">
        <v>-12425.23</v>
      </c>
      <c r="F35" s="27"/>
    </row>
    <row r="36" spans="2:6" hidden="1" outlineLevel="1" x14ac:dyDescent="0.25">
      <c r="B36" s="102" t="s">
        <v>759</v>
      </c>
      <c r="C36" s="42" t="s">
        <v>710</v>
      </c>
      <c r="D36" s="44" t="s">
        <v>769</v>
      </c>
      <c r="E36" s="58">
        <v>-12425.23</v>
      </c>
      <c r="F36" s="27"/>
    </row>
    <row r="37" spans="2:6" hidden="1" outlineLevel="1" x14ac:dyDescent="0.25">
      <c r="B37" s="102" t="s">
        <v>760</v>
      </c>
      <c r="C37" s="42" t="s">
        <v>710</v>
      </c>
      <c r="D37" s="44" t="s">
        <v>769</v>
      </c>
      <c r="E37" s="58">
        <v>-12425.23</v>
      </c>
      <c r="F37" s="27"/>
    </row>
    <row r="38" spans="2:6" hidden="1" outlineLevel="1" x14ac:dyDescent="0.25">
      <c r="B38" s="112">
        <v>45900</v>
      </c>
      <c r="C38" s="42" t="s">
        <v>710</v>
      </c>
      <c r="D38" s="44" t="s">
        <v>769</v>
      </c>
      <c r="E38" s="58">
        <v>-12425.23</v>
      </c>
      <c r="F38" s="27"/>
    </row>
    <row r="39" spans="2:6" hidden="1" outlineLevel="1" x14ac:dyDescent="0.25">
      <c r="B39" s="112">
        <v>45930</v>
      </c>
      <c r="C39" s="42" t="s">
        <v>710</v>
      </c>
      <c r="D39" s="44" t="s">
        <v>769</v>
      </c>
      <c r="E39" s="58">
        <v>-12425.23</v>
      </c>
      <c r="F39" s="27"/>
    </row>
    <row r="40" spans="2:6" hidden="1" outlineLevel="1" x14ac:dyDescent="0.25">
      <c r="B40" s="112">
        <v>45961</v>
      </c>
      <c r="C40" s="42" t="s">
        <v>710</v>
      </c>
      <c r="D40" s="44" t="s">
        <v>769</v>
      </c>
      <c r="E40" s="58">
        <v>-12425.23</v>
      </c>
      <c r="F40" s="27"/>
    </row>
    <row r="41" spans="2:6" hidden="1" outlineLevel="1" x14ac:dyDescent="0.25">
      <c r="B41" s="112">
        <v>45991</v>
      </c>
      <c r="C41" s="42" t="s">
        <v>710</v>
      </c>
      <c r="D41" s="44" t="s">
        <v>769</v>
      </c>
      <c r="E41" s="58">
        <v>-12425.23</v>
      </c>
      <c r="F41" s="27"/>
    </row>
    <row r="42" spans="2:6" hidden="1" outlineLevel="1" x14ac:dyDescent="0.25">
      <c r="B42" s="112">
        <v>46022</v>
      </c>
      <c r="C42" s="42" t="s">
        <v>710</v>
      </c>
      <c r="D42" s="44" t="s">
        <v>769</v>
      </c>
      <c r="E42" s="58">
        <v>-12425.23</v>
      </c>
      <c r="F42" s="27"/>
    </row>
    <row r="43" spans="2:6" collapsed="1" x14ac:dyDescent="0.25">
      <c r="B43" s="112">
        <v>46053</v>
      </c>
      <c r="C43" s="42" t="s">
        <v>710</v>
      </c>
      <c r="D43" s="44" t="s">
        <v>769</v>
      </c>
      <c r="E43" s="58">
        <v>-12425.23</v>
      </c>
      <c r="F43" s="27"/>
    </row>
    <row r="44" spans="2:6" x14ac:dyDescent="0.25">
      <c r="B44" s="112">
        <v>46081</v>
      </c>
      <c r="C44" s="42" t="s">
        <v>710</v>
      </c>
      <c r="D44" s="44" t="s">
        <v>769</v>
      </c>
      <c r="E44" s="58">
        <v>-12425.23</v>
      </c>
      <c r="F44" s="27"/>
    </row>
    <row r="45" spans="2:6" x14ac:dyDescent="0.25">
      <c r="B45" s="112">
        <v>46112</v>
      </c>
      <c r="C45" s="42" t="s">
        <v>710</v>
      </c>
      <c r="D45" s="44" t="s">
        <v>769</v>
      </c>
      <c r="E45" s="58">
        <v>-12425.23</v>
      </c>
      <c r="F45" s="27"/>
    </row>
    <row r="46" spans="2:6" x14ac:dyDescent="0.25">
      <c r="B46" s="112"/>
      <c r="C46" s="42"/>
      <c r="D46" s="44"/>
      <c r="E46" s="58"/>
      <c r="F46" s="27"/>
    </row>
    <row r="47" spans="2:6" x14ac:dyDescent="0.25">
      <c r="B47" s="102"/>
      <c r="C47" s="27"/>
      <c r="D47" s="59" t="s">
        <v>274</v>
      </c>
      <c r="E47" s="46">
        <f>SUM(E30:E46)</f>
        <v>-298205.45000000007</v>
      </c>
      <c r="F47" s="27"/>
    </row>
    <row r="50" spans="2:6" x14ac:dyDescent="0.25">
      <c r="B50" s="113" t="s">
        <v>770</v>
      </c>
      <c r="D50" s="60"/>
      <c r="E50" s="61"/>
    </row>
    <row r="51" spans="2:6" x14ac:dyDescent="0.25">
      <c r="B51" s="110" t="s">
        <v>639</v>
      </c>
      <c r="C51" s="39" t="s">
        <v>706</v>
      </c>
      <c r="D51" s="39" t="s">
        <v>707</v>
      </c>
      <c r="E51" s="40" t="s">
        <v>48</v>
      </c>
      <c r="F51" s="40" t="s">
        <v>708</v>
      </c>
    </row>
    <row r="52" spans="2:6" x14ac:dyDescent="0.25">
      <c r="B52" s="112" t="s">
        <v>709</v>
      </c>
      <c r="C52" s="27" t="s">
        <v>710</v>
      </c>
      <c r="D52" s="27" t="s">
        <v>770</v>
      </c>
      <c r="E52" s="58">
        <v>67628.25</v>
      </c>
      <c r="F52" s="27"/>
    </row>
    <row r="53" spans="2:6" x14ac:dyDescent="0.25">
      <c r="B53" s="112"/>
      <c r="C53" s="27"/>
      <c r="D53" s="27"/>
      <c r="E53" s="58"/>
      <c r="F53" s="27"/>
    </row>
    <row r="54" spans="2:6" x14ac:dyDescent="0.25">
      <c r="B54" s="37"/>
      <c r="C54" s="27"/>
      <c r="D54" s="59" t="s">
        <v>274</v>
      </c>
      <c r="E54" s="46">
        <f>SUM(E52:E53)</f>
        <v>67628.25</v>
      </c>
      <c r="F54" s="27"/>
    </row>
    <row r="55" spans="2:6" x14ac:dyDescent="0.25">
      <c r="B55" s="311"/>
      <c r="D55" s="60"/>
      <c r="E55" s="61"/>
    </row>
    <row r="57" spans="2:6" ht="30" x14ac:dyDescent="0.25">
      <c r="B57" s="113" t="s">
        <v>771</v>
      </c>
    </row>
    <row r="58" spans="2:6" x14ac:dyDescent="0.25">
      <c r="B58" s="239" t="s">
        <v>639</v>
      </c>
      <c r="C58" s="39" t="s">
        <v>706</v>
      </c>
      <c r="D58" s="39" t="s">
        <v>707</v>
      </c>
      <c r="E58" s="40" t="s">
        <v>48</v>
      </c>
      <c r="F58" s="40" t="s">
        <v>708</v>
      </c>
    </row>
    <row r="59" spans="2:6" hidden="1" outlineLevel="1" x14ac:dyDescent="0.25">
      <c r="B59" s="112" t="s">
        <v>722</v>
      </c>
      <c r="C59" s="45" t="s">
        <v>710</v>
      </c>
      <c r="D59" s="45" t="s">
        <v>768</v>
      </c>
      <c r="E59" s="58">
        <v>-5072</v>
      </c>
      <c r="F59" s="27"/>
    </row>
    <row r="60" spans="2:6" hidden="1" outlineLevel="1" x14ac:dyDescent="0.25">
      <c r="B60" s="112" t="s">
        <v>753</v>
      </c>
      <c r="C60" s="45" t="s">
        <v>710</v>
      </c>
      <c r="D60" s="45" t="s">
        <v>772</v>
      </c>
      <c r="E60" s="58">
        <v>-563.57000000000005</v>
      </c>
      <c r="F60" s="27"/>
    </row>
    <row r="61" spans="2:6" hidden="1" outlineLevel="1" x14ac:dyDescent="0.25">
      <c r="B61" s="112" t="s">
        <v>755</v>
      </c>
      <c r="C61" s="45" t="s">
        <v>710</v>
      </c>
      <c r="D61" s="103" t="s">
        <v>772</v>
      </c>
      <c r="E61" s="58">
        <v>-563.57000000000005</v>
      </c>
      <c r="F61" s="27"/>
    </row>
    <row r="62" spans="2:6" hidden="1" outlineLevel="1" x14ac:dyDescent="0.25">
      <c r="B62" s="112" t="s">
        <v>756</v>
      </c>
      <c r="C62" s="45" t="s">
        <v>710</v>
      </c>
      <c r="D62" s="45" t="s">
        <v>772</v>
      </c>
      <c r="E62" s="58">
        <v>-563.57000000000005</v>
      </c>
      <c r="F62" s="27"/>
    </row>
    <row r="63" spans="2:6" hidden="1" outlineLevel="1" x14ac:dyDescent="0.25">
      <c r="B63" s="112" t="s">
        <v>757</v>
      </c>
      <c r="C63" s="45" t="s">
        <v>710</v>
      </c>
      <c r="D63" s="45" t="s">
        <v>772</v>
      </c>
      <c r="E63" s="58">
        <v>-563.57000000000005</v>
      </c>
      <c r="F63" s="27"/>
    </row>
    <row r="64" spans="2:6" hidden="1" outlineLevel="1" x14ac:dyDescent="0.25">
      <c r="B64" s="112" t="s">
        <v>758</v>
      </c>
      <c r="C64" s="45" t="s">
        <v>710</v>
      </c>
      <c r="D64" s="45" t="s">
        <v>772</v>
      </c>
      <c r="E64" s="58">
        <v>-563.57000000000005</v>
      </c>
      <c r="F64" s="27"/>
    </row>
    <row r="65" spans="2:6" hidden="1" outlineLevel="1" x14ac:dyDescent="0.25">
      <c r="B65" s="112" t="s">
        <v>759</v>
      </c>
      <c r="C65" s="45" t="s">
        <v>710</v>
      </c>
      <c r="D65" s="45" t="s">
        <v>772</v>
      </c>
      <c r="E65" s="58">
        <v>-563.57000000000005</v>
      </c>
      <c r="F65" s="27"/>
    </row>
    <row r="66" spans="2:6" hidden="1" outlineLevel="1" x14ac:dyDescent="0.25">
      <c r="B66" s="112" t="s">
        <v>760</v>
      </c>
      <c r="C66" s="45" t="s">
        <v>710</v>
      </c>
      <c r="D66" s="45" t="s">
        <v>772</v>
      </c>
      <c r="E66" s="58">
        <v>-563.57000000000005</v>
      </c>
      <c r="F66" s="27"/>
    </row>
    <row r="67" spans="2:6" hidden="1" outlineLevel="1" x14ac:dyDescent="0.25">
      <c r="B67" s="112" t="s">
        <v>761</v>
      </c>
      <c r="C67" s="45" t="s">
        <v>710</v>
      </c>
      <c r="D67" s="45" t="s">
        <v>772</v>
      </c>
      <c r="E67" s="58">
        <v>-563.57000000000005</v>
      </c>
      <c r="F67" s="27"/>
    </row>
    <row r="68" spans="2:6" hidden="1" outlineLevel="1" x14ac:dyDescent="0.25">
      <c r="B68" s="112">
        <v>45930</v>
      </c>
      <c r="C68" s="45" t="s">
        <v>710</v>
      </c>
      <c r="D68" s="45" t="s">
        <v>772</v>
      </c>
      <c r="E68" s="58">
        <v>-563.57000000000005</v>
      </c>
      <c r="F68" s="27"/>
    </row>
    <row r="69" spans="2:6" hidden="1" outlineLevel="1" x14ac:dyDescent="0.25">
      <c r="B69" s="112">
        <v>45961</v>
      </c>
      <c r="C69" s="45" t="s">
        <v>710</v>
      </c>
      <c r="D69" s="45" t="s">
        <v>772</v>
      </c>
      <c r="E69" s="58">
        <v>-563.57000000000005</v>
      </c>
      <c r="F69" s="27"/>
    </row>
    <row r="70" spans="2:6" hidden="1" outlineLevel="1" x14ac:dyDescent="0.25">
      <c r="B70" s="112">
        <v>45991</v>
      </c>
      <c r="C70" s="45" t="s">
        <v>710</v>
      </c>
      <c r="D70" s="45" t="s">
        <v>772</v>
      </c>
      <c r="E70" s="58">
        <v>-563.57000000000005</v>
      </c>
      <c r="F70" s="27"/>
    </row>
    <row r="71" spans="2:6" hidden="1" outlineLevel="1" x14ac:dyDescent="0.25">
      <c r="B71" s="112">
        <v>46022</v>
      </c>
      <c r="C71" s="45" t="s">
        <v>710</v>
      </c>
      <c r="D71" s="45" t="s">
        <v>772</v>
      </c>
      <c r="E71" s="58">
        <v>-563.57000000000005</v>
      </c>
      <c r="F71" s="27"/>
    </row>
    <row r="72" spans="2:6" collapsed="1" x14ac:dyDescent="0.25">
      <c r="B72" s="112">
        <v>46053</v>
      </c>
      <c r="C72" s="45" t="s">
        <v>710</v>
      </c>
      <c r="D72" s="45" t="s">
        <v>772</v>
      </c>
      <c r="E72" s="58">
        <v>-563.57000000000005</v>
      </c>
      <c r="F72" s="27"/>
    </row>
    <row r="73" spans="2:6" x14ac:dyDescent="0.25">
      <c r="B73" s="112">
        <v>46081</v>
      </c>
      <c r="C73" s="45" t="s">
        <v>710</v>
      </c>
      <c r="D73" s="45" t="s">
        <v>772</v>
      </c>
      <c r="E73" s="58">
        <v>-563.57000000000005</v>
      </c>
      <c r="F73" s="27"/>
    </row>
    <row r="74" spans="2:6" x14ac:dyDescent="0.25">
      <c r="B74" s="112">
        <v>46112</v>
      </c>
      <c r="C74" s="45" t="s">
        <v>710</v>
      </c>
      <c r="D74" s="45" t="s">
        <v>772</v>
      </c>
      <c r="E74" s="58">
        <v>-563.57000000000005</v>
      </c>
      <c r="F74" s="27"/>
    </row>
    <row r="75" spans="2:6" x14ac:dyDescent="0.25">
      <c r="B75" s="102"/>
      <c r="C75" s="27"/>
      <c r="D75" s="59"/>
      <c r="E75" s="46"/>
      <c r="F75" s="27"/>
    </row>
    <row r="76" spans="2:6" x14ac:dyDescent="0.25">
      <c r="B76" s="102"/>
      <c r="C76" s="27"/>
      <c r="D76" s="59" t="s">
        <v>274</v>
      </c>
      <c r="E76" s="46">
        <f>SUM(E59:E75)</f>
        <v>-13525.549999999996</v>
      </c>
      <c r="F76" s="27"/>
    </row>
    <row r="77" spans="2:6" x14ac:dyDescent="0.25">
      <c r="B77" s="108"/>
    </row>
    <row r="78" spans="2:6" x14ac:dyDescent="0.25">
      <c r="B78" s="108"/>
    </row>
    <row r="79" spans="2:6" x14ac:dyDescent="0.25">
      <c r="B79" s="113" t="s">
        <v>773</v>
      </c>
      <c r="D79" s="60"/>
      <c r="E79" s="61"/>
    </row>
    <row r="80" spans="2:6" x14ac:dyDescent="0.25">
      <c r="B80" s="110" t="s">
        <v>639</v>
      </c>
      <c r="C80" s="39" t="s">
        <v>706</v>
      </c>
      <c r="D80" s="39" t="s">
        <v>707</v>
      </c>
      <c r="E80" s="40" t="s">
        <v>48</v>
      </c>
      <c r="F80" s="40" t="s">
        <v>708</v>
      </c>
    </row>
    <row r="81" spans="2:6" x14ac:dyDescent="0.25">
      <c r="B81" s="112">
        <v>45695</v>
      </c>
      <c r="C81" s="27" t="s">
        <v>480</v>
      </c>
      <c r="D81" s="27" t="s">
        <v>774</v>
      </c>
      <c r="E81" s="58">
        <v>39563</v>
      </c>
      <c r="F81" s="27"/>
    </row>
    <row r="82" spans="2:6" x14ac:dyDescent="0.25">
      <c r="B82" s="112">
        <v>45891</v>
      </c>
      <c r="C82" s="27" t="s">
        <v>480</v>
      </c>
      <c r="D82" s="27" t="s">
        <v>775</v>
      </c>
      <c r="E82" s="58">
        <v>4280.3599999999997</v>
      </c>
      <c r="F82" s="27"/>
    </row>
    <row r="83" spans="2:6" x14ac:dyDescent="0.25">
      <c r="B83" s="112">
        <v>45999</v>
      </c>
      <c r="C83" s="27" t="s">
        <v>480</v>
      </c>
      <c r="D83" s="27" t="s">
        <v>776</v>
      </c>
      <c r="E83" s="58">
        <v>47270</v>
      </c>
      <c r="F83" s="27"/>
    </row>
    <row r="84" spans="2:6" x14ac:dyDescent="0.25">
      <c r="B84" s="112">
        <v>46049</v>
      </c>
      <c r="C84" s="27" t="s">
        <v>480</v>
      </c>
      <c r="D84" s="27" t="s">
        <v>777</v>
      </c>
      <c r="E84" s="58">
        <v>3229.82</v>
      </c>
      <c r="F84" s="27"/>
    </row>
    <row r="85" spans="2:6" x14ac:dyDescent="0.25">
      <c r="B85" s="112"/>
      <c r="C85" s="27"/>
      <c r="D85" s="27"/>
      <c r="E85" s="58"/>
      <c r="F85" s="27"/>
    </row>
    <row r="86" spans="2:6" x14ac:dyDescent="0.25">
      <c r="B86" s="102"/>
      <c r="C86" s="27"/>
      <c r="D86" s="59" t="s">
        <v>274</v>
      </c>
      <c r="E86" s="46">
        <f>SUM(E81:E85)</f>
        <v>94343.180000000008</v>
      </c>
      <c r="F86" s="27"/>
    </row>
    <row r="87" spans="2:6" x14ac:dyDescent="0.25">
      <c r="D87" s="60"/>
      <c r="E87" s="61"/>
    </row>
    <row r="89" spans="2:6" x14ac:dyDescent="0.25">
      <c r="B89" s="113" t="s">
        <v>778</v>
      </c>
      <c r="D89" s="60"/>
      <c r="E89" s="61"/>
    </row>
    <row r="90" spans="2:6" x14ac:dyDescent="0.25">
      <c r="B90" s="110" t="s">
        <v>639</v>
      </c>
      <c r="C90" s="39" t="s">
        <v>706</v>
      </c>
      <c r="D90" s="39" t="s">
        <v>707</v>
      </c>
      <c r="E90" s="40" t="s">
        <v>48</v>
      </c>
      <c r="F90" s="40" t="s">
        <v>708</v>
      </c>
    </row>
    <row r="91" spans="2:6" hidden="1" outlineLevel="1" x14ac:dyDescent="0.25">
      <c r="B91" s="114" t="s">
        <v>479</v>
      </c>
      <c r="C91" s="27" t="s">
        <v>480</v>
      </c>
      <c r="D91" s="27" t="s">
        <v>779</v>
      </c>
      <c r="E91" s="58">
        <v>89.09</v>
      </c>
      <c r="F91" s="27"/>
    </row>
    <row r="92" spans="2:6" hidden="1" outlineLevel="1" x14ac:dyDescent="0.25">
      <c r="B92" s="114" t="s">
        <v>780</v>
      </c>
      <c r="C92" s="27" t="s">
        <v>480</v>
      </c>
      <c r="D92" s="27" t="s">
        <v>781</v>
      </c>
      <c r="E92" s="58">
        <v>210.78</v>
      </c>
      <c r="F92" s="27"/>
    </row>
    <row r="93" spans="2:6" hidden="1" outlineLevel="1" x14ac:dyDescent="0.25">
      <c r="B93" s="114" t="s">
        <v>780</v>
      </c>
      <c r="C93" s="27" t="s">
        <v>480</v>
      </c>
      <c r="D93" s="27" t="s">
        <v>782</v>
      </c>
      <c r="E93" s="58">
        <v>252.23</v>
      </c>
      <c r="F93" s="27"/>
    </row>
    <row r="94" spans="2:6" hidden="1" outlineLevel="1" x14ac:dyDescent="0.25">
      <c r="B94" s="114" t="s">
        <v>783</v>
      </c>
      <c r="C94" s="27" t="s">
        <v>480</v>
      </c>
      <c r="D94" s="27" t="s">
        <v>784</v>
      </c>
      <c r="E94" s="58">
        <v>259.49</v>
      </c>
      <c r="F94" s="27"/>
    </row>
    <row r="95" spans="2:6" hidden="1" outlineLevel="1" x14ac:dyDescent="0.25">
      <c r="B95" s="114" t="s">
        <v>785</v>
      </c>
      <c r="C95" s="27" t="s">
        <v>486</v>
      </c>
      <c r="D95" s="27" t="s">
        <v>786</v>
      </c>
      <c r="E95" s="58">
        <v>12000</v>
      </c>
      <c r="F95" s="27"/>
    </row>
    <row r="96" spans="2:6" hidden="1" outlineLevel="1" x14ac:dyDescent="0.25">
      <c r="B96" s="114" t="s">
        <v>785</v>
      </c>
      <c r="C96" s="27" t="s">
        <v>486</v>
      </c>
      <c r="D96" s="27" t="s">
        <v>787</v>
      </c>
      <c r="E96" s="58">
        <v>12500</v>
      </c>
      <c r="F96" s="27"/>
    </row>
    <row r="97" spans="2:6" hidden="1" outlineLevel="1" x14ac:dyDescent="0.25">
      <c r="B97" s="114" t="s">
        <v>785</v>
      </c>
      <c r="C97" s="27" t="s">
        <v>486</v>
      </c>
      <c r="D97" s="27" t="s">
        <v>788</v>
      </c>
      <c r="E97" s="58">
        <v>900</v>
      </c>
      <c r="F97" s="27"/>
    </row>
    <row r="98" spans="2:6" hidden="1" outlineLevel="1" x14ac:dyDescent="0.25">
      <c r="B98" s="114" t="s">
        <v>785</v>
      </c>
      <c r="C98" s="27" t="s">
        <v>486</v>
      </c>
      <c r="D98" s="27" t="s">
        <v>789</v>
      </c>
      <c r="E98" s="58">
        <v>17500</v>
      </c>
      <c r="F98" s="27"/>
    </row>
    <row r="99" spans="2:6" hidden="1" outlineLevel="1" x14ac:dyDescent="0.25">
      <c r="B99" s="114" t="s">
        <v>785</v>
      </c>
      <c r="C99" s="27" t="s">
        <v>486</v>
      </c>
      <c r="D99" s="27" t="s">
        <v>790</v>
      </c>
      <c r="E99" s="58">
        <v>4344.1099999999997</v>
      </c>
      <c r="F99" s="27"/>
    </row>
    <row r="100" spans="2:6" hidden="1" outlineLevel="1" x14ac:dyDescent="0.25">
      <c r="B100" s="114" t="s">
        <v>785</v>
      </c>
      <c r="C100" s="27" t="s">
        <v>486</v>
      </c>
      <c r="D100" s="27" t="s">
        <v>791</v>
      </c>
      <c r="E100" s="58">
        <v>5500</v>
      </c>
      <c r="F100" s="27"/>
    </row>
    <row r="101" spans="2:6" hidden="1" outlineLevel="1" x14ac:dyDescent="0.25">
      <c r="B101" s="114" t="s">
        <v>785</v>
      </c>
      <c r="C101" s="27" t="s">
        <v>486</v>
      </c>
      <c r="D101" s="27" t="s">
        <v>792</v>
      </c>
      <c r="E101" s="58">
        <v>2255.89</v>
      </c>
      <c r="F101" s="27"/>
    </row>
    <row r="102" spans="2:6" hidden="1" outlineLevel="1" x14ac:dyDescent="0.25">
      <c r="B102" s="114" t="s">
        <v>785</v>
      </c>
      <c r="C102" s="27" t="s">
        <v>486</v>
      </c>
      <c r="D102" s="27" t="s">
        <v>793</v>
      </c>
      <c r="E102" s="58">
        <v>15500</v>
      </c>
      <c r="F102" s="27"/>
    </row>
    <row r="103" spans="2:6" hidden="1" outlineLevel="1" x14ac:dyDescent="0.25">
      <c r="B103" s="114" t="s">
        <v>785</v>
      </c>
      <c r="C103" s="27" t="s">
        <v>486</v>
      </c>
      <c r="D103" s="27" t="s">
        <v>794</v>
      </c>
      <c r="E103" s="58">
        <v>3500</v>
      </c>
      <c r="F103" s="27"/>
    </row>
    <row r="104" spans="2:6" hidden="1" outlineLevel="1" x14ac:dyDescent="0.25">
      <c r="B104" s="114" t="s">
        <v>404</v>
      </c>
      <c r="C104" s="27" t="s">
        <v>486</v>
      </c>
      <c r="D104" s="27" t="s">
        <v>795</v>
      </c>
      <c r="E104" s="58">
        <v>2560</v>
      </c>
      <c r="F104" s="27"/>
    </row>
    <row r="105" spans="2:6" hidden="1" outlineLevel="1" x14ac:dyDescent="0.25">
      <c r="B105" s="114" t="s">
        <v>796</v>
      </c>
      <c r="C105" s="27" t="s">
        <v>486</v>
      </c>
      <c r="D105" s="27" t="s">
        <v>797</v>
      </c>
      <c r="E105" s="58">
        <v>20100</v>
      </c>
      <c r="F105" s="27"/>
    </row>
    <row r="106" spans="2:6" hidden="1" outlineLevel="1" x14ac:dyDescent="0.25">
      <c r="B106" s="114" t="s">
        <v>402</v>
      </c>
      <c r="C106" s="27" t="s">
        <v>503</v>
      </c>
      <c r="D106" s="27" t="s">
        <v>798</v>
      </c>
      <c r="E106" s="58">
        <v>-252.23</v>
      </c>
      <c r="F106" s="27"/>
    </row>
    <row r="107" spans="2:6" hidden="1" outlineLevel="1" x14ac:dyDescent="0.25">
      <c r="B107" s="114" t="s">
        <v>545</v>
      </c>
      <c r="C107" s="27" t="s">
        <v>480</v>
      </c>
      <c r="D107" s="27" t="s">
        <v>799</v>
      </c>
      <c r="E107" s="58">
        <v>1218.56</v>
      </c>
      <c r="F107" s="27"/>
    </row>
    <row r="108" spans="2:6" hidden="1" outlineLevel="1" x14ac:dyDescent="0.25">
      <c r="B108" s="114" t="s">
        <v>800</v>
      </c>
      <c r="C108" s="27" t="s">
        <v>486</v>
      </c>
      <c r="D108" s="27" t="s">
        <v>801</v>
      </c>
      <c r="E108" s="58">
        <v>221</v>
      </c>
      <c r="F108" s="27"/>
    </row>
    <row r="109" spans="2:6" hidden="1" outlineLevel="1" x14ac:dyDescent="0.25">
      <c r="B109" s="114" t="s">
        <v>800</v>
      </c>
      <c r="C109" s="27" t="s">
        <v>486</v>
      </c>
      <c r="D109" s="27" t="s">
        <v>802</v>
      </c>
      <c r="E109" s="58">
        <v>38.75</v>
      </c>
      <c r="F109" s="27"/>
    </row>
    <row r="110" spans="2:6" hidden="1" outlineLevel="1" x14ac:dyDescent="0.25">
      <c r="B110" s="114" t="s">
        <v>803</v>
      </c>
      <c r="C110" s="27" t="s">
        <v>486</v>
      </c>
      <c r="D110" s="27" t="s">
        <v>804</v>
      </c>
      <c r="E110" s="58">
        <v>7800</v>
      </c>
      <c r="F110" s="27"/>
    </row>
    <row r="111" spans="2:6" hidden="1" outlineLevel="1" x14ac:dyDescent="0.25">
      <c r="B111" s="114" t="s">
        <v>803</v>
      </c>
      <c r="C111" s="27" t="s">
        <v>486</v>
      </c>
      <c r="D111" s="27" t="s">
        <v>805</v>
      </c>
      <c r="E111" s="58">
        <v>1560</v>
      </c>
      <c r="F111" s="27"/>
    </row>
    <row r="112" spans="2:6" hidden="1" outlineLevel="1" x14ac:dyDescent="0.25">
      <c r="B112" s="114" t="s">
        <v>733</v>
      </c>
      <c r="C112" s="27" t="s">
        <v>710</v>
      </c>
      <c r="D112" s="27" t="s">
        <v>806</v>
      </c>
      <c r="E112" s="58">
        <v>-12939</v>
      </c>
      <c r="F112" s="27"/>
    </row>
    <row r="113" spans="2:6" collapsed="1" x14ac:dyDescent="0.25">
      <c r="B113" s="114" t="s">
        <v>409</v>
      </c>
      <c r="C113" s="27" t="s">
        <v>486</v>
      </c>
      <c r="D113" s="27" t="s">
        <v>807</v>
      </c>
      <c r="E113" s="58">
        <v>500</v>
      </c>
      <c r="F113" s="27"/>
    </row>
    <row r="114" spans="2:6" x14ac:dyDescent="0.25">
      <c r="B114" s="114" t="s">
        <v>409</v>
      </c>
      <c r="C114" s="27" t="s">
        <v>486</v>
      </c>
      <c r="D114" s="27" t="s">
        <v>808</v>
      </c>
      <c r="E114" s="58">
        <v>1650</v>
      </c>
      <c r="F114" s="27"/>
    </row>
    <row r="115" spans="2:6" x14ac:dyDescent="0.25">
      <c r="B115" s="114" t="s">
        <v>409</v>
      </c>
      <c r="C115" s="27" t="s">
        <v>486</v>
      </c>
      <c r="D115" s="27" t="s">
        <v>809</v>
      </c>
      <c r="E115" s="58">
        <v>7500</v>
      </c>
      <c r="F115" s="27"/>
    </row>
    <row r="116" spans="2:6" x14ac:dyDescent="0.25">
      <c r="B116" s="114" t="s">
        <v>409</v>
      </c>
      <c r="C116" s="27" t="s">
        <v>486</v>
      </c>
      <c r="D116" s="27" t="s">
        <v>810</v>
      </c>
      <c r="E116" s="58">
        <v>1000</v>
      </c>
      <c r="F116" s="27"/>
    </row>
    <row r="117" spans="2:6" x14ac:dyDescent="0.25">
      <c r="B117" s="114" t="s">
        <v>409</v>
      </c>
      <c r="C117" s="27" t="s">
        <v>486</v>
      </c>
      <c r="D117" s="27" t="s">
        <v>811</v>
      </c>
      <c r="E117" s="58">
        <v>2700</v>
      </c>
      <c r="F117" s="27"/>
    </row>
    <row r="118" spans="2:6" x14ac:dyDescent="0.25">
      <c r="B118" s="114" t="s">
        <v>409</v>
      </c>
      <c r="C118" s="27" t="s">
        <v>486</v>
      </c>
      <c r="D118" s="27" t="s">
        <v>812</v>
      </c>
      <c r="E118" s="58">
        <v>1500</v>
      </c>
      <c r="F118" s="27"/>
    </row>
    <row r="119" spans="2:6" x14ac:dyDescent="0.25">
      <c r="B119" s="114" t="s">
        <v>409</v>
      </c>
      <c r="C119" s="27" t="s">
        <v>486</v>
      </c>
      <c r="D119" s="27" t="s">
        <v>813</v>
      </c>
      <c r="E119" s="58">
        <v>2500</v>
      </c>
      <c r="F119" s="27"/>
    </row>
    <row r="120" spans="2:6" x14ac:dyDescent="0.25">
      <c r="B120" s="114" t="s">
        <v>409</v>
      </c>
      <c r="C120" s="27" t="s">
        <v>486</v>
      </c>
      <c r="D120" s="27" t="s">
        <v>814</v>
      </c>
      <c r="E120" s="58">
        <v>1800</v>
      </c>
      <c r="F120" s="27"/>
    </row>
    <row r="121" spans="2:6" x14ac:dyDescent="0.25">
      <c r="B121" s="114" t="s">
        <v>409</v>
      </c>
      <c r="C121" s="27" t="s">
        <v>486</v>
      </c>
      <c r="D121" s="27" t="s">
        <v>815</v>
      </c>
      <c r="E121" s="58">
        <v>650</v>
      </c>
      <c r="F121" s="27"/>
    </row>
    <row r="122" spans="2:6" x14ac:dyDescent="0.25">
      <c r="B122" s="114" t="s">
        <v>409</v>
      </c>
      <c r="C122" s="27" t="s">
        <v>486</v>
      </c>
      <c r="D122" s="27" t="s">
        <v>816</v>
      </c>
      <c r="E122" s="58">
        <v>3800</v>
      </c>
      <c r="F122" s="27"/>
    </row>
    <row r="123" spans="2:6" x14ac:dyDescent="0.25">
      <c r="B123" s="114" t="s">
        <v>409</v>
      </c>
      <c r="C123" s="27" t="s">
        <v>486</v>
      </c>
      <c r="D123" s="27" t="s">
        <v>792</v>
      </c>
      <c r="E123" s="58">
        <v>973.5</v>
      </c>
      <c r="F123" s="27"/>
    </row>
    <row r="124" spans="2:6" x14ac:dyDescent="0.25">
      <c r="B124" s="114" t="s">
        <v>409</v>
      </c>
      <c r="C124" s="27" t="s">
        <v>486</v>
      </c>
      <c r="D124" s="27" t="s">
        <v>817</v>
      </c>
      <c r="E124" s="58">
        <v>-2500</v>
      </c>
      <c r="F124" s="27"/>
    </row>
    <row r="125" spans="2:6" x14ac:dyDescent="0.25">
      <c r="B125" s="114" t="s">
        <v>409</v>
      </c>
      <c r="C125" s="27" t="s">
        <v>486</v>
      </c>
      <c r="D125" s="27" t="s">
        <v>818</v>
      </c>
      <c r="E125" s="58">
        <v>-2323.5</v>
      </c>
      <c r="F125" s="27"/>
    </row>
    <row r="126" spans="2:6" x14ac:dyDescent="0.25">
      <c r="B126" s="114" t="s">
        <v>409</v>
      </c>
      <c r="C126" s="27" t="s">
        <v>486</v>
      </c>
      <c r="D126" s="27" t="s">
        <v>819</v>
      </c>
      <c r="E126" s="58">
        <v>-3500</v>
      </c>
      <c r="F126" s="27"/>
    </row>
    <row r="127" spans="2:6" x14ac:dyDescent="0.25">
      <c r="B127" s="114"/>
      <c r="C127" s="27"/>
      <c r="D127" s="27"/>
      <c r="E127" s="58"/>
      <c r="F127" s="27"/>
    </row>
    <row r="128" spans="2:6" x14ac:dyDescent="0.25">
      <c r="B128" s="102"/>
      <c r="C128" s="27"/>
      <c r="D128" s="59" t="s">
        <v>274</v>
      </c>
      <c r="E128" s="46">
        <f>SUM(E91:E127)</f>
        <v>111368.67</v>
      </c>
      <c r="F128" s="27"/>
    </row>
    <row r="129" spans="2:6" x14ac:dyDescent="0.25">
      <c r="D129" s="60"/>
      <c r="E129" s="61"/>
    </row>
    <row r="130" spans="2:6" x14ac:dyDescent="0.25">
      <c r="D130" s="60"/>
      <c r="E130" s="61"/>
    </row>
    <row r="131" spans="2:6" ht="30" x14ac:dyDescent="0.25">
      <c r="B131" s="113" t="s">
        <v>820</v>
      </c>
    </row>
    <row r="132" spans="2:6" x14ac:dyDescent="0.25">
      <c r="B132" s="239" t="s">
        <v>639</v>
      </c>
      <c r="C132" s="39" t="s">
        <v>706</v>
      </c>
      <c r="D132" s="39" t="s">
        <v>707</v>
      </c>
      <c r="E132" s="40" t="s">
        <v>48</v>
      </c>
      <c r="F132" s="40" t="s">
        <v>708</v>
      </c>
    </row>
    <row r="133" spans="2:6" hidden="1" outlineLevel="1" x14ac:dyDescent="0.25">
      <c r="B133" s="112">
        <v>45991</v>
      </c>
      <c r="C133" s="45" t="s">
        <v>710</v>
      </c>
      <c r="D133" s="27" t="s">
        <v>821</v>
      </c>
      <c r="E133" s="58">
        <v>-1585.31</v>
      </c>
      <c r="F133" s="27"/>
    </row>
    <row r="134" spans="2:6" hidden="1" outlineLevel="1" x14ac:dyDescent="0.25">
      <c r="B134" s="112">
        <v>46022</v>
      </c>
      <c r="C134" s="45" t="s">
        <v>710</v>
      </c>
      <c r="D134" s="27" t="s">
        <v>821</v>
      </c>
      <c r="E134" s="58">
        <v>-1585.31</v>
      </c>
      <c r="F134" s="27"/>
    </row>
    <row r="135" spans="2:6" collapsed="1" x14ac:dyDescent="0.25">
      <c r="B135" s="112">
        <v>46053</v>
      </c>
      <c r="C135" s="45" t="s">
        <v>710</v>
      </c>
      <c r="D135" s="27" t="s">
        <v>821</v>
      </c>
      <c r="E135" s="58">
        <v>-1856.14</v>
      </c>
      <c r="F135" s="27"/>
    </row>
    <row r="136" spans="2:6" x14ac:dyDescent="0.25">
      <c r="B136" s="112">
        <v>46081</v>
      </c>
      <c r="C136" s="45" t="s">
        <v>710</v>
      </c>
      <c r="D136" s="27" t="s">
        <v>821</v>
      </c>
      <c r="E136" s="58">
        <v>-1856.14</v>
      </c>
      <c r="F136" s="27"/>
    </row>
    <row r="137" spans="2:6" x14ac:dyDescent="0.25">
      <c r="B137" s="112">
        <v>46112</v>
      </c>
      <c r="C137" s="45" t="s">
        <v>710</v>
      </c>
      <c r="D137" s="27" t="s">
        <v>821</v>
      </c>
      <c r="E137" s="58">
        <v>-1856.14</v>
      </c>
      <c r="F137" s="27"/>
    </row>
    <row r="138" spans="2:6" x14ac:dyDescent="0.25">
      <c r="B138" s="112"/>
      <c r="C138" s="45"/>
      <c r="D138" s="27"/>
      <c r="E138" s="58"/>
      <c r="F138" s="27"/>
    </row>
    <row r="139" spans="2:6" x14ac:dyDescent="0.25">
      <c r="B139" s="102"/>
      <c r="C139" s="27"/>
      <c r="D139" s="59"/>
      <c r="E139" s="46"/>
      <c r="F139" s="27"/>
    </row>
    <row r="140" spans="2:6" x14ac:dyDescent="0.25">
      <c r="B140" s="102"/>
      <c r="C140" s="27"/>
      <c r="D140" s="59" t="s">
        <v>274</v>
      </c>
      <c r="E140" s="46">
        <f>SUM(E133:E139)</f>
        <v>-8739.0400000000009</v>
      </c>
      <c r="F140" s="27"/>
    </row>
  </sheetData>
  <hyperlinks>
    <hyperlink ref="D2" location="Index!A1" display="Home" xr:uid="{33C75692-6B1C-4C9C-AF5B-AD1520D212A8}"/>
    <hyperlink ref="D4" location="P_L" display="Profit &amp; Loss" xr:uid="{CDD5F989-4D66-4927-BE73-D83F13F7D366}"/>
    <hyperlink ref="D3" location="B_S" display="Balance Sheet" xr:uid="{35552219-C4AF-4F79-93EF-B0D79FDC258E}"/>
    <hyperlink ref="D5" location="PL_YTD" display="PL-Division (YTD)" xr:uid="{FE3BE644-A7EF-4652-A4AF-FEE2B2CD01E7}"/>
    <hyperlink ref="D6" location="PL_DM" display="PL-Division (Month)" xr:uid="{00056C3D-64EC-458A-927A-FA89100247FA}"/>
  </hyperlinks>
  <pageMargins left="0.7" right="0.7" top="0.75" bottom="0.75" header="0.3" footer="0.3"/>
  <pageSetup orientation="portrait" r:id="rId1"/>
  <ignoredErrors>
    <ignoredError sqref="E12 E14" formula="1"/>
    <ignoredError sqref="C15:C16"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EC317-860A-409E-8E22-38AB004CF6BA}">
  <sheetPr codeName="Sheet17">
    <tabColor rgb="FFFFFF00"/>
  </sheetPr>
  <dimension ref="B2:I102"/>
  <sheetViews>
    <sheetView showGridLines="0" zoomScaleNormal="100" workbookViewId="0">
      <pane ySplit="10" topLeftCell="A11" activePane="bottomLeft" state="frozen"/>
      <selection pane="bottomLeft" activeCell="B2" sqref="B2"/>
    </sheetView>
  </sheetViews>
  <sheetFormatPr defaultColWidth="9.140625" defaultRowHeight="15" x14ac:dyDescent="0.25"/>
  <cols>
    <col min="1" max="1" width="2.7109375" style="16" customWidth="1"/>
    <col min="2" max="2" width="31" style="16" bestFit="1" customWidth="1"/>
    <col min="3" max="3" width="12.5703125" style="17" bestFit="1" customWidth="1"/>
    <col min="4" max="4" width="19.5703125" style="16" bestFit="1" customWidth="1"/>
    <col min="5" max="5" width="15" style="16" bestFit="1" customWidth="1"/>
    <col min="6" max="6" width="40.85546875" style="16" bestFit="1" customWidth="1"/>
    <col min="7" max="7" width="11.42578125" style="16" bestFit="1" customWidth="1"/>
    <col min="8" max="8" width="19.42578125" style="287" bestFit="1" customWidth="1"/>
    <col min="9" max="9" width="63.85546875" style="16" customWidth="1"/>
    <col min="10" max="10" width="32.5703125" style="16" customWidth="1"/>
    <col min="11" max="16384" width="9.140625" style="16"/>
  </cols>
  <sheetData>
    <row r="2" spans="2:9" ht="15.75" x14ac:dyDescent="0.25">
      <c r="B2" s="18" t="str">
        <f>[2]BS!B2</f>
        <v>Pacific Nexus</v>
      </c>
      <c r="E2" s="151" t="s">
        <v>45</v>
      </c>
    </row>
    <row r="3" spans="2:9" ht="15.75" x14ac:dyDescent="0.25">
      <c r="B3" s="18" t="str">
        <f>+Cover!A6</f>
        <v>Period Ending 03/31/2026</v>
      </c>
      <c r="E3" s="238" t="s">
        <v>47</v>
      </c>
    </row>
    <row r="4" spans="2:9" ht="15.75" x14ac:dyDescent="0.25">
      <c r="B4" s="56"/>
      <c r="E4" s="238" t="s">
        <v>46</v>
      </c>
    </row>
    <row r="5" spans="2:9" ht="15.75" x14ac:dyDescent="0.25">
      <c r="B5" s="18" t="str">
        <f>[2]BS!B43</f>
        <v xml:space="preserve">            2000 Accounts Payable</v>
      </c>
      <c r="E5" s="238" t="s">
        <v>34</v>
      </c>
    </row>
    <row r="6" spans="2:9" x14ac:dyDescent="0.25">
      <c r="E6" s="238" t="s">
        <v>36</v>
      </c>
    </row>
    <row r="8" spans="2:9" x14ac:dyDescent="0.25">
      <c r="B8" s="22" t="s">
        <v>638</v>
      </c>
      <c r="C8" s="55">
        <f>BS!C46</f>
        <v>117975</v>
      </c>
    </row>
    <row r="9" spans="2:9" ht="15.75" thickBot="1" x14ac:dyDescent="0.3"/>
    <row r="10" spans="2:9" x14ac:dyDescent="0.25">
      <c r="B10" s="62" t="s">
        <v>27</v>
      </c>
      <c r="C10" s="116" t="s">
        <v>639</v>
      </c>
      <c r="D10" s="117" t="s">
        <v>706</v>
      </c>
      <c r="E10" s="118" t="s">
        <v>473</v>
      </c>
      <c r="F10" s="117" t="s">
        <v>822</v>
      </c>
      <c r="G10" s="117" t="s">
        <v>656</v>
      </c>
      <c r="H10" s="288" t="s">
        <v>823</v>
      </c>
      <c r="I10" s="119" t="s">
        <v>658</v>
      </c>
    </row>
    <row r="11" spans="2:9" x14ac:dyDescent="0.25">
      <c r="B11" s="805" t="s">
        <v>824</v>
      </c>
      <c r="C11" s="16"/>
      <c r="H11" s="807"/>
      <c r="I11" s="121"/>
    </row>
    <row r="12" spans="2:9" x14ac:dyDescent="0.25">
      <c r="B12" s="75"/>
      <c r="C12" s="16" t="s">
        <v>509</v>
      </c>
      <c r="D12" s="16" t="s">
        <v>486</v>
      </c>
      <c r="E12" s="16" t="s">
        <v>827</v>
      </c>
      <c r="F12" s="16" t="s">
        <v>828</v>
      </c>
      <c r="G12" s="16" t="s">
        <v>829</v>
      </c>
      <c r="H12" s="807">
        <v>3157.56</v>
      </c>
      <c r="I12" s="121" t="s">
        <v>830</v>
      </c>
    </row>
    <row r="13" spans="2:9" x14ac:dyDescent="0.25">
      <c r="B13" s="75"/>
      <c r="C13" s="16" t="s">
        <v>509</v>
      </c>
      <c r="D13" s="16" t="s">
        <v>486</v>
      </c>
      <c r="E13" s="16" t="s">
        <v>831</v>
      </c>
      <c r="F13" s="16" t="s">
        <v>828</v>
      </c>
      <c r="G13" s="16" t="s">
        <v>829</v>
      </c>
      <c r="H13" s="807">
        <v>13669.85</v>
      </c>
      <c r="I13" s="121" t="s">
        <v>830</v>
      </c>
    </row>
    <row r="14" spans="2:9" x14ac:dyDescent="0.25">
      <c r="B14" s="75"/>
      <c r="C14" s="16" t="s">
        <v>833</v>
      </c>
      <c r="D14" s="16" t="s">
        <v>486</v>
      </c>
      <c r="E14" s="16" t="s">
        <v>834</v>
      </c>
      <c r="F14" s="16" t="s">
        <v>828</v>
      </c>
      <c r="G14" s="16" t="s">
        <v>835</v>
      </c>
      <c r="H14" s="807">
        <v>1080.83</v>
      </c>
      <c r="I14" s="121" t="s">
        <v>830</v>
      </c>
    </row>
    <row r="15" spans="2:9" x14ac:dyDescent="0.25">
      <c r="B15" s="75"/>
      <c r="C15" s="16" t="s">
        <v>833</v>
      </c>
      <c r="D15" s="16" t="s">
        <v>486</v>
      </c>
      <c r="E15" s="16" t="s">
        <v>836</v>
      </c>
      <c r="F15" s="16" t="s">
        <v>828</v>
      </c>
      <c r="G15" s="16" t="s">
        <v>835</v>
      </c>
      <c r="H15" s="807">
        <v>8060.3</v>
      </c>
      <c r="I15" s="121" t="s">
        <v>830</v>
      </c>
    </row>
    <row r="16" spans="2:9" x14ac:dyDescent="0.25">
      <c r="B16" s="75"/>
      <c r="C16" s="16" t="s">
        <v>837</v>
      </c>
      <c r="D16" s="16" t="s">
        <v>486</v>
      </c>
      <c r="E16" s="16" t="s">
        <v>838</v>
      </c>
      <c r="F16" s="16" t="s">
        <v>828</v>
      </c>
      <c r="G16" s="16" t="s">
        <v>835</v>
      </c>
      <c r="H16" s="807">
        <v>2535.6</v>
      </c>
      <c r="I16" s="121" t="s">
        <v>830</v>
      </c>
    </row>
    <row r="17" spans="2:9" x14ac:dyDescent="0.25">
      <c r="B17" s="75"/>
      <c r="C17" s="16" t="s">
        <v>837</v>
      </c>
      <c r="D17" s="16" t="s">
        <v>486</v>
      </c>
      <c r="E17" s="16" t="s">
        <v>839</v>
      </c>
      <c r="F17" s="16" t="s">
        <v>828</v>
      </c>
      <c r="G17" s="16" t="s">
        <v>835</v>
      </c>
      <c r="H17" s="807">
        <v>23694.28</v>
      </c>
      <c r="I17" s="121" t="s">
        <v>830</v>
      </c>
    </row>
    <row r="18" spans="2:9" x14ac:dyDescent="0.25">
      <c r="B18" s="75"/>
      <c r="C18" s="16" t="s">
        <v>840</v>
      </c>
      <c r="D18" s="16" t="s">
        <v>486</v>
      </c>
      <c r="E18" s="16" t="s">
        <v>841</v>
      </c>
      <c r="F18" s="16" t="s">
        <v>828</v>
      </c>
      <c r="G18" s="16" t="s">
        <v>835</v>
      </c>
      <c r="H18" s="807">
        <v>9719.56</v>
      </c>
      <c r="I18" s="121" t="s">
        <v>830</v>
      </c>
    </row>
    <row r="19" spans="2:9" x14ac:dyDescent="0.25">
      <c r="B19" s="75"/>
      <c r="C19" s="16" t="s">
        <v>842</v>
      </c>
      <c r="D19" s="16" t="s">
        <v>486</v>
      </c>
      <c r="E19" s="16" t="s">
        <v>843</v>
      </c>
      <c r="F19" s="16" t="s">
        <v>828</v>
      </c>
      <c r="G19" s="16" t="s">
        <v>842</v>
      </c>
      <c r="H19" s="807">
        <v>2195.17</v>
      </c>
      <c r="I19" s="121" t="s">
        <v>830</v>
      </c>
    </row>
    <row r="20" spans="2:9" x14ac:dyDescent="0.25">
      <c r="B20" s="806" t="s">
        <v>832</v>
      </c>
      <c r="C20" s="16"/>
      <c r="H20" s="808">
        <f>H12+H13+H14+H15+H16+H17+H18+H19</f>
        <v>64113.149999999994</v>
      </c>
      <c r="I20" s="121"/>
    </row>
    <row r="21" spans="2:9" x14ac:dyDescent="0.25">
      <c r="B21" s="805" t="s">
        <v>659</v>
      </c>
      <c r="C21" s="16"/>
      <c r="H21" s="807"/>
      <c r="I21" s="121"/>
    </row>
    <row r="22" spans="2:9" ht="45" x14ac:dyDescent="0.25">
      <c r="B22" s="75"/>
      <c r="C22" s="16" t="s">
        <v>421</v>
      </c>
      <c r="D22" s="16" t="s">
        <v>486</v>
      </c>
      <c r="E22" s="16" t="s">
        <v>844</v>
      </c>
      <c r="F22" s="16" t="s">
        <v>572</v>
      </c>
      <c r="G22" s="16" t="s">
        <v>421</v>
      </c>
      <c r="H22" s="807">
        <v>28</v>
      </c>
      <c r="I22" s="678" t="s">
        <v>1470</v>
      </c>
    </row>
    <row r="23" spans="2:9" x14ac:dyDescent="0.25">
      <c r="B23" s="75"/>
      <c r="C23" s="16" t="s">
        <v>845</v>
      </c>
      <c r="D23" s="16" t="s">
        <v>486</v>
      </c>
      <c r="E23" s="16" t="s">
        <v>846</v>
      </c>
      <c r="F23" s="16" t="s">
        <v>847</v>
      </c>
      <c r="G23" s="16" t="s">
        <v>426</v>
      </c>
      <c r="H23" s="807">
        <v>8.0399999999999991</v>
      </c>
      <c r="I23" s="121" t="s">
        <v>1214</v>
      </c>
    </row>
    <row r="24" spans="2:9" x14ac:dyDescent="0.25">
      <c r="B24" s="806" t="s">
        <v>671</v>
      </c>
      <c r="C24" s="16"/>
      <c r="H24" s="808">
        <f>H22+H23</f>
        <v>36.04</v>
      </c>
      <c r="I24" s="121"/>
    </row>
    <row r="25" spans="2:9" x14ac:dyDescent="0.25">
      <c r="B25" s="805" t="s">
        <v>672</v>
      </c>
      <c r="C25" s="16"/>
      <c r="H25" s="807"/>
      <c r="I25" s="121"/>
    </row>
    <row r="26" spans="2:9" x14ac:dyDescent="0.25">
      <c r="B26" s="75"/>
      <c r="C26" s="16" t="s">
        <v>1116</v>
      </c>
      <c r="D26" s="16" t="s">
        <v>486</v>
      </c>
      <c r="E26" s="16" t="s">
        <v>1117</v>
      </c>
      <c r="F26" s="16" t="s">
        <v>847</v>
      </c>
      <c r="G26" s="16" t="s">
        <v>685</v>
      </c>
      <c r="H26" s="807">
        <v>340.78</v>
      </c>
      <c r="I26" s="121" t="s">
        <v>1213</v>
      </c>
    </row>
    <row r="27" spans="2:9" x14ac:dyDescent="0.25">
      <c r="B27" s="806" t="s">
        <v>675</v>
      </c>
      <c r="C27" s="16"/>
      <c r="H27" s="808">
        <f>H26</f>
        <v>340.78</v>
      </c>
      <c r="I27" s="121"/>
    </row>
    <row r="28" spans="2:9" x14ac:dyDescent="0.25">
      <c r="B28" s="805" t="s">
        <v>676</v>
      </c>
      <c r="C28" s="16"/>
      <c r="H28" s="807"/>
      <c r="I28" s="121"/>
    </row>
    <row r="29" spans="2:9" x14ac:dyDescent="0.25">
      <c r="B29" s="75"/>
      <c r="C29" s="16" t="s">
        <v>1118</v>
      </c>
      <c r="D29" s="16" t="s">
        <v>486</v>
      </c>
      <c r="E29" s="16" t="s">
        <v>1119</v>
      </c>
      <c r="F29" s="16" t="s">
        <v>1120</v>
      </c>
      <c r="G29" s="16" t="s">
        <v>1118</v>
      </c>
      <c r="H29" s="807">
        <v>1500</v>
      </c>
      <c r="I29" s="121" t="s">
        <v>1213</v>
      </c>
    </row>
    <row r="30" spans="2:9" x14ac:dyDescent="0.25">
      <c r="B30" s="75"/>
      <c r="C30" s="16" t="s">
        <v>1118</v>
      </c>
      <c r="D30" s="16" t="s">
        <v>486</v>
      </c>
      <c r="E30" s="16" t="s">
        <v>1121</v>
      </c>
      <c r="F30" s="16" t="s">
        <v>1122</v>
      </c>
      <c r="G30" s="16" t="s">
        <v>1118</v>
      </c>
      <c r="H30" s="807">
        <v>1969.05</v>
      </c>
      <c r="I30" s="121" t="s">
        <v>1213</v>
      </c>
    </row>
    <row r="31" spans="2:9" x14ac:dyDescent="0.25">
      <c r="B31" s="75"/>
      <c r="C31" s="16" t="s">
        <v>863</v>
      </c>
      <c r="D31" s="16" t="s">
        <v>486</v>
      </c>
      <c r="E31" s="16" t="s">
        <v>864</v>
      </c>
      <c r="F31" s="16" t="s">
        <v>850</v>
      </c>
      <c r="G31" s="16" t="s">
        <v>862</v>
      </c>
      <c r="H31" s="807">
        <v>111.76</v>
      </c>
      <c r="I31" s="121" t="s">
        <v>1213</v>
      </c>
    </row>
    <row r="32" spans="2:9" x14ac:dyDescent="0.25">
      <c r="B32" s="75"/>
      <c r="C32" s="16" t="s">
        <v>1118</v>
      </c>
      <c r="D32" s="16" t="s">
        <v>486</v>
      </c>
      <c r="E32" s="16" t="s">
        <v>1123</v>
      </c>
      <c r="F32" s="16" t="s">
        <v>632</v>
      </c>
      <c r="G32" s="16" t="s">
        <v>1124</v>
      </c>
      <c r="H32" s="807">
        <v>2000</v>
      </c>
      <c r="I32" s="121" t="s">
        <v>1213</v>
      </c>
    </row>
    <row r="33" spans="2:9" x14ac:dyDescent="0.25">
      <c r="B33" s="75"/>
      <c r="C33" s="16" t="s">
        <v>1125</v>
      </c>
      <c r="D33" s="16" t="s">
        <v>1479</v>
      </c>
      <c r="E33" s="16" t="s">
        <v>1480</v>
      </c>
      <c r="F33" s="16" t="s">
        <v>1126</v>
      </c>
      <c r="G33" s="16" t="s">
        <v>1125</v>
      </c>
      <c r="H33" s="807">
        <v>-2209.96</v>
      </c>
      <c r="I33" s="121" t="s">
        <v>1211</v>
      </c>
    </row>
    <row r="34" spans="2:9" x14ac:dyDescent="0.25">
      <c r="B34" s="75"/>
      <c r="C34" s="16" t="s">
        <v>868</v>
      </c>
      <c r="D34" s="16" t="s">
        <v>486</v>
      </c>
      <c r="E34" s="16" t="s">
        <v>870</v>
      </c>
      <c r="F34" s="16" t="s">
        <v>847</v>
      </c>
      <c r="G34" s="16" t="s">
        <v>869</v>
      </c>
      <c r="H34" s="807">
        <v>3.48</v>
      </c>
      <c r="I34" s="121" t="s">
        <v>1214</v>
      </c>
    </row>
    <row r="35" spans="2:9" x14ac:dyDescent="0.25">
      <c r="B35" s="75"/>
      <c r="C35" s="16" t="s">
        <v>1118</v>
      </c>
      <c r="D35" s="16" t="s">
        <v>486</v>
      </c>
      <c r="E35" s="16" t="s">
        <v>1127</v>
      </c>
      <c r="F35" s="16" t="s">
        <v>856</v>
      </c>
      <c r="G35" s="16" t="s">
        <v>875</v>
      </c>
      <c r="H35" s="807">
        <v>511.75</v>
      </c>
      <c r="I35" s="121" t="s">
        <v>1213</v>
      </c>
    </row>
    <row r="36" spans="2:9" x14ac:dyDescent="0.25">
      <c r="B36" s="75"/>
      <c r="C36" s="16" t="s">
        <v>1128</v>
      </c>
      <c r="D36" s="16" t="s">
        <v>851</v>
      </c>
      <c r="E36" s="16" t="s">
        <v>1478</v>
      </c>
      <c r="F36" s="16" t="s">
        <v>852</v>
      </c>
      <c r="G36" s="16" t="s">
        <v>1128</v>
      </c>
      <c r="H36" s="807">
        <v>-6243.34</v>
      </c>
      <c r="I36" s="121" t="s">
        <v>1212</v>
      </c>
    </row>
    <row r="37" spans="2:9" x14ac:dyDescent="0.25">
      <c r="B37" s="75"/>
      <c r="C37" s="16" t="s">
        <v>876</v>
      </c>
      <c r="D37" s="16" t="s">
        <v>486</v>
      </c>
      <c r="E37" s="16" t="s">
        <v>1129</v>
      </c>
      <c r="F37" s="16" t="s">
        <v>1130</v>
      </c>
      <c r="G37" s="16" t="s">
        <v>876</v>
      </c>
      <c r="H37" s="807">
        <v>225</v>
      </c>
      <c r="I37" s="121" t="s">
        <v>1213</v>
      </c>
    </row>
    <row r="38" spans="2:9" x14ac:dyDescent="0.25">
      <c r="B38" s="75"/>
      <c r="C38" s="16" t="s">
        <v>696</v>
      </c>
      <c r="D38" s="16" t="s">
        <v>486</v>
      </c>
      <c r="E38" s="16" t="s">
        <v>1131</v>
      </c>
      <c r="F38" s="16" t="s">
        <v>880</v>
      </c>
      <c r="G38" s="16" t="s">
        <v>697</v>
      </c>
      <c r="H38" s="807">
        <v>1927.93</v>
      </c>
      <c r="I38" s="121"/>
    </row>
    <row r="39" spans="2:9" x14ac:dyDescent="0.25">
      <c r="B39" s="75"/>
      <c r="C39" s="16" t="s">
        <v>696</v>
      </c>
      <c r="D39" s="16" t="s">
        <v>486</v>
      </c>
      <c r="E39" s="16" t="s">
        <v>881</v>
      </c>
      <c r="F39" s="16" t="s">
        <v>853</v>
      </c>
      <c r="G39" s="16" t="s">
        <v>697</v>
      </c>
      <c r="H39" s="807">
        <v>122.75</v>
      </c>
      <c r="I39" s="121" t="s">
        <v>1213</v>
      </c>
    </row>
    <row r="40" spans="2:9" x14ac:dyDescent="0.25">
      <c r="B40" s="75"/>
      <c r="C40" s="16" t="s">
        <v>696</v>
      </c>
      <c r="D40" s="16" t="s">
        <v>486</v>
      </c>
      <c r="E40" s="16" t="s">
        <v>882</v>
      </c>
      <c r="F40" s="16" t="s">
        <v>849</v>
      </c>
      <c r="G40" s="16" t="s">
        <v>697</v>
      </c>
      <c r="H40" s="807">
        <v>22.68</v>
      </c>
      <c r="I40" s="121" t="s">
        <v>1213</v>
      </c>
    </row>
    <row r="41" spans="2:9" x14ac:dyDescent="0.25">
      <c r="B41" s="75"/>
      <c r="C41" s="16" t="s">
        <v>696</v>
      </c>
      <c r="D41" s="16" t="s">
        <v>486</v>
      </c>
      <c r="E41" s="16" t="s">
        <v>883</v>
      </c>
      <c r="F41" s="16" t="s">
        <v>849</v>
      </c>
      <c r="G41" s="16" t="s">
        <v>697</v>
      </c>
      <c r="H41" s="807">
        <v>4532.6000000000004</v>
      </c>
      <c r="I41" s="121" t="s">
        <v>1213</v>
      </c>
    </row>
    <row r="42" spans="2:9" x14ac:dyDescent="0.25">
      <c r="B42" s="75"/>
      <c r="C42" s="16" t="s">
        <v>855</v>
      </c>
      <c r="D42" s="16" t="s">
        <v>486</v>
      </c>
      <c r="E42" s="16" t="s">
        <v>884</v>
      </c>
      <c r="F42" s="16" t="s">
        <v>857</v>
      </c>
      <c r="G42" s="16" t="s">
        <v>885</v>
      </c>
      <c r="H42" s="807">
        <v>425</v>
      </c>
      <c r="I42" s="121"/>
    </row>
    <row r="43" spans="2:9" x14ac:dyDescent="0.25">
      <c r="B43" s="75"/>
      <c r="C43" s="16" t="s">
        <v>855</v>
      </c>
      <c r="D43" s="16" t="s">
        <v>486</v>
      </c>
      <c r="E43" s="16" t="s">
        <v>886</v>
      </c>
      <c r="F43" s="16" t="s">
        <v>857</v>
      </c>
      <c r="G43" s="16" t="s">
        <v>885</v>
      </c>
      <c r="H43" s="807">
        <v>1340.28</v>
      </c>
      <c r="I43" s="121"/>
    </row>
    <row r="44" spans="2:9" x14ac:dyDescent="0.25">
      <c r="B44" s="806" t="s">
        <v>689</v>
      </c>
      <c r="C44" s="16"/>
      <c r="H44" s="808">
        <f>H29+H30+H31+H32+H33+H34+H35+H36+H37+H38+H39+H40+H41+H42+H43</f>
        <v>6238.9800000000005</v>
      </c>
      <c r="I44" s="121"/>
    </row>
    <row r="45" spans="2:9" x14ac:dyDescent="0.25">
      <c r="B45" s="805" t="s">
        <v>311</v>
      </c>
      <c r="C45" s="16"/>
      <c r="H45" s="807"/>
      <c r="I45" s="121"/>
    </row>
    <row r="46" spans="2:9" x14ac:dyDescent="0.25">
      <c r="B46" s="75"/>
      <c r="C46" s="16" t="s">
        <v>1118</v>
      </c>
      <c r="D46" s="16" t="s">
        <v>486</v>
      </c>
      <c r="E46" s="16" t="s">
        <v>1132</v>
      </c>
      <c r="F46" s="16" t="s">
        <v>859</v>
      </c>
      <c r="G46" s="16" t="s">
        <v>887</v>
      </c>
      <c r="H46" s="807">
        <v>2400</v>
      </c>
      <c r="I46" s="121" t="s">
        <v>1213</v>
      </c>
    </row>
    <row r="47" spans="2:9" x14ac:dyDescent="0.25">
      <c r="B47" s="75"/>
      <c r="C47" s="16" t="s">
        <v>1118</v>
      </c>
      <c r="D47" s="16" t="s">
        <v>486</v>
      </c>
      <c r="E47" s="16" t="s">
        <v>1133</v>
      </c>
      <c r="F47" s="16" t="s">
        <v>828</v>
      </c>
      <c r="G47" s="16" t="s">
        <v>887</v>
      </c>
      <c r="H47" s="807">
        <v>2234.54</v>
      </c>
      <c r="I47" s="121" t="s">
        <v>830</v>
      </c>
    </row>
    <row r="48" spans="2:9" x14ac:dyDescent="0.25">
      <c r="B48" s="75"/>
      <c r="C48" s="16" t="s">
        <v>887</v>
      </c>
      <c r="D48" s="16" t="s">
        <v>486</v>
      </c>
      <c r="E48" s="16" t="s">
        <v>1134</v>
      </c>
      <c r="F48" s="16" t="s">
        <v>874</v>
      </c>
      <c r="G48" s="16" t="s">
        <v>887</v>
      </c>
      <c r="H48" s="807">
        <v>360</v>
      </c>
      <c r="I48" s="121" t="s">
        <v>1213</v>
      </c>
    </row>
    <row r="49" spans="2:9" x14ac:dyDescent="0.25">
      <c r="B49" s="75"/>
      <c r="C49" s="16" t="s">
        <v>887</v>
      </c>
      <c r="D49" s="16" t="s">
        <v>486</v>
      </c>
      <c r="E49" s="16" t="s">
        <v>1135</v>
      </c>
      <c r="F49" s="16" t="s">
        <v>1136</v>
      </c>
      <c r="G49" s="16" t="s">
        <v>887</v>
      </c>
      <c r="H49" s="807">
        <v>553.51</v>
      </c>
      <c r="I49" s="121"/>
    </row>
    <row r="50" spans="2:9" x14ac:dyDescent="0.25">
      <c r="B50" s="75"/>
      <c r="C50" s="16" t="s">
        <v>887</v>
      </c>
      <c r="D50" s="16" t="s">
        <v>486</v>
      </c>
      <c r="E50" s="16" t="s">
        <v>1137</v>
      </c>
      <c r="F50" s="16" t="s">
        <v>1138</v>
      </c>
      <c r="G50" s="16" t="s">
        <v>887</v>
      </c>
      <c r="H50" s="807">
        <v>500</v>
      </c>
      <c r="I50" s="121" t="s">
        <v>1213</v>
      </c>
    </row>
    <row r="51" spans="2:9" x14ac:dyDescent="0.25">
      <c r="B51" s="75"/>
      <c r="C51" s="16" t="s">
        <v>860</v>
      </c>
      <c r="D51" s="16" t="s">
        <v>486</v>
      </c>
      <c r="E51" s="16" t="s">
        <v>1139</v>
      </c>
      <c r="F51" s="16" t="s">
        <v>849</v>
      </c>
      <c r="G51" s="16" t="s">
        <v>1140</v>
      </c>
      <c r="H51" s="807">
        <v>22.68</v>
      </c>
      <c r="I51" s="121" t="s">
        <v>1213</v>
      </c>
    </row>
    <row r="52" spans="2:9" x14ac:dyDescent="0.25">
      <c r="B52" s="75"/>
      <c r="C52" s="16" t="s">
        <v>690</v>
      </c>
      <c r="D52" s="16" t="s">
        <v>486</v>
      </c>
      <c r="E52" s="16" t="s">
        <v>1141</v>
      </c>
      <c r="F52" s="16" t="s">
        <v>848</v>
      </c>
      <c r="G52" s="16" t="s">
        <v>1142</v>
      </c>
      <c r="H52" s="807">
        <v>434.62</v>
      </c>
      <c r="I52" s="121" t="s">
        <v>1213</v>
      </c>
    </row>
    <row r="53" spans="2:9" x14ac:dyDescent="0.25">
      <c r="B53" s="75"/>
      <c r="C53" s="16" t="s">
        <v>690</v>
      </c>
      <c r="D53" s="16" t="s">
        <v>486</v>
      </c>
      <c r="E53" s="16" t="s">
        <v>1143</v>
      </c>
      <c r="F53" s="16" t="s">
        <v>880</v>
      </c>
      <c r="G53" s="16" t="s">
        <v>1142</v>
      </c>
      <c r="H53" s="807">
        <v>2345.25</v>
      </c>
      <c r="I53" s="121"/>
    </row>
    <row r="54" spans="2:9" x14ac:dyDescent="0.25">
      <c r="B54" s="75"/>
      <c r="C54" s="16" t="s">
        <v>690</v>
      </c>
      <c r="D54" s="16" t="s">
        <v>486</v>
      </c>
      <c r="E54" s="16" t="s">
        <v>1144</v>
      </c>
      <c r="F54" s="16" t="s">
        <v>849</v>
      </c>
      <c r="G54" s="16" t="s">
        <v>1142</v>
      </c>
      <c r="H54" s="807">
        <v>34.47</v>
      </c>
      <c r="I54" s="121" t="s">
        <v>1213</v>
      </c>
    </row>
    <row r="55" spans="2:9" x14ac:dyDescent="0.25">
      <c r="B55" s="75"/>
      <c r="C55" s="16" t="s">
        <v>873</v>
      </c>
      <c r="D55" s="16" t="s">
        <v>486</v>
      </c>
      <c r="E55" s="16" t="s">
        <v>1145</v>
      </c>
      <c r="F55" s="16" t="s">
        <v>850</v>
      </c>
      <c r="G55" s="16" t="s">
        <v>1142</v>
      </c>
      <c r="H55" s="807">
        <v>177.28</v>
      </c>
      <c r="I55" s="121" t="s">
        <v>1213</v>
      </c>
    </row>
    <row r="56" spans="2:9" x14ac:dyDescent="0.25">
      <c r="B56" s="75"/>
      <c r="C56" s="16" t="s">
        <v>887</v>
      </c>
      <c r="D56" s="16" t="s">
        <v>486</v>
      </c>
      <c r="E56" s="16" t="s">
        <v>1146</v>
      </c>
      <c r="F56" s="16" t="s">
        <v>847</v>
      </c>
      <c r="G56" s="16" t="s">
        <v>1147</v>
      </c>
      <c r="H56" s="807">
        <v>17.04</v>
      </c>
      <c r="I56" s="121" t="s">
        <v>1213</v>
      </c>
    </row>
    <row r="57" spans="2:9" x14ac:dyDescent="0.25">
      <c r="B57" s="75"/>
      <c r="C57" s="16" t="s">
        <v>1124</v>
      </c>
      <c r="D57" s="16" t="s">
        <v>486</v>
      </c>
      <c r="E57" s="16" t="s">
        <v>1148</v>
      </c>
      <c r="F57" s="16" t="s">
        <v>853</v>
      </c>
      <c r="G57" s="16" t="s">
        <v>1149</v>
      </c>
      <c r="H57" s="807">
        <v>67.260000000000005</v>
      </c>
      <c r="I57" s="121"/>
    </row>
    <row r="58" spans="2:9" x14ac:dyDescent="0.25">
      <c r="B58" s="75"/>
      <c r="C58" s="16" t="s">
        <v>1099</v>
      </c>
      <c r="D58" s="16" t="s">
        <v>486</v>
      </c>
      <c r="E58" s="16" t="s">
        <v>1150</v>
      </c>
      <c r="F58" s="16" t="s">
        <v>848</v>
      </c>
      <c r="G58" s="16" t="s">
        <v>1151</v>
      </c>
      <c r="H58" s="807">
        <v>377.5</v>
      </c>
      <c r="I58" s="121"/>
    </row>
    <row r="59" spans="2:9" x14ac:dyDescent="0.25">
      <c r="B59" s="75"/>
      <c r="C59" s="16" t="s">
        <v>1152</v>
      </c>
      <c r="D59" s="16" t="s">
        <v>486</v>
      </c>
      <c r="E59" s="16" t="s">
        <v>1153</v>
      </c>
      <c r="F59" s="16" t="s">
        <v>853</v>
      </c>
      <c r="G59" s="16" t="s">
        <v>1154</v>
      </c>
      <c r="H59" s="807">
        <v>70.069999999999993</v>
      </c>
      <c r="I59" s="121"/>
    </row>
    <row r="60" spans="2:9" x14ac:dyDescent="0.25">
      <c r="B60" s="75"/>
      <c r="C60" s="16" t="s">
        <v>1152</v>
      </c>
      <c r="D60" s="16" t="s">
        <v>486</v>
      </c>
      <c r="E60" s="16" t="s">
        <v>1155</v>
      </c>
      <c r="F60" s="16" t="s">
        <v>853</v>
      </c>
      <c r="G60" s="16" t="s">
        <v>1154</v>
      </c>
      <c r="H60" s="807">
        <v>47.85</v>
      </c>
      <c r="I60" s="121"/>
    </row>
    <row r="61" spans="2:9" x14ac:dyDescent="0.25">
      <c r="B61" s="75"/>
      <c r="C61" s="16" t="s">
        <v>691</v>
      </c>
      <c r="D61" s="16" t="s">
        <v>486</v>
      </c>
      <c r="E61" s="16" t="s">
        <v>1156</v>
      </c>
      <c r="F61" s="16" t="s">
        <v>849</v>
      </c>
      <c r="G61" s="16" t="s">
        <v>1157</v>
      </c>
      <c r="H61" s="807">
        <v>42.94</v>
      </c>
      <c r="I61" s="121" t="s">
        <v>1213</v>
      </c>
    </row>
    <row r="62" spans="2:9" x14ac:dyDescent="0.25">
      <c r="B62" s="75"/>
      <c r="C62" s="16" t="s">
        <v>879</v>
      </c>
      <c r="D62" s="16" t="s">
        <v>486</v>
      </c>
      <c r="E62" s="16" t="s">
        <v>1158</v>
      </c>
      <c r="F62" s="16" t="s">
        <v>850</v>
      </c>
      <c r="G62" s="16" t="s">
        <v>1157</v>
      </c>
      <c r="H62" s="807">
        <v>236.8</v>
      </c>
      <c r="I62" s="121" t="s">
        <v>1213</v>
      </c>
    </row>
    <row r="63" spans="2:9" x14ac:dyDescent="0.25">
      <c r="B63" s="75"/>
      <c r="C63" s="16" t="s">
        <v>865</v>
      </c>
      <c r="D63" s="16" t="s">
        <v>486</v>
      </c>
      <c r="E63" s="16" t="s">
        <v>1159</v>
      </c>
      <c r="F63" s="16" t="s">
        <v>848</v>
      </c>
      <c r="G63" s="16" t="s">
        <v>1160</v>
      </c>
      <c r="H63" s="807">
        <v>796.23</v>
      </c>
      <c r="I63" s="121"/>
    </row>
    <row r="64" spans="2:9" x14ac:dyDescent="0.25">
      <c r="B64" s="75"/>
      <c r="C64" s="16" t="s">
        <v>865</v>
      </c>
      <c r="D64" s="16" t="s">
        <v>486</v>
      </c>
      <c r="E64" s="16" t="s">
        <v>1161</v>
      </c>
      <c r="F64" s="16" t="s">
        <v>853</v>
      </c>
      <c r="G64" s="16" t="s">
        <v>1160</v>
      </c>
      <c r="H64" s="807">
        <v>283.31</v>
      </c>
      <c r="I64" s="121"/>
    </row>
    <row r="65" spans="2:9" x14ac:dyDescent="0.25">
      <c r="B65" s="75"/>
      <c r="C65" s="16" t="s">
        <v>867</v>
      </c>
      <c r="D65" s="16" t="s">
        <v>486</v>
      </c>
      <c r="E65" s="16" t="s">
        <v>1162</v>
      </c>
      <c r="F65" s="16" t="s">
        <v>849</v>
      </c>
      <c r="G65" s="16" t="s">
        <v>1163</v>
      </c>
      <c r="H65" s="807">
        <v>3091.18</v>
      </c>
      <c r="I65" s="121"/>
    </row>
    <row r="66" spans="2:9" x14ac:dyDescent="0.25">
      <c r="B66" s="75"/>
      <c r="C66" s="16" t="s">
        <v>1125</v>
      </c>
      <c r="D66" s="16" t="s">
        <v>486</v>
      </c>
      <c r="E66" s="16" t="s">
        <v>1164</v>
      </c>
      <c r="F66" s="16" t="s">
        <v>853</v>
      </c>
      <c r="G66" s="16" t="s">
        <v>1165</v>
      </c>
      <c r="H66" s="807">
        <v>70.760000000000005</v>
      </c>
      <c r="I66" s="121"/>
    </row>
    <row r="67" spans="2:9" x14ac:dyDescent="0.25">
      <c r="B67" s="75"/>
      <c r="C67" s="16" t="s">
        <v>1125</v>
      </c>
      <c r="D67" s="16" t="s">
        <v>486</v>
      </c>
      <c r="E67" s="16" t="s">
        <v>1166</v>
      </c>
      <c r="F67" s="16" t="s">
        <v>853</v>
      </c>
      <c r="G67" s="16" t="s">
        <v>1165</v>
      </c>
      <c r="H67" s="807">
        <v>926.47</v>
      </c>
      <c r="I67" s="121"/>
    </row>
    <row r="68" spans="2:9" x14ac:dyDescent="0.25">
      <c r="B68" s="75"/>
      <c r="C68" s="16" t="s">
        <v>1125</v>
      </c>
      <c r="D68" s="16" t="s">
        <v>486</v>
      </c>
      <c r="E68" s="16" t="s">
        <v>1167</v>
      </c>
      <c r="F68" s="16" t="s">
        <v>848</v>
      </c>
      <c r="G68" s="16" t="s">
        <v>1165</v>
      </c>
      <c r="H68" s="807">
        <v>251.75</v>
      </c>
      <c r="I68" s="121"/>
    </row>
    <row r="69" spans="2:9" x14ac:dyDescent="0.25">
      <c r="B69" s="75"/>
      <c r="C69" s="16" t="s">
        <v>1125</v>
      </c>
      <c r="D69" s="16" t="s">
        <v>486</v>
      </c>
      <c r="E69" s="16" t="s">
        <v>1168</v>
      </c>
      <c r="F69" s="16" t="s">
        <v>848</v>
      </c>
      <c r="G69" s="16" t="s">
        <v>1165</v>
      </c>
      <c r="H69" s="807">
        <v>147</v>
      </c>
      <c r="I69" s="121"/>
    </row>
    <row r="70" spans="2:9" x14ac:dyDescent="0.25">
      <c r="B70" s="75"/>
      <c r="C70" s="16" t="s">
        <v>1125</v>
      </c>
      <c r="D70" s="16" t="s">
        <v>486</v>
      </c>
      <c r="E70" s="16" t="s">
        <v>1169</v>
      </c>
      <c r="F70" s="16" t="s">
        <v>878</v>
      </c>
      <c r="G70" s="16" t="s">
        <v>1165</v>
      </c>
      <c r="H70" s="807">
        <v>550.23</v>
      </c>
      <c r="I70" s="121"/>
    </row>
    <row r="71" spans="2:9" x14ac:dyDescent="0.25">
      <c r="B71" s="75"/>
      <c r="C71" s="16" t="s">
        <v>1125</v>
      </c>
      <c r="D71" s="16" t="s">
        <v>486</v>
      </c>
      <c r="E71" s="16" t="s">
        <v>1170</v>
      </c>
      <c r="F71" s="16" t="s">
        <v>847</v>
      </c>
      <c r="G71" s="16" t="s">
        <v>1165</v>
      </c>
      <c r="H71" s="807">
        <v>128.72</v>
      </c>
      <c r="I71" s="121"/>
    </row>
    <row r="72" spans="2:9" x14ac:dyDescent="0.25">
      <c r="B72" s="75"/>
      <c r="C72" s="16" t="s">
        <v>869</v>
      </c>
      <c r="D72" s="16" t="s">
        <v>486</v>
      </c>
      <c r="E72" s="16" t="s">
        <v>1171</v>
      </c>
      <c r="F72" s="16" t="s">
        <v>853</v>
      </c>
      <c r="G72" s="16" t="s">
        <v>1172</v>
      </c>
      <c r="H72" s="807">
        <v>151.66</v>
      </c>
      <c r="I72" s="121"/>
    </row>
    <row r="73" spans="2:9" x14ac:dyDescent="0.25">
      <c r="B73" s="75"/>
      <c r="C73" s="16" t="s">
        <v>869</v>
      </c>
      <c r="D73" s="16" t="s">
        <v>486</v>
      </c>
      <c r="E73" s="16" t="s">
        <v>1173</v>
      </c>
      <c r="F73" s="16" t="s">
        <v>880</v>
      </c>
      <c r="G73" s="16" t="s">
        <v>1172</v>
      </c>
      <c r="H73" s="807">
        <v>873.58</v>
      </c>
      <c r="I73" s="121"/>
    </row>
    <row r="74" spans="2:9" x14ac:dyDescent="0.25">
      <c r="B74" s="75"/>
      <c r="C74" s="16" t="s">
        <v>869</v>
      </c>
      <c r="D74" s="16" t="s">
        <v>486</v>
      </c>
      <c r="E74" s="16" t="s">
        <v>1174</v>
      </c>
      <c r="F74" s="16" t="s">
        <v>871</v>
      </c>
      <c r="G74" s="16" t="s">
        <v>698</v>
      </c>
      <c r="H74" s="807">
        <v>1250</v>
      </c>
      <c r="I74" s="121"/>
    </row>
    <row r="75" spans="2:9" x14ac:dyDescent="0.25">
      <c r="B75" s="75"/>
      <c r="C75" s="16" t="s">
        <v>693</v>
      </c>
      <c r="D75" s="16" t="s">
        <v>486</v>
      </c>
      <c r="E75" s="16" t="s">
        <v>1175</v>
      </c>
      <c r="F75" s="16" t="s">
        <v>849</v>
      </c>
      <c r="G75" s="16" t="s">
        <v>698</v>
      </c>
      <c r="H75" s="807">
        <v>33.11</v>
      </c>
      <c r="I75" s="121" t="s">
        <v>1213</v>
      </c>
    </row>
    <row r="76" spans="2:9" x14ac:dyDescent="0.25">
      <c r="B76" s="75"/>
      <c r="C76" s="16" t="s">
        <v>693</v>
      </c>
      <c r="D76" s="16" t="s">
        <v>486</v>
      </c>
      <c r="E76" s="16" t="s">
        <v>1176</v>
      </c>
      <c r="F76" s="16" t="s">
        <v>853</v>
      </c>
      <c r="G76" s="16" t="s">
        <v>698</v>
      </c>
      <c r="H76" s="807">
        <v>98.76</v>
      </c>
      <c r="I76" s="121"/>
    </row>
    <row r="77" spans="2:9" x14ac:dyDescent="0.25">
      <c r="B77" s="75"/>
      <c r="C77" s="16" t="s">
        <v>693</v>
      </c>
      <c r="D77" s="16" t="s">
        <v>486</v>
      </c>
      <c r="E77" s="16" t="s">
        <v>1177</v>
      </c>
      <c r="F77" s="16" t="s">
        <v>861</v>
      </c>
      <c r="G77" s="16" t="s">
        <v>698</v>
      </c>
      <c r="H77" s="807">
        <v>134.33000000000001</v>
      </c>
      <c r="I77" s="121"/>
    </row>
    <row r="78" spans="2:9" x14ac:dyDescent="0.25">
      <c r="B78" s="75"/>
      <c r="C78" s="16" t="s">
        <v>693</v>
      </c>
      <c r="D78" s="16" t="s">
        <v>486</v>
      </c>
      <c r="E78" s="16" t="s">
        <v>1178</v>
      </c>
      <c r="F78" s="16" t="s">
        <v>861</v>
      </c>
      <c r="G78" s="16" t="s">
        <v>698</v>
      </c>
      <c r="H78" s="807">
        <v>54.45</v>
      </c>
      <c r="I78" s="121"/>
    </row>
    <row r="79" spans="2:9" x14ac:dyDescent="0.25">
      <c r="B79" s="75"/>
      <c r="C79" s="16" t="s">
        <v>872</v>
      </c>
      <c r="D79" s="16" t="s">
        <v>486</v>
      </c>
      <c r="E79" s="16" t="s">
        <v>1179</v>
      </c>
      <c r="F79" s="16" t="s">
        <v>825</v>
      </c>
      <c r="G79" s="16" t="s">
        <v>1180</v>
      </c>
      <c r="H79" s="807">
        <v>4371.71</v>
      </c>
      <c r="I79" s="121"/>
    </row>
    <row r="80" spans="2:9" x14ac:dyDescent="0.25">
      <c r="B80" s="75"/>
      <c r="C80" s="16" t="s">
        <v>872</v>
      </c>
      <c r="D80" s="16" t="s">
        <v>486</v>
      </c>
      <c r="E80" s="16" t="s">
        <v>1181</v>
      </c>
      <c r="F80" s="16" t="s">
        <v>878</v>
      </c>
      <c r="G80" s="16" t="s">
        <v>1180</v>
      </c>
      <c r="H80" s="807">
        <v>282.12</v>
      </c>
      <c r="I80" s="121"/>
    </row>
    <row r="81" spans="2:9" x14ac:dyDescent="0.25">
      <c r="B81" s="75"/>
      <c r="C81" s="16" t="s">
        <v>872</v>
      </c>
      <c r="D81" s="16" t="s">
        <v>486</v>
      </c>
      <c r="E81" s="16" t="s">
        <v>1182</v>
      </c>
      <c r="F81" s="16" t="s">
        <v>854</v>
      </c>
      <c r="G81" s="16" t="s">
        <v>1180</v>
      </c>
      <c r="H81" s="807">
        <v>170.61</v>
      </c>
      <c r="I81" s="121"/>
    </row>
    <row r="82" spans="2:9" x14ac:dyDescent="0.25">
      <c r="B82" s="75"/>
      <c r="C82" s="16" t="s">
        <v>873</v>
      </c>
      <c r="D82" s="16" t="s">
        <v>486</v>
      </c>
      <c r="E82" s="16" t="s">
        <v>1183</v>
      </c>
      <c r="F82" s="16" t="s">
        <v>853</v>
      </c>
      <c r="G82" s="16" t="s">
        <v>1184</v>
      </c>
      <c r="H82" s="807">
        <v>240.25</v>
      </c>
      <c r="I82" s="121"/>
    </row>
    <row r="83" spans="2:9" x14ac:dyDescent="0.25">
      <c r="B83" s="75"/>
      <c r="C83" s="16" t="s">
        <v>873</v>
      </c>
      <c r="D83" s="16" t="s">
        <v>486</v>
      </c>
      <c r="E83" s="16" t="s">
        <v>1185</v>
      </c>
      <c r="F83" s="16" t="s">
        <v>849</v>
      </c>
      <c r="G83" s="16" t="s">
        <v>1184</v>
      </c>
      <c r="H83" s="807">
        <v>83.92</v>
      </c>
      <c r="I83" s="121" t="s">
        <v>1213</v>
      </c>
    </row>
    <row r="84" spans="2:9" x14ac:dyDescent="0.25">
      <c r="B84" s="75"/>
      <c r="C84" s="16" t="s">
        <v>1128</v>
      </c>
      <c r="D84" s="16" t="s">
        <v>486</v>
      </c>
      <c r="E84" s="16" t="s">
        <v>1186</v>
      </c>
      <c r="F84" s="16" t="s">
        <v>853</v>
      </c>
      <c r="G84" s="16" t="s">
        <v>1187</v>
      </c>
      <c r="H84" s="807">
        <v>75.98</v>
      </c>
      <c r="I84" s="121"/>
    </row>
    <row r="85" spans="2:9" x14ac:dyDescent="0.25">
      <c r="B85" s="75"/>
      <c r="C85" s="16" t="s">
        <v>1128</v>
      </c>
      <c r="D85" s="16" t="s">
        <v>486</v>
      </c>
      <c r="E85" s="16" t="s">
        <v>1188</v>
      </c>
      <c r="F85" s="16" t="s">
        <v>1189</v>
      </c>
      <c r="G85" s="16" t="s">
        <v>1187</v>
      </c>
      <c r="H85" s="807">
        <v>1575</v>
      </c>
      <c r="I85" s="121"/>
    </row>
    <row r="86" spans="2:9" x14ac:dyDescent="0.25">
      <c r="B86" s="75"/>
      <c r="C86" s="16" t="s">
        <v>1100</v>
      </c>
      <c r="D86" s="16" t="s">
        <v>486</v>
      </c>
      <c r="E86" s="16" t="s">
        <v>1190</v>
      </c>
      <c r="F86" s="16" t="s">
        <v>848</v>
      </c>
      <c r="G86" s="16" t="s">
        <v>1191</v>
      </c>
      <c r="H86" s="807">
        <v>513.05999999999995</v>
      </c>
      <c r="I86" s="121"/>
    </row>
    <row r="87" spans="2:9" x14ac:dyDescent="0.25">
      <c r="B87" s="75"/>
      <c r="C87" s="16" t="s">
        <v>1100</v>
      </c>
      <c r="D87" s="16" t="s">
        <v>486</v>
      </c>
      <c r="E87" s="16" t="s">
        <v>1192</v>
      </c>
      <c r="F87" s="16" t="s">
        <v>854</v>
      </c>
      <c r="G87" s="16" t="s">
        <v>1191</v>
      </c>
      <c r="H87" s="807">
        <v>297.02</v>
      </c>
      <c r="I87" s="121"/>
    </row>
    <row r="88" spans="2:9" x14ac:dyDescent="0.25">
      <c r="B88" s="75"/>
      <c r="C88" s="16" t="s">
        <v>1100</v>
      </c>
      <c r="D88" s="16" t="s">
        <v>486</v>
      </c>
      <c r="E88" s="16" t="s">
        <v>1193</v>
      </c>
      <c r="F88" s="16" t="s">
        <v>854</v>
      </c>
      <c r="G88" s="16" t="s">
        <v>1191</v>
      </c>
      <c r="H88" s="807">
        <v>693</v>
      </c>
      <c r="I88" s="121"/>
    </row>
    <row r="89" spans="2:9" x14ac:dyDescent="0.25">
      <c r="B89" s="75"/>
      <c r="C89" s="16" t="s">
        <v>1100</v>
      </c>
      <c r="D89" s="16" t="s">
        <v>486</v>
      </c>
      <c r="E89" s="16" t="s">
        <v>1194</v>
      </c>
      <c r="F89" s="16" t="s">
        <v>853</v>
      </c>
      <c r="G89" s="16" t="s">
        <v>1191</v>
      </c>
      <c r="H89" s="807">
        <v>233.57</v>
      </c>
      <c r="I89" s="121"/>
    </row>
    <row r="90" spans="2:9" x14ac:dyDescent="0.25">
      <c r="B90" s="75"/>
      <c r="C90" s="16" t="s">
        <v>876</v>
      </c>
      <c r="D90" s="16" t="s">
        <v>486</v>
      </c>
      <c r="E90" s="16" t="s">
        <v>1195</v>
      </c>
      <c r="F90" s="16" t="s">
        <v>848</v>
      </c>
      <c r="G90" s="16" t="s">
        <v>1196</v>
      </c>
      <c r="H90" s="807">
        <v>1371.02</v>
      </c>
      <c r="I90" s="121"/>
    </row>
    <row r="91" spans="2:9" x14ac:dyDescent="0.25">
      <c r="B91" s="75"/>
      <c r="C91" s="16" t="s">
        <v>885</v>
      </c>
      <c r="D91" s="16" t="s">
        <v>486</v>
      </c>
      <c r="E91" s="16" t="s">
        <v>1197</v>
      </c>
      <c r="F91" s="16" t="s">
        <v>1198</v>
      </c>
      <c r="G91" s="16" t="s">
        <v>1196</v>
      </c>
      <c r="H91" s="807">
        <v>1580</v>
      </c>
      <c r="I91" s="121"/>
    </row>
    <row r="92" spans="2:9" x14ac:dyDescent="0.25">
      <c r="B92" s="75"/>
      <c r="C92" s="16" t="s">
        <v>885</v>
      </c>
      <c r="D92" s="16" t="s">
        <v>486</v>
      </c>
      <c r="E92" s="16" t="s">
        <v>1199</v>
      </c>
      <c r="F92" s="16" t="s">
        <v>1198</v>
      </c>
      <c r="G92" s="16" t="s">
        <v>1196</v>
      </c>
      <c r="H92" s="807">
        <v>7145</v>
      </c>
      <c r="I92" s="121"/>
    </row>
    <row r="93" spans="2:9" x14ac:dyDescent="0.25">
      <c r="B93" s="75"/>
      <c r="C93" s="16" t="s">
        <v>1200</v>
      </c>
      <c r="D93" s="16" t="s">
        <v>486</v>
      </c>
      <c r="E93" s="16" t="s">
        <v>1201</v>
      </c>
      <c r="F93" s="16" t="s">
        <v>853</v>
      </c>
      <c r="G93" s="16" t="s">
        <v>1202</v>
      </c>
      <c r="H93" s="807">
        <v>165.4</v>
      </c>
      <c r="I93" s="121"/>
    </row>
    <row r="94" spans="2:9" x14ac:dyDescent="0.25">
      <c r="B94" s="75"/>
      <c r="C94" s="16" t="s">
        <v>1200</v>
      </c>
      <c r="D94" s="16" t="s">
        <v>486</v>
      </c>
      <c r="E94" s="16" t="s">
        <v>1203</v>
      </c>
      <c r="F94" s="16" t="s">
        <v>880</v>
      </c>
      <c r="G94" s="16" t="s">
        <v>1202</v>
      </c>
      <c r="H94" s="807">
        <v>64.900000000000006</v>
      </c>
      <c r="I94" s="121"/>
    </row>
    <row r="95" spans="2:9" x14ac:dyDescent="0.25">
      <c r="B95" s="75"/>
      <c r="C95" s="16" t="s">
        <v>885</v>
      </c>
      <c r="D95" s="16" t="s">
        <v>486</v>
      </c>
      <c r="E95" s="16" t="s">
        <v>1204</v>
      </c>
      <c r="F95" s="16" t="s">
        <v>861</v>
      </c>
      <c r="G95" s="16" t="s">
        <v>1205</v>
      </c>
      <c r="H95" s="807">
        <v>341.41</v>
      </c>
      <c r="I95" s="121"/>
    </row>
    <row r="96" spans="2:9" x14ac:dyDescent="0.25">
      <c r="B96" s="75"/>
      <c r="C96" s="16" t="s">
        <v>885</v>
      </c>
      <c r="D96" s="16" t="s">
        <v>486</v>
      </c>
      <c r="E96" s="16" t="s">
        <v>1206</v>
      </c>
      <c r="F96" s="16" t="s">
        <v>854</v>
      </c>
      <c r="G96" s="16" t="s">
        <v>1205</v>
      </c>
      <c r="H96" s="807">
        <v>754.87</v>
      </c>
      <c r="I96" s="121"/>
    </row>
    <row r="97" spans="2:9" x14ac:dyDescent="0.25">
      <c r="B97" s="75"/>
      <c r="C97" s="16" t="s">
        <v>885</v>
      </c>
      <c r="D97" s="16" t="s">
        <v>486</v>
      </c>
      <c r="E97" s="16" t="s">
        <v>1207</v>
      </c>
      <c r="F97" s="16" t="s">
        <v>854</v>
      </c>
      <c r="G97" s="16" t="s">
        <v>1205</v>
      </c>
      <c r="H97" s="807">
        <v>250.01</v>
      </c>
      <c r="I97" s="121"/>
    </row>
    <row r="98" spans="2:9" x14ac:dyDescent="0.25">
      <c r="B98" s="75"/>
      <c r="C98" s="16" t="s">
        <v>1125</v>
      </c>
      <c r="D98" s="16" t="s">
        <v>486</v>
      </c>
      <c r="E98" s="16" t="s">
        <v>1208</v>
      </c>
      <c r="F98" s="16" t="s">
        <v>653</v>
      </c>
      <c r="G98" s="16" t="s">
        <v>1209</v>
      </c>
      <c r="H98" s="807">
        <v>8173.25</v>
      </c>
      <c r="I98" s="121"/>
    </row>
    <row r="99" spans="2:9" x14ac:dyDescent="0.25">
      <c r="B99" s="75"/>
      <c r="C99" s="16" t="s">
        <v>887</v>
      </c>
      <c r="D99" s="16" t="s">
        <v>486</v>
      </c>
      <c r="E99" s="16" t="s">
        <v>1210</v>
      </c>
      <c r="F99" s="16" t="s">
        <v>854</v>
      </c>
      <c r="G99" s="16" t="s">
        <v>1209</v>
      </c>
      <c r="H99" s="807">
        <v>100.6</v>
      </c>
      <c r="I99" s="121"/>
    </row>
    <row r="100" spans="2:9" x14ac:dyDescent="0.25">
      <c r="B100" s="806" t="s">
        <v>699</v>
      </c>
      <c r="C100" s="16"/>
      <c r="H100" s="808">
        <f>H46+H47+H48+H49+H50+H51+H52+H53+H54+H55+H56+H57+H58+H59+H60+H61+H62+H63+H64+H65+H66+H67+H68+H69+H70+H71+H72+H73+H74+H75+H76+H77+H78+H79+H80+H81+H82+H83+H84+H85+H86+H87+H88+H89+H90+H91+H92+H93+H94+H95+H96+H97+H98+H99</f>
        <v>47246.05000000001</v>
      </c>
      <c r="I100" s="121"/>
    </row>
    <row r="101" spans="2:9" ht="15.75" thickBot="1" x14ac:dyDescent="0.3">
      <c r="B101" s="674"/>
      <c r="C101" s="48"/>
      <c r="D101" s="48"/>
      <c r="E101" s="48"/>
      <c r="F101" s="48"/>
      <c r="G101" s="48"/>
      <c r="H101" s="809"/>
      <c r="I101" s="121"/>
    </row>
    <row r="102" spans="2:9" ht="15.75" thickBot="1" x14ac:dyDescent="0.3">
      <c r="B102" s="392"/>
      <c r="C102" s="393" t="s">
        <v>700</v>
      </c>
      <c r="D102" s="394"/>
      <c r="E102" s="394"/>
      <c r="F102" s="394"/>
      <c r="G102" s="394"/>
      <c r="H102" s="810">
        <f>+H100+H44+H27+H20+H24</f>
        <v>117975</v>
      </c>
      <c r="I102" s="395"/>
    </row>
  </sheetData>
  <autoFilter ref="B10:I102" xr:uid="{89661815-18D6-4BEE-9532-A4A20BA5507A}"/>
  <conditionalFormatting sqref="E1:E1048576">
    <cfRule type="duplicateValues" dxfId="10" priority="1"/>
  </conditionalFormatting>
  <conditionalFormatting sqref="E11:E101">
    <cfRule type="duplicateValues" dxfId="9" priority="18"/>
  </conditionalFormatting>
  <conditionalFormatting sqref="E102:E1048576 E1:E10">
    <cfRule type="duplicateValues" dxfId="8" priority="3"/>
  </conditionalFormatting>
  <hyperlinks>
    <hyperlink ref="E2" location="Index!A1" display="Home" xr:uid="{06568A4B-5785-4CBE-8E3E-DC50F6E3CE78}"/>
    <hyperlink ref="E4" location="P_L" display="Profit &amp; Loss" xr:uid="{0C929438-5189-4486-8E3C-4526676F0751}"/>
    <hyperlink ref="E3" location="B_S" display="Balance Sheet" xr:uid="{BA088BCB-839A-4752-8F56-0DAABAEA66F6}"/>
    <hyperlink ref="E5" location="PL_YTD" display="PL-Division (YTD)" xr:uid="{3BB36317-673B-4CA4-B8B1-BCA60A68F4BB}"/>
    <hyperlink ref="E6" location="PL_DM" display="PL-Division (Month)" xr:uid="{1FA4294C-6773-47B8-9146-D08CF73FB51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91EA-85E7-40FB-BEA6-E607EFCF6137}">
  <sheetPr codeName="Sheet18"/>
  <dimension ref="B2:I36"/>
  <sheetViews>
    <sheetView showGridLines="0" workbookViewId="0">
      <pane ySplit="8" topLeftCell="A9" activePane="bottomLeft" state="frozen"/>
      <selection pane="bottomLeft" activeCell="A9" sqref="A9"/>
    </sheetView>
  </sheetViews>
  <sheetFormatPr defaultColWidth="9.140625" defaultRowHeight="15" x14ac:dyDescent="0.25"/>
  <cols>
    <col min="1" max="1" width="2.7109375" style="16" customWidth="1"/>
    <col min="2" max="2" width="27" style="16" bestFit="1" customWidth="1"/>
    <col min="3" max="3" width="22" style="16" bestFit="1" customWidth="1"/>
    <col min="4" max="4" width="62.5703125" style="16" bestFit="1" customWidth="1"/>
    <col min="5" max="5" width="12.28515625" style="16" bestFit="1" customWidth="1"/>
    <col min="6" max="6" width="61.7109375" style="16" customWidth="1"/>
    <col min="7" max="7" width="3.7109375" style="659" customWidth="1"/>
    <col min="8" max="8" width="18.7109375" style="659" customWidth="1"/>
    <col min="9" max="9" width="15.7109375" style="659" customWidth="1"/>
    <col min="10" max="10" width="10.5703125" style="16" customWidth="1"/>
    <col min="11" max="11" width="10.7109375" style="16" customWidth="1"/>
    <col min="12" max="12" width="12.140625" style="16" customWidth="1"/>
    <col min="13" max="16384" width="9.140625" style="16"/>
  </cols>
  <sheetData>
    <row r="2" spans="2:9" ht="15.75" x14ac:dyDescent="0.25">
      <c r="B2" s="18" t="str">
        <f>BS!B2</f>
        <v>Pacific Nexus</v>
      </c>
      <c r="C2" s="18"/>
      <c r="F2" s="151" t="s">
        <v>45</v>
      </c>
    </row>
    <row r="3" spans="2:9" ht="15.75" x14ac:dyDescent="0.25">
      <c r="B3" s="18" t="str">
        <f>BS!B3</f>
        <v>Period Ending 03/31/2026</v>
      </c>
      <c r="C3" s="18"/>
      <c r="F3" s="238" t="s">
        <v>47</v>
      </c>
    </row>
    <row r="4" spans="2:9" ht="15.75" x14ac:dyDescent="0.25">
      <c r="B4" s="56"/>
      <c r="C4" s="56"/>
      <c r="F4" s="238" t="s">
        <v>46</v>
      </c>
    </row>
    <row r="5" spans="2:9" ht="15.75" x14ac:dyDescent="0.25">
      <c r="B5" s="125" t="str">
        <f>BS!B54</f>
        <v>2205 Accrued Expenses</v>
      </c>
      <c r="C5" s="18"/>
      <c r="F5" s="238" t="s">
        <v>34</v>
      </c>
      <c r="G5" s="658"/>
    </row>
    <row r="6" spans="2:9" x14ac:dyDescent="0.25">
      <c r="F6" s="238" t="s">
        <v>36</v>
      </c>
    </row>
    <row r="8" spans="2:9" x14ac:dyDescent="0.25">
      <c r="B8" s="22" t="s">
        <v>638</v>
      </c>
      <c r="C8" s="22"/>
      <c r="D8" s="23">
        <f>BS!C54</f>
        <v>129735.02</v>
      </c>
    </row>
    <row r="9" spans="2:9" x14ac:dyDescent="0.25">
      <c r="B9" s="21"/>
      <c r="C9" s="21"/>
      <c r="D9" s="26"/>
    </row>
    <row r="10" spans="2:9" ht="15.75" thickBot="1" x14ac:dyDescent="0.3">
      <c r="B10" s="21" t="s">
        <v>888</v>
      </c>
      <c r="C10" s="21"/>
      <c r="D10" s="26"/>
    </row>
    <row r="11" spans="2:9" ht="15.75" thickBot="1" x14ac:dyDescent="0.3">
      <c r="H11" s="899" t="s">
        <v>1266</v>
      </c>
      <c r="I11" s="900"/>
    </row>
    <row r="12" spans="2:9" x14ac:dyDescent="0.25">
      <c r="B12" s="156" t="s">
        <v>639</v>
      </c>
      <c r="C12" s="156" t="s">
        <v>889</v>
      </c>
      <c r="D12" s="156" t="s">
        <v>475</v>
      </c>
      <c r="E12" s="156" t="s">
        <v>48</v>
      </c>
      <c r="F12" s="156" t="s">
        <v>658</v>
      </c>
      <c r="G12" s="660"/>
      <c r="H12" s="818" t="s">
        <v>294</v>
      </c>
      <c r="I12" s="819" t="s">
        <v>1264</v>
      </c>
    </row>
    <row r="13" spans="2:9" x14ac:dyDescent="0.25">
      <c r="B13" s="66"/>
      <c r="C13" s="68"/>
      <c r="D13" s="47"/>
      <c r="E13" s="49"/>
      <c r="F13" s="47"/>
      <c r="H13" s="820">
        <v>45961</v>
      </c>
      <c r="I13" s="821">
        <f>18001.69+1800.15</f>
        <v>19801.84</v>
      </c>
    </row>
    <row r="14" spans="2:9" ht="30" x14ac:dyDescent="0.25">
      <c r="B14" s="66" t="s">
        <v>887</v>
      </c>
      <c r="C14" s="68" t="s">
        <v>890</v>
      </c>
      <c r="D14" s="47" t="s">
        <v>1086</v>
      </c>
      <c r="E14" s="49">
        <v>48844.27</v>
      </c>
      <c r="F14" s="102" t="s">
        <v>1084</v>
      </c>
      <c r="H14" s="820">
        <v>45991</v>
      </c>
      <c r="I14" s="821">
        <v>8001.69</v>
      </c>
    </row>
    <row r="15" spans="2:9" x14ac:dyDescent="0.25">
      <c r="B15" s="66" t="s">
        <v>887</v>
      </c>
      <c r="C15" s="154" t="s">
        <v>892</v>
      </c>
      <c r="D15" s="47" t="s">
        <v>1085</v>
      </c>
      <c r="E15" s="155">
        <v>7303.23</v>
      </c>
      <c r="F15" s="47"/>
      <c r="H15" s="820">
        <v>46022</v>
      </c>
      <c r="I15" s="821">
        <v>8001.69</v>
      </c>
    </row>
    <row r="16" spans="2:9" x14ac:dyDescent="0.25">
      <c r="B16" s="66" t="s">
        <v>887</v>
      </c>
      <c r="C16" s="154" t="s">
        <v>894</v>
      </c>
      <c r="D16" s="47" t="s">
        <v>1087</v>
      </c>
      <c r="E16" s="155">
        <v>25160</v>
      </c>
      <c r="F16" s="47"/>
      <c r="H16" s="820" t="s">
        <v>1482</v>
      </c>
      <c r="I16" s="821">
        <v>541.25</v>
      </c>
    </row>
    <row r="17" spans="2:9" ht="30" x14ac:dyDescent="0.25">
      <c r="B17" s="66" t="s">
        <v>887</v>
      </c>
      <c r="C17" s="240" t="s">
        <v>859</v>
      </c>
      <c r="D17" s="47" t="s">
        <v>1088</v>
      </c>
      <c r="E17" s="155">
        <v>2400</v>
      </c>
      <c r="F17" s="47"/>
      <c r="H17" s="820">
        <v>46053</v>
      </c>
      <c r="I17" s="821">
        <v>8181.5</v>
      </c>
    </row>
    <row r="18" spans="2:9" ht="30.75" thickBot="1" x14ac:dyDescent="0.3">
      <c r="B18" s="66" t="s">
        <v>855</v>
      </c>
      <c r="C18" s="240" t="s">
        <v>774</v>
      </c>
      <c r="D18" s="47" t="s">
        <v>895</v>
      </c>
      <c r="E18" s="155">
        <f>13660.06+3660.06+3660.06+3660.06</f>
        <v>24640.240000000002</v>
      </c>
      <c r="F18" s="897" t="s">
        <v>1265</v>
      </c>
      <c r="H18" s="822" t="s">
        <v>274</v>
      </c>
      <c r="I18" s="823">
        <f>SUM(I13:I17)</f>
        <v>44527.97</v>
      </c>
    </row>
    <row r="19" spans="2:9" ht="30" x14ac:dyDescent="0.25">
      <c r="B19" s="66" t="s">
        <v>855</v>
      </c>
      <c r="C19" s="240" t="s">
        <v>774</v>
      </c>
      <c r="D19" s="47" t="s">
        <v>896</v>
      </c>
      <c r="E19" s="155">
        <f>4341.48+4341.48+4341.48+4521.44</f>
        <v>17545.879999999997</v>
      </c>
      <c r="F19" s="898"/>
      <c r="H19" s="661"/>
    </row>
    <row r="20" spans="2:9" ht="30" x14ac:dyDescent="0.25">
      <c r="B20" s="66" t="s">
        <v>855</v>
      </c>
      <c r="C20" s="240" t="s">
        <v>774</v>
      </c>
      <c r="D20" s="47" t="s">
        <v>898</v>
      </c>
      <c r="E20" s="155">
        <v>1800.15</v>
      </c>
      <c r="F20" s="684" t="s">
        <v>899</v>
      </c>
      <c r="H20" s="661"/>
    </row>
    <row r="21" spans="2:9" ht="30" x14ac:dyDescent="0.25">
      <c r="B21" s="66" t="s">
        <v>855</v>
      </c>
      <c r="C21" s="240" t="s">
        <v>774</v>
      </c>
      <c r="D21" s="47" t="s">
        <v>900</v>
      </c>
      <c r="E21" s="155">
        <v>541.25</v>
      </c>
      <c r="F21" s="684"/>
      <c r="H21" s="661"/>
    </row>
    <row r="22" spans="2:9" ht="30" x14ac:dyDescent="0.25">
      <c r="B22" s="66" t="s">
        <v>887</v>
      </c>
      <c r="C22" s="240" t="s">
        <v>1267</v>
      </c>
      <c r="D22" s="47" t="s">
        <v>1469</v>
      </c>
      <c r="E22" s="155">
        <f>500*3</f>
        <v>1500</v>
      </c>
      <c r="F22" s="824" t="s">
        <v>1268</v>
      </c>
      <c r="H22" s="661"/>
    </row>
    <row r="23" spans="2:9" x14ac:dyDescent="0.25">
      <c r="B23" s="66"/>
      <c r="C23" s="240"/>
      <c r="D23" s="47"/>
      <c r="E23" s="155"/>
      <c r="F23" s="47"/>
      <c r="H23" s="661"/>
    </row>
    <row r="24" spans="2:9" x14ac:dyDescent="0.25">
      <c r="B24" s="66"/>
      <c r="C24" s="154"/>
      <c r="D24" s="47"/>
      <c r="E24" s="155"/>
      <c r="F24" s="47"/>
      <c r="G24" s="660"/>
      <c r="H24" s="661"/>
    </row>
    <row r="25" spans="2:9" ht="15.75" thickBot="1" x14ac:dyDescent="0.3">
      <c r="B25" s="63"/>
      <c r="C25" s="63"/>
      <c r="D25" s="50" t="s">
        <v>274</v>
      </c>
      <c r="E25" s="67">
        <f>SUM(E14:E24)</f>
        <v>129735.01999999999</v>
      </c>
      <c r="F25" s="47"/>
      <c r="H25" s="661"/>
    </row>
    <row r="26" spans="2:9" ht="15.75" thickTop="1" x14ac:dyDescent="0.25"/>
    <row r="27" spans="2:9" x14ac:dyDescent="0.25">
      <c r="E27" s="19"/>
    </row>
    <row r="28" spans="2:9" x14ac:dyDescent="0.25">
      <c r="F28" s="19"/>
    </row>
    <row r="29" spans="2:9" x14ac:dyDescent="0.25">
      <c r="F29" s="19"/>
    </row>
    <row r="30" spans="2:9" x14ac:dyDescent="0.25">
      <c r="F30" s="19"/>
    </row>
    <row r="31" spans="2:9" x14ac:dyDescent="0.25">
      <c r="F31" s="19"/>
    </row>
    <row r="32" spans="2:9" x14ac:dyDescent="0.25">
      <c r="F32" s="19"/>
    </row>
    <row r="33" spans="6:6" x14ac:dyDescent="0.25">
      <c r="F33" s="19"/>
    </row>
    <row r="34" spans="6:6" x14ac:dyDescent="0.25">
      <c r="F34" s="19"/>
    </row>
    <row r="35" spans="6:6" x14ac:dyDescent="0.25">
      <c r="F35" s="19"/>
    </row>
    <row r="36" spans="6:6" x14ac:dyDescent="0.25">
      <c r="F36" s="19"/>
    </row>
  </sheetData>
  <mergeCells count="2">
    <mergeCell ref="F18:F19"/>
    <mergeCell ref="H11:I11"/>
  </mergeCells>
  <hyperlinks>
    <hyperlink ref="F2" location="Index!A1" display="Home" xr:uid="{6E3C07BD-97B4-4D3E-BCE3-2A8EA0F36D07}"/>
    <hyperlink ref="F4" location="P_L" display="Profit &amp; Loss" xr:uid="{505FE29E-995D-4C1D-8B6C-9DC322FC5B5B}"/>
    <hyperlink ref="F3" location="B_S" display="Balance Sheet" xr:uid="{CCD45418-E218-4574-9185-5C9B250B64A9}"/>
    <hyperlink ref="F5" location="PL_YTD" display="PL-Division (YTD)" xr:uid="{A9B74C41-0D7C-4A24-B0F9-D16B0E3C06CC}"/>
    <hyperlink ref="F6" location="PL_DM" display="PL-Division (Month)" xr:uid="{D231A702-43C7-43C1-9AED-2C46790ECAF6}"/>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4E4F-DAF6-4BCA-AC60-81A15BE3E25F}">
  <sheetPr codeName="Sheet19"/>
  <dimension ref="B1:AA1036"/>
  <sheetViews>
    <sheetView showGridLines="0" workbookViewId="0">
      <pane ySplit="6" topLeftCell="A290" activePane="bottomLeft" state="frozen"/>
      <selection pane="bottomLeft" activeCell="A290" sqref="A290"/>
    </sheetView>
  </sheetViews>
  <sheetFormatPr defaultColWidth="9.140625" defaultRowHeight="15" outlineLevelRow="1" outlineLevelCol="1" x14ac:dyDescent="0.25"/>
  <cols>
    <col min="1" max="1" width="2.7109375" style="16" customWidth="1"/>
    <col min="2" max="2" width="14.7109375" style="243" customWidth="1"/>
    <col min="3" max="3" width="11.5703125" style="241" customWidth="1"/>
    <col min="4" max="4" width="9.5703125" style="241" customWidth="1"/>
    <col min="5" max="5" width="16.42578125" style="244" customWidth="1"/>
    <col min="6" max="6" width="20.5703125" style="245" hidden="1" customWidth="1" outlineLevel="1"/>
    <col min="7" max="7" width="20.85546875" style="245" hidden="1" customWidth="1" outlineLevel="1"/>
    <col min="8" max="8" width="22.28515625" style="245" hidden="1" customWidth="1" outlineLevel="1"/>
    <col min="9" max="9" width="60.7109375" style="245" hidden="1" customWidth="1" outlineLevel="1"/>
    <col min="10" max="10" width="23.42578125" style="245" hidden="1" customWidth="1" outlineLevel="1"/>
    <col min="11" max="11" width="16.42578125" style="244" bestFit="1" customWidth="1" collapsed="1"/>
    <col min="12" max="12" width="12.5703125" style="16" bestFit="1" customWidth="1"/>
    <col min="13" max="13" width="19" style="244" bestFit="1" customWidth="1"/>
    <col min="14" max="14" width="12.5703125" style="16" bestFit="1" customWidth="1"/>
    <col min="15" max="15" width="15" style="16" bestFit="1" customWidth="1"/>
    <col min="16" max="16" width="9.140625" style="16"/>
    <col min="17" max="22" width="11.28515625" style="16" customWidth="1"/>
    <col min="23" max="27" width="9.140625" style="16" customWidth="1"/>
    <col min="28" max="16384" width="9.140625" style="16"/>
  </cols>
  <sheetData>
    <row r="1" spans="2:27" ht="15.75" thickBot="1" x14ac:dyDescent="0.3"/>
    <row r="2" spans="2:27" ht="15.75" thickBot="1" x14ac:dyDescent="0.3">
      <c r="B2" s="901" t="str">
        <f>++BS!B2</f>
        <v>Pacific Nexus</v>
      </c>
      <c r="C2" s="902"/>
      <c r="D2" s="902"/>
      <c r="E2" s="903"/>
      <c r="K2" s="216" t="s">
        <v>638</v>
      </c>
      <c r="L2" s="217"/>
      <c r="M2" s="218">
        <f>BS!C55</f>
        <v>174947.03</v>
      </c>
      <c r="O2" s="151" t="s">
        <v>45</v>
      </c>
    </row>
    <row r="3" spans="2:27" ht="15.75" customHeight="1" thickBot="1" x14ac:dyDescent="0.3">
      <c r="B3" s="904" t="str">
        <f>BS!B55</f>
        <v>2215 Accrued Interest on Shareholder's Loan - Zaheer</v>
      </c>
      <c r="C3" s="905"/>
      <c r="D3" s="905"/>
      <c r="E3" s="906"/>
      <c r="K3" s="246"/>
      <c r="L3" s="247"/>
      <c r="M3" s="248"/>
      <c r="O3" s="238" t="s">
        <v>47</v>
      </c>
      <c r="Q3" s="907" t="s">
        <v>902</v>
      </c>
      <c r="R3" s="908"/>
      <c r="S3" s="908"/>
      <c r="T3" s="908"/>
      <c r="U3" s="908"/>
      <c r="V3" s="909"/>
      <c r="W3" s="48"/>
      <c r="X3" s="48"/>
      <c r="Y3" s="48"/>
      <c r="Z3" s="48"/>
      <c r="AA3" s="48"/>
    </row>
    <row r="4" spans="2:27" ht="15.75" thickBot="1" x14ac:dyDescent="0.3">
      <c r="B4" s="126" t="s">
        <v>639</v>
      </c>
      <c r="C4" s="127" t="s">
        <v>294</v>
      </c>
      <c r="D4" s="127" t="s">
        <v>903</v>
      </c>
      <c r="E4" s="128" t="s">
        <v>48</v>
      </c>
      <c r="F4" s="129" t="s">
        <v>706</v>
      </c>
      <c r="G4" s="129" t="s">
        <v>473</v>
      </c>
      <c r="H4" s="129" t="s">
        <v>474</v>
      </c>
      <c r="I4" s="129" t="s">
        <v>475</v>
      </c>
      <c r="J4" s="129" t="s">
        <v>904</v>
      </c>
      <c r="K4" s="128" t="s">
        <v>478</v>
      </c>
      <c r="L4" s="127" t="s">
        <v>161</v>
      </c>
      <c r="M4" s="128" t="s">
        <v>905</v>
      </c>
      <c r="O4" s="238" t="s">
        <v>46</v>
      </c>
      <c r="Q4" s="910"/>
      <c r="R4" s="911"/>
      <c r="S4" s="911"/>
      <c r="T4" s="911"/>
      <c r="U4" s="911"/>
      <c r="V4" s="912"/>
      <c r="W4" s="48"/>
      <c r="X4" s="48"/>
      <c r="Y4" s="48"/>
      <c r="Z4" s="48"/>
      <c r="AA4" s="48"/>
    </row>
    <row r="5" spans="2:27" x14ac:dyDescent="0.25">
      <c r="B5" s="147"/>
      <c r="C5" s="148"/>
      <c r="D5" s="148"/>
      <c r="E5" s="149"/>
      <c r="F5" s="150"/>
      <c r="G5" s="150"/>
      <c r="H5" s="150"/>
      <c r="I5" s="150"/>
      <c r="J5" s="150"/>
      <c r="K5" s="149"/>
      <c r="L5" s="148"/>
      <c r="M5" s="149"/>
      <c r="O5" s="238" t="s">
        <v>34</v>
      </c>
      <c r="Q5" s="249"/>
      <c r="R5" s="249"/>
      <c r="S5" s="249"/>
      <c r="T5" s="249"/>
      <c r="U5" s="249"/>
      <c r="V5" s="249"/>
      <c r="W5" s="48"/>
      <c r="X5" s="48"/>
      <c r="Y5" s="48"/>
      <c r="Z5" s="48"/>
      <c r="AA5" s="48"/>
    </row>
    <row r="6" spans="2:27" x14ac:dyDescent="0.25">
      <c r="B6" s="147"/>
      <c r="C6" s="148"/>
      <c r="D6" s="148"/>
      <c r="E6" s="149"/>
      <c r="F6" s="150"/>
      <c r="G6" s="150"/>
      <c r="H6" s="150"/>
      <c r="I6" s="150"/>
      <c r="J6" s="150"/>
      <c r="K6" s="149"/>
      <c r="L6" s="148"/>
      <c r="M6" s="149"/>
      <c r="O6" s="238" t="s">
        <v>36</v>
      </c>
      <c r="Q6" s="250"/>
      <c r="R6" s="250"/>
      <c r="S6" s="250"/>
      <c r="T6" s="250"/>
      <c r="U6" s="250"/>
      <c r="V6" s="250"/>
      <c r="W6" s="48"/>
      <c r="X6" s="48"/>
      <c r="Y6" s="48"/>
      <c r="Z6" s="48"/>
      <c r="AA6" s="48"/>
    </row>
    <row r="7" spans="2:27" hidden="1" outlineLevel="1" x14ac:dyDescent="0.25">
      <c r="B7" s="251">
        <v>45376</v>
      </c>
      <c r="C7" s="252" t="str">
        <f>TEXT(B7,"mmm")</f>
        <v>Mar</v>
      </c>
      <c r="D7" s="252" t="str">
        <f>TEXT(B7,"yyyy")</f>
        <v>2024</v>
      </c>
      <c r="E7" s="253">
        <v>231234.61</v>
      </c>
      <c r="F7" s="254" t="s">
        <v>710</v>
      </c>
      <c r="G7" s="254" t="s">
        <v>906</v>
      </c>
      <c r="H7" s="254"/>
      <c r="I7" s="254" t="s">
        <v>907</v>
      </c>
      <c r="J7" s="254" t="s">
        <v>908</v>
      </c>
      <c r="K7" s="253">
        <f>E7</f>
        <v>231234.61</v>
      </c>
      <c r="L7" s="255">
        <f>(0.12/365)</f>
        <v>3.2876712328767124E-4</v>
      </c>
      <c r="M7" s="253">
        <f>K7*L7</f>
        <v>76.022337534246574</v>
      </c>
    </row>
    <row r="8" spans="2:27" hidden="1" outlineLevel="1" x14ac:dyDescent="0.25">
      <c r="B8" s="251">
        <v>45376</v>
      </c>
      <c r="C8" s="252" t="str">
        <f t="shared" ref="C8:C71" si="0">TEXT(B8,"mmm")</f>
        <v>Mar</v>
      </c>
      <c r="D8" s="252" t="str">
        <f t="shared" ref="D8:D71" si="1">TEXT(B8,"yyyy")</f>
        <v>2024</v>
      </c>
      <c r="E8" s="253">
        <v>46405.39</v>
      </c>
      <c r="F8" s="254" t="s">
        <v>710</v>
      </c>
      <c r="G8" s="254" t="s">
        <v>909</v>
      </c>
      <c r="H8" s="254"/>
      <c r="I8" s="254" t="s">
        <v>910</v>
      </c>
      <c r="J8" s="254" t="s">
        <v>908</v>
      </c>
      <c r="K8" s="253">
        <f t="shared" ref="K8:K71" si="2">K7+E8</f>
        <v>277640</v>
      </c>
      <c r="L8" s="255">
        <f t="shared" ref="L8:L71" si="3">(0.12/365)</f>
        <v>3.2876712328767124E-4</v>
      </c>
      <c r="M8" s="253">
        <f t="shared" ref="M8:M71" si="4">K8*L8</f>
        <v>91.27890410958905</v>
      </c>
    </row>
    <row r="9" spans="2:27" hidden="1" outlineLevel="1" x14ac:dyDescent="0.25">
      <c r="B9" s="251">
        <v>45376</v>
      </c>
      <c r="C9" s="252" t="str">
        <f t="shared" si="0"/>
        <v>Mar</v>
      </c>
      <c r="D9" s="252" t="str">
        <f t="shared" si="1"/>
        <v>2024</v>
      </c>
      <c r="E9" s="253">
        <v>2000</v>
      </c>
      <c r="F9" s="254" t="s">
        <v>728</v>
      </c>
      <c r="G9" s="254"/>
      <c r="H9" s="254" t="s">
        <v>911</v>
      </c>
      <c r="I9" s="254" t="s">
        <v>912</v>
      </c>
      <c r="J9" s="254" t="s">
        <v>54</v>
      </c>
      <c r="K9" s="253">
        <f t="shared" si="2"/>
        <v>279640</v>
      </c>
      <c r="L9" s="255">
        <f t="shared" si="3"/>
        <v>3.2876712328767124E-4</v>
      </c>
      <c r="M9" s="253">
        <f t="shared" si="4"/>
        <v>91.936438356164388</v>
      </c>
    </row>
    <row r="10" spans="2:27" hidden="1" outlineLevel="1" x14ac:dyDescent="0.25">
      <c r="B10" s="251">
        <f>+B9+1</f>
        <v>45377</v>
      </c>
      <c r="C10" s="252" t="str">
        <f t="shared" si="0"/>
        <v>Mar</v>
      </c>
      <c r="D10" s="252" t="str">
        <f t="shared" si="1"/>
        <v>2024</v>
      </c>
      <c r="E10" s="253">
        <v>0</v>
      </c>
      <c r="F10" s="254"/>
      <c r="G10" s="254"/>
      <c r="H10" s="254"/>
      <c r="I10" s="254"/>
      <c r="J10" s="254"/>
      <c r="K10" s="253">
        <f t="shared" si="2"/>
        <v>279640</v>
      </c>
      <c r="L10" s="255">
        <f t="shared" si="3"/>
        <v>3.2876712328767124E-4</v>
      </c>
      <c r="M10" s="253">
        <f t="shared" si="4"/>
        <v>91.936438356164388</v>
      </c>
    </row>
    <row r="11" spans="2:27" hidden="1" outlineLevel="1" x14ac:dyDescent="0.25">
      <c r="B11" s="251">
        <f t="shared" ref="B11:B74" si="5">+B10+1</f>
        <v>45378</v>
      </c>
      <c r="C11" s="252" t="str">
        <f t="shared" si="0"/>
        <v>Mar</v>
      </c>
      <c r="D11" s="252" t="str">
        <f t="shared" si="1"/>
        <v>2024</v>
      </c>
      <c r="E11" s="253">
        <v>0</v>
      </c>
      <c r="F11" s="254"/>
      <c r="G11" s="254"/>
      <c r="H11" s="254"/>
      <c r="I11" s="254"/>
      <c r="J11" s="254"/>
      <c r="K11" s="253">
        <f t="shared" si="2"/>
        <v>279640</v>
      </c>
      <c r="L11" s="255">
        <f t="shared" si="3"/>
        <v>3.2876712328767124E-4</v>
      </c>
      <c r="M11" s="253">
        <f t="shared" si="4"/>
        <v>91.936438356164388</v>
      </c>
    </row>
    <row r="12" spans="2:27" hidden="1" outlineLevel="1" x14ac:dyDescent="0.25">
      <c r="B12" s="251">
        <f t="shared" si="5"/>
        <v>45379</v>
      </c>
      <c r="C12" s="252" t="str">
        <f t="shared" si="0"/>
        <v>Mar</v>
      </c>
      <c r="D12" s="252" t="str">
        <f t="shared" si="1"/>
        <v>2024</v>
      </c>
      <c r="E12" s="253">
        <v>0</v>
      </c>
      <c r="F12" s="254"/>
      <c r="G12" s="254"/>
      <c r="H12" s="254"/>
      <c r="I12" s="254"/>
      <c r="J12" s="254"/>
      <c r="K12" s="253">
        <f t="shared" si="2"/>
        <v>279640</v>
      </c>
      <c r="L12" s="255">
        <f t="shared" si="3"/>
        <v>3.2876712328767124E-4</v>
      </c>
      <c r="M12" s="253">
        <f t="shared" si="4"/>
        <v>91.936438356164388</v>
      </c>
    </row>
    <row r="13" spans="2:27" hidden="1" outlineLevel="1" x14ac:dyDescent="0.25">
      <c r="B13" s="251">
        <f t="shared" si="5"/>
        <v>45380</v>
      </c>
      <c r="C13" s="252" t="str">
        <f t="shared" si="0"/>
        <v>Mar</v>
      </c>
      <c r="D13" s="252" t="str">
        <f t="shared" si="1"/>
        <v>2024</v>
      </c>
      <c r="E13" s="253">
        <v>0</v>
      </c>
      <c r="F13" s="254"/>
      <c r="G13" s="254"/>
      <c r="H13" s="254"/>
      <c r="I13" s="254"/>
      <c r="J13" s="254"/>
      <c r="K13" s="253">
        <f t="shared" si="2"/>
        <v>279640</v>
      </c>
      <c r="L13" s="255">
        <f t="shared" si="3"/>
        <v>3.2876712328767124E-4</v>
      </c>
      <c r="M13" s="253">
        <f t="shared" si="4"/>
        <v>91.936438356164388</v>
      </c>
    </row>
    <row r="14" spans="2:27" hidden="1" outlineLevel="1" x14ac:dyDescent="0.25">
      <c r="B14" s="251">
        <f t="shared" si="5"/>
        <v>45381</v>
      </c>
      <c r="C14" s="252" t="str">
        <f t="shared" si="0"/>
        <v>Mar</v>
      </c>
      <c r="D14" s="252" t="str">
        <f t="shared" si="1"/>
        <v>2024</v>
      </c>
      <c r="E14" s="253">
        <v>0</v>
      </c>
      <c r="F14" s="254"/>
      <c r="G14" s="254"/>
      <c r="H14" s="254"/>
      <c r="I14" s="254"/>
      <c r="J14" s="254"/>
      <c r="K14" s="253">
        <f t="shared" si="2"/>
        <v>279640</v>
      </c>
      <c r="L14" s="255">
        <f t="shared" si="3"/>
        <v>3.2876712328767124E-4</v>
      </c>
      <c r="M14" s="253">
        <f t="shared" si="4"/>
        <v>91.936438356164388</v>
      </c>
    </row>
    <row r="15" spans="2:27" hidden="1" outlineLevel="1" x14ac:dyDescent="0.25">
      <c r="B15" s="251">
        <f t="shared" si="5"/>
        <v>45382</v>
      </c>
      <c r="C15" s="252" t="str">
        <f t="shared" si="0"/>
        <v>Mar</v>
      </c>
      <c r="D15" s="252" t="str">
        <f t="shared" si="1"/>
        <v>2024</v>
      </c>
      <c r="E15" s="253">
        <v>0</v>
      </c>
      <c r="F15" s="254"/>
      <c r="G15" s="254"/>
      <c r="H15" s="254"/>
      <c r="I15" s="254"/>
      <c r="J15" s="254"/>
      <c r="K15" s="253">
        <f t="shared" si="2"/>
        <v>279640</v>
      </c>
      <c r="L15" s="255">
        <f t="shared" si="3"/>
        <v>3.2876712328767124E-4</v>
      </c>
      <c r="M15" s="253">
        <f t="shared" si="4"/>
        <v>91.936438356164388</v>
      </c>
    </row>
    <row r="16" spans="2:27" hidden="1" outlineLevel="1" x14ac:dyDescent="0.25">
      <c r="B16" s="251">
        <f t="shared" si="5"/>
        <v>45383</v>
      </c>
      <c r="C16" s="252" t="str">
        <f t="shared" si="0"/>
        <v>Apr</v>
      </c>
      <c r="D16" s="252" t="str">
        <f t="shared" si="1"/>
        <v>2024</v>
      </c>
      <c r="E16" s="253">
        <v>0</v>
      </c>
      <c r="F16" s="254"/>
      <c r="G16" s="254"/>
      <c r="H16" s="254"/>
      <c r="I16" s="254"/>
      <c r="J16" s="254"/>
      <c r="K16" s="253">
        <f t="shared" si="2"/>
        <v>279640</v>
      </c>
      <c r="L16" s="255">
        <f t="shared" si="3"/>
        <v>3.2876712328767124E-4</v>
      </c>
      <c r="M16" s="253">
        <f t="shared" si="4"/>
        <v>91.936438356164388</v>
      </c>
    </row>
    <row r="17" spans="2:13" hidden="1" outlineLevel="1" x14ac:dyDescent="0.25">
      <c r="B17" s="251">
        <f t="shared" si="5"/>
        <v>45384</v>
      </c>
      <c r="C17" s="252" t="str">
        <f t="shared" si="0"/>
        <v>Apr</v>
      </c>
      <c r="D17" s="252" t="str">
        <f t="shared" si="1"/>
        <v>2024</v>
      </c>
      <c r="E17" s="253">
        <v>0</v>
      </c>
      <c r="F17" s="254"/>
      <c r="G17" s="254"/>
      <c r="H17" s="254"/>
      <c r="I17" s="254"/>
      <c r="J17" s="254"/>
      <c r="K17" s="253">
        <f t="shared" si="2"/>
        <v>279640</v>
      </c>
      <c r="L17" s="255">
        <f t="shared" si="3"/>
        <v>3.2876712328767124E-4</v>
      </c>
      <c r="M17" s="253">
        <f t="shared" si="4"/>
        <v>91.936438356164388</v>
      </c>
    </row>
    <row r="18" spans="2:13" hidden="1" outlineLevel="1" x14ac:dyDescent="0.25">
      <c r="B18" s="251">
        <f t="shared" si="5"/>
        <v>45385</v>
      </c>
      <c r="C18" s="252" t="str">
        <f t="shared" si="0"/>
        <v>Apr</v>
      </c>
      <c r="D18" s="252" t="str">
        <f t="shared" si="1"/>
        <v>2024</v>
      </c>
      <c r="E18" s="253">
        <v>0</v>
      </c>
      <c r="F18" s="254"/>
      <c r="G18" s="254"/>
      <c r="H18" s="254"/>
      <c r="I18" s="254"/>
      <c r="J18" s="254"/>
      <c r="K18" s="253">
        <f t="shared" si="2"/>
        <v>279640</v>
      </c>
      <c r="L18" s="255">
        <f t="shared" si="3"/>
        <v>3.2876712328767124E-4</v>
      </c>
      <c r="M18" s="253">
        <f t="shared" si="4"/>
        <v>91.936438356164388</v>
      </c>
    </row>
    <row r="19" spans="2:13" hidden="1" outlineLevel="1" x14ac:dyDescent="0.25">
      <c r="B19" s="251">
        <f t="shared" si="5"/>
        <v>45386</v>
      </c>
      <c r="C19" s="252" t="str">
        <f t="shared" si="0"/>
        <v>Apr</v>
      </c>
      <c r="D19" s="252" t="str">
        <f t="shared" si="1"/>
        <v>2024</v>
      </c>
      <c r="E19" s="253">
        <v>0</v>
      </c>
      <c r="F19" s="254"/>
      <c r="G19" s="254"/>
      <c r="H19" s="254"/>
      <c r="I19" s="254"/>
      <c r="J19" s="254"/>
      <c r="K19" s="253">
        <f t="shared" si="2"/>
        <v>279640</v>
      </c>
      <c r="L19" s="255">
        <f t="shared" si="3"/>
        <v>3.2876712328767124E-4</v>
      </c>
      <c r="M19" s="253">
        <f t="shared" si="4"/>
        <v>91.936438356164388</v>
      </c>
    </row>
    <row r="20" spans="2:13" hidden="1" outlineLevel="1" x14ac:dyDescent="0.25">
      <c r="B20" s="251">
        <f t="shared" si="5"/>
        <v>45387</v>
      </c>
      <c r="C20" s="252" t="str">
        <f t="shared" si="0"/>
        <v>Apr</v>
      </c>
      <c r="D20" s="252" t="str">
        <f t="shared" si="1"/>
        <v>2024</v>
      </c>
      <c r="E20" s="253">
        <v>0</v>
      </c>
      <c r="F20" s="254"/>
      <c r="G20" s="254"/>
      <c r="H20" s="254"/>
      <c r="I20" s="254"/>
      <c r="J20" s="254"/>
      <c r="K20" s="253">
        <f t="shared" si="2"/>
        <v>279640</v>
      </c>
      <c r="L20" s="255">
        <f t="shared" si="3"/>
        <v>3.2876712328767124E-4</v>
      </c>
      <c r="M20" s="253">
        <f t="shared" si="4"/>
        <v>91.936438356164388</v>
      </c>
    </row>
    <row r="21" spans="2:13" hidden="1" outlineLevel="1" x14ac:dyDescent="0.25">
      <c r="B21" s="251">
        <f t="shared" si="5"/>
        <v>45388</v>
      </c>
      <c r="C21" s="252" t="str">
        <f t="shared" si="0"/>
        <v>Apr</v>
      </c>
      <c r="D21" s="252" t="str">
        <f t="shared" si="1"/>
        <v>2024</v>
      </c>
      <c r="E21" s="253">
        <v>0</v>
      </c>
      <c r="F21" s="254"/>
      <c r="G21" s="254"/>
      <c r="H21" s="254"/>
      <c r="I21" s="254"/>
      <c r="J21" s="254"/>
      <c r="K21" s="253">
        <f t="shared" si="2"/>
        <v>279640</v>
      </c>
      <c r="L21" s="255">
        <f t="shared" si="3"/>
        <v>3.2876712328767124E-4</v>
      </c>
      <c r="M21" s="253">
        <f t="shared" si="4"/>
        <v>91.936438356164388</v>
      </c>
    </row>
    <row r="22" spans="2:13" hidden="1" outlineLevel="1" x14ac:dyDescent="0.25">
      <c r="B22" s="251">
        <f t="shared" si="5"/>
        <v>45389</v>
      </c>
      <c r="C22" s="252" t="str">
        <f t="shared" si="0"/>
        <v>Apr</v>
      </c>
      <c r="D22" s="252" t="str">
        <f t="shared" si="1"/>
        <v>2024</v>
      </c>
      <c r="E22" s="253">
        <v>0</v>
      </c>
      <c r="F22" s="254"/>
      <c r="G22" s="254"/>
      <c r="H22" s="254"/>
      <c r="I22" s="254"/>
      <c r="J22" s="254"/>
      <c r="K22" s="253">
        <f t="shared" si="2"/>
        <v>279640</v>
      </c>
      <c r="L22" s="255">
        <f t="shared" si="3"/>
        <v>3.2876712328767124E-4</v>
      </c>
      <c r="M22" s="253">
        <f t="shared" si="4"/>
        <v>91.936438356164388</v>
      </c>
    </row>
    <row r="23" spans="2:13" hidden="1" outlineLevel="1" x14ac:dyDescent="0.25">
      <c r="B23" s="251">
        <f t="shared" si="5"/>
        <v>45390</v>
      </c>
      <c r="C23" s="252" t="str">
        <f t="shared" si="0"/>
        <v>Apr</v>
      </c>
      <c r="D23" s="252" t="str">
        <f t="shared" si="1"/>
        <v>2024</v>
      </c>
      <c r="E23" s="253">
        <v>0</v>
      </c>
      <c r="F23" s="254"/>
      <c r="G23" s="254"/>
      <c r="H23" s="254"/>
      <c r="I23" s="254"/>
      <c r="J23" s="254"/>
      <c r="K23" s="253">
        <f t="shared" si="2"/>
        <v>279640</v>
      </c>
      <c r="L23" s="255">
        <f t="shared" si="3"/>
        <v>3.2876712328767124E-4</v>
      </c>
      <c r="M23" s="253">
        <f t="shared" si="4"/>
        <v>91.936438356164388</v>
      </c>
    </row>
    <row r="24" spans="2:13" hidden="1" outlineLevel="1" x14ac:dyDescent="0.25">
      <c r="B24" s="251">
        <f t="shared" si="5"/>
        <v>45391</v>
      </c>
      <c r="C24" s="252" t="str">
        <f t="shared" si="0"/>
        <v>Apr</v>
      </c>
      <c r="D24" s="252" t="str">
        <f t="shared" si="1"/>
        <v>2024</v>
      </c>
      <c r="E24" s="253">
        <v>0</v>
      </c>
      <c r="F24" s="254"/>
      <c r="G24" s="254"/>
      <c r="H24" s="254"/>
      <c r="I24" s="254"/>
      <c r="J24" s="254"/>
      <c r="K24" s="253">
        <f t="shared" si="2"/>
        <v>279640</v>
      </c>
      <c r="L24" s="255">
        <f t="shared" si="3"/>
        <v>3.2876712328767124E-4</v>
      </c>
      <c r="M24" s="253">
        <f t="shared" si="4"/>
        <v>91.936438356164388</v>
      </c>
    </row>
    <row r="25" spans="2:13" hidden="1" outlineLevel="1" x14ac:dyDescent="0.25">
      <c r="B25" s="251">
        <f t="shared" si="5"/>
        <v>45392</v>
      </c>
      <c r="C25" s="252" t="str">
        <f t="shared" si="0"/>
        <v>Apr</v>
      </c>
      <c r="D25" s="252" t="str">
        <f t="shared" si="1"/>
        <v>2024</v>
      </c>
      <c r="E25" s="253">
        <v>0</v>
      </c>
      <c r="F25" s="254"/>
      <c r="G25" s="254"/>
      <c r="H25" s="254"/>
      <c r="I25" s="254"/>
      <c r="J25" s="254"/>
      <c r="K25" s="253">
        <f t="shared" si="2"/>
        <v>279640</v>
      </c>
      <c r="L25" s="255">
        <f t="shared" si="3"/>
        <v>3.2876712328767124E-4</v>
      </c>
      <c r="M25" s="253">
        <f t="shared" si="4"/>
        <v>91.936438356164388</v>
      </c>
    </row>
    <row r="26" spans="2:13" hidden="1" outlineLevel="1" x14ac:dyDescent="0.25">
      <c r="B26" s="251">
        <f t="shared" si="5"/>
        <v>45393</v>
      </c>
      <c r="C26" s="252" t="str">
        <f t="shared" si="0"/>
        <v>Apr</v>
      </c>
      <c r="D26" s="252" t="str">
        <f t="shared" si="1"/>
        <v>2024</v>
      </c>
      <c r="E26" s="253">
        <v>0</v>
      </c>
      <c r="F26" s="254"/>
      <c r="G26" s="254"/>
      <c r="H26" s="254"/>
      <c r="I26" s="254"/>
      <c r="J26" s="254"/>
      <c r="K26" s="253">
        <f t="shared" si="2"/>
        <v>279640</v>
      </c>
      <c r="L26" s="255">
        <f t="shared" si="3"/>
        <v>3.2876712328767124E-4</v>
      </c>
      <c r="M26" s="253">
        <f t="shared" si="4"/>
        <v>91.936438356164388</v>
      </c>
    </row>
    <row r="27" spans="2:13" hidden="1" outlineLevel="1" x14ac:dyDescent="0.25">
      <c r="B27" s="251">
        <f t="shared" si="5"/>
        <v>45394</v>
      </c>
      <c r="C27" s="252" t="str">
        <f t="shared" si="0"/>
        <v>Apr</v>
      </c>
      <c r="D27" s="252" t="str">
        <f t="shared" si="1"/>
        <v>2024</v>
      </c>
      <c r="E27" s="253">
        <v>0</v>
      </c>
      <c r="F27" s="254"/>
      <c r="G27" s="254"/>
      <c r="H27" s="254"/>
      <c r="I27" s="254"/>
      <c r="J27" s="254"/>
      <c r="K27" s="253">
        <f t="shared" si="2"/>
        <v>279640</v>
      </c>
      <c r="L27" s="255">
        <f t="shared" si="3"/>
        <v>3.2876712328767124E-4</v>
      </c>
      <c r="M27" s="253">
        <f t="shared" si="4"/>
        <v>91.936438356164388</v>
      </c>
    </row>
    <row r="28" spans="2:13" hidden="1" outlineLevel="1" x14ac:dyDescent="0.25">
      <c r="B28" s="251">
        <f t="shared" si="5"/>
        <v>45395</v>
      </c>
      <c r="C28" s="252" t="str">
        <f t="shared" si="0"/>
        <v>Apr</v>
      </c>
      <c r="D28" s="252" t="str">
        <f t="shared" si="1"/>
        <v>2024</v>
      </c>
      <c r="E28" s="253">
        <v>0</v>
      </c>
      <c r="F28" s="254"/>
      <c r="G28" s="254"/>
      <c r="H28" s="254"/>
      <c r="I28" s="254"/>
      <c r="J28" s="254"/>
      <c r="K28" s="253">
        <f t="shared" si="2"/>
        <v>279640</v>
      </c>
      <c r="L28" s="255">
        <f t="shared" si="3"/>
        <v>3.2876712328767124E-4</v>
      </c>
      <c r="M28" s="253">
        <f t="shared" si="4"/>
        <v>91.936438356164388</v>
      </c>
    </row>
    <row r="29" spans="2:13" hidden="1" outlineLevel="1" x14ac:dyDescent="0.25">
      <c r="B29" s="251">
        <f t="shared" si="5"/>
        <v>45396</v>
      </c>
      <c r="C29" s="252" t="str">
        <f t="shared" si="0"/>
        <v>Apr</v>
      </c>
      <c r="D29" s="252" t="str">
        <f t="shared" si="1"/>
        <v>2024</v>
      </c>
      <c r="E29" s="253">
        <v>0</v>
      </c>
      <c r="F29" s="254"/>
      <c r="G29" s="254"/>
      <c r="H29" s="254"/>
      <c r="I29" s="254"/>
      <c r="J29" s="254"/>
      <c r="K29" s="253">
        <f t="shared" si="2"/>
        <v>279640</v>
      </c>
      <c r="L29" s="255">
        <f t="shared" si="3"/>
        <v>3.2876712328767124E-4</v>
      </c>
      <c r="M29" s="253">
        <f t="shared" si="4"/>
        <v>91.936438356164388</v>
      </c>
    </row>
    <row r="30" spans="2:13" hidden="1" outlineLevel="1" x14ac:dyDescent="0.25">
      <c r="B30" s="251">
        <f t="shared" si="5"/>
        <v>45397</v>
      </c>
      <c r="C30" s="252" t="str">
        <f t="shared" si="0"/>
        <v>Apr</v>
      </c>
      <c r="D30" s="252" t="str">
        <f t="shared" si="1"/>
        <v>2024</v>
      </c>
      <c r="E30" s="253">
        <v>0</v>
      </c>
      <c r="F30" s="254"/>
      <c r="G30" s="254"/>
      <c r="H30" s="254"/>
      <c r="I30" s="254"/>
      <c r="J30" s="254"/>
      <c r="K30" s="253">
        <f t="shared" si="2"/>
        <v>279640</v>
      </c>
      <c r="L30" s="255">
        <f t="shared" si="3"/>
        <v>3.2876712328767124E-4</v>
      </c>
      <c r="M30" s="253">
        <f t="shared" si="4"/>
        <v>91.936438356164388</v>
      </c>
    </row>
    <row r="31" spans="2:13" hidden="1" outlineLevel="1" x14ac:dyDescent="0.25">
      <c r="B31" s="251">
        <f t="shared" si="5"/>
        <v>45398</v>
      </c>
      <c r="C31" s="252" t="str">
        <f t="shared" si="0"/>
        <v>Apr</v>
      </c>
      <c r="D31" s="252" t="str">
        <f t="shared" si="1"/>
        <v>2024</v>
      </c>
      <c r="E31" s="253">
        <v>0</v>
      </c>
      <c r="F31" s="254"/>
      <c r="G31" s="254"/>
      <c r="H31" s="254"/>
      <c r="I31" s="254"/>
      <c r="J31" s="254"/>
      <c r="K31" s="253">
        <f t="shared" si="2"/>
        <v>279640</v>
      </c>
      <c r="L31" s="255">
        <f t="shared" si="3"/>
        <v>3.2876712328767124E-4</v>
      </c>
      <c r="M31" s="253">
        <f t="shared" si="4"/>
        <v>91.936438356164388</v>
      </c>
    </row>
    <row r="32" spans="2:13" hidden="1" outlineLevel="1" x14ac:dyDescent="0.25">
      <c r="B32" s="251">
        <f t="shared" si="5"/>
        <v>45399</v>
      </c>
      <c r="C32" s="252" t="str">
        <f t="shared" si="0"/>
        <v>Apr</v>
      </c>
      <c r="D32" s="252" t="str">
        <f t="shared" si="1"/>
        <v>2024</v>
      </c>
      <c r="E32" s="253">
        <v>0</v>
      </c>
      <c r="F32" s="254"/>
      <c r="G32" s="254"/>
      <c r="H32" s="254"/>
      <c r="I32" s="254"/>
      <c r="J32" s="254"/>
      <c r="K32" s="253">
        <f t="shared" si="2"/>
        <v>279640</v>
      </c>
      <c r="L32" s="255">
        <f t="shared" si="3"/>
        <v>3.2876712328767124E-4</v>
      </c>
      <c r="M32" s="253">
        <f t="shared" si="4"/>
        <v>91.936438356164388</v>
      </c>
    </row>
    <row r="33" spans="2:13" hidden="1" outlineLevel="1" x14ac:dyDescent="0.25">
      <c r="B33" s="251">
        <f t="shared" si="5"/>
        <v>45400</v>
      </c>
      <c r="C33" s="252" t="str">
        <f t="shared" si="0"/>
        <v>Apr</v>
      </c>
      <c r="D33" s="252" t="str">
        <f t="shared" si="1"/>
        <v>2024</v>
      </c>
      <c r="E33" s="253">
        <v>0</v>
      </c>
      <c r="F33" s="254"/>
      <c r="G33" s="254"/>
      <c r="H33" s="254"/>
      <c r="I33" s="254"/>
      <c r="J33" s="254"/>
      <c r="K33" s="253">
        <f t="shared" si="2"/>
        <v>279640</v>
      </c>
      <c r="L33" s="255">
        <f t="shared" si="3"/>
        <v>3.2876712328767124E-4</v>
      </c>
      <c r="M33" s="253">
        <f t="shared" si="4"/>
        <v>91.936438356164388</v>
      </c>
    </row>
    <row r="34" spans="2:13" hidden="1" outlineLevel="1" x14ac:dyDescent="0.25">
      <c r="B34" s="251">
        <f t="shared" si="5"/>
        <v>45401</v>
      </c>
      <c r="C34" s="252" t="str">
        <f t="shared" si="0"/>
        <v>Apr</v>
      </c>
      <c r="D34" s="252" t="str">
        <f t="shared" si="1"/>
        <v>2024</v>
      </c>
      <c r="E34" s="253">
        <v>0</v>
      </c>
      <c r="F34" s="254"/>
      <c r="G34" s="254"/>
      <c r="H34" s="254"/>
      <c r="I34" s="254"/>
      <c r="J34" s="254"/>
      <c r="K34" s="253">
        <f t="shared" si="2"/>
        <v>279640</v>
      </c>
      <c r="L34" s="255">
        <f t="shared" si="3"/>
        <v>3.2876712328767124E-4</v>
      </c>
      <c r="M34" s="253">
        <f t="shared" si="4"/>
        <v>91.936438356164388</v>
      </c>
    </row>
    <row r="35" spans="2:13" hidden="1" outlineLevel="1" x14ac:dyDescent="0.25">
      <c r="B35" s="251">
        <f t="shared" si="5"/>
        <v>45402</v>
      </c>
      <c r="C35" s="252" t="str">
        <f t="shared" si="0"/>
        <v>Apr</v>
      </c>
      <c r="D35" s="252" t="str">
        <f t="shared" si="1"/>
        <v>2024</v>
      </c>
      <c r="E35" s="253">
        <v>0</v>
      </c>
      <c r="F35" s="254"/>
      <c r="G35" s="254"/>
      <c r="H35" s="254"/>
      <c r="I35" s="254"/>
      <c r="J35" s="254"/>
      <c r="K35" s="253">
        <f t="shared" si="2"/>
        <v>279640</v>
      </c>
      <c r="L35" s="255">
        <f t="shared" si="3"/>
        <v>3.2876712328767124E-4</v>
      </c>
      <c r="M35" s="253">
        <f t="shared" si="4"/>
        <v>91.936438356164388</v>
      </c>
    </row>
    <row r="36" spans="2:13" hidden="1" outlineLevel="1" x14ac:dyDescent="0.25">
      <c r="B36" s="251">
        <f t="shared" si="5"/>
        <v>45403</v>
      </c>
      <c r="C36" s="252" t="str">
        <f t="shared" si="0"/>
        <v>Apr</v>
      </c>
      <c r="D36" s="252" t="str">
        <f t="shared" si="1"/>
        <v>2024</v>
      </c>
      <c r="E36" s="253">
        <v>0</v>
      </c>
      <c r="F36" s="254"/>
      <c r="G36" s="254"/>
      <c r="H36" s="254"/>
      <c r="I36" s="254"/>
      <c r="J36" s="254"/>
      <c r="K36" s="253">
        <f t="shared" si="2"/>
        <v>279640</v>
      </c>
      <c r="L36" s="255">
        <f t="shared" si="3"/>
        <v>3.2876712328767124E-4</v>
      </c>
      <c r="M36" s="253">
        <f t="shared" si="4"/>
        <v>91.936438356164388</v>
      </c>
    </row>
    <row r="37" spans="2:13" hidden="1" outlineLevel="1" x14ac:dyDescent="0.25">
      <c r="B37" s="251">
        <f t="shared" si="5"/>
        <v>45404</v>
      </c>
      <c r="C37" s="252" t="str">
        <f t="shared" si="0"/>
        <v>Apr</v>
      </c>
      <c r="D37" s="252" t="str">
        <f t="shared" si="1"/>
        <v>2024</v>
      </c>
      <c r="E37" s="253">
        <v>0</v>
      </c>
      <c r="F37" s="254"/>
      <c r="G37" s="254"/>
      <c r="H37" s="254"/>
      <c r="I37" s="254"/>
      <c r="J37" s="254"/>
      <c r="K37" s="253">
        <f t="shared" si="2"/>
        <v>279640</v>
      </c>
      <c r="L37" s="255">
        <f t="shared" si="3"/>
        <v>3.2876712328767124E-4</v>
      </c>
      <c r="M37" s="253">
        <f t="shared" si="4"/>
        <v>91.936438356164388</v>
      </c>
    </row>
    <row r="38" spans="2:13" hidden="1" outlineLevel="1" x14ac:dyDescent="0.25">
      <c r="B38" s="251">
        <f t="shared" si="5"/>
        <v>45405</v>
      </c>
      <c r="C38" s="252" t="str">
        <f t="shared" si="0"/>
        <v>Apr</v>
      </c>
      <c r="D38" s="252" t="str">
        <f t="shared" si="1"/>
        <v>2024</v>
      </c>
      <c r="E38" s="253">
        <v>0</v>
      </c>
      <c r="F38" s="254"/>
      <c r="G38" s="254"/>
      <c r="H38" s="254"/>
      <c r="I38" s="254"/>
      <c r="J38" s="254"/>
      <c r="K38" s="253">
        <f t="shared" si="2"/>
        <v>279640</v>
      </c>
      <c r="L38" s="255">
        <f t="shared" si="3"/>
        <v>3.2876712328767124E-4</v>
      </c>
      <c r="M38" s="253">
        <f t="shared" si="4"/>
        <v>91.936438356164388</v>
      </c>
    </row>
    <row r="39" spans="2:13" hidden="1" outlineLevel="1" x14ac:dyDescent="0.25">
      <c r="B39" s="251">
        <f t="shared" si="5"/>
        <v>45406</v>
      </c>
      <c r="C39" s="252" t="str">
        <f t="shared" si="0"/>
        <v>Apr</v>
      </c>
      <c r="D39" s="252" t="str">
        <f t="shared" si="1"/>
        <v>2024</v>
      </c>
      <c r="E39" s="253">
        <v>0</v>
      </c>
      <c r="F39" s="254"/>
      <c r="G39" s="254"/>
      <c r="H39" s="254"/>
      <c r="I39" s="254"/>
      <c r="J39" s="254"/>
      <c r="K39" s="253">
        <f t="shared" si="2"/>
        <v>279640</v>
      </c>
      <c r="L39" s="255">
        <f t="shared" si="3"/>
        <v>3.2876712328767124E-4</v>
      </c>
      <c r="M39" s="253">
        <f t="shared" si="4"/>
        <v>91.936438356164388</v>
      </c>
    </row>
    <row r="40" spans="2:13" hidden="1" outlineLevel="1" x14ac:dyDescent="0.25">
      <c r="B40" s="251">
        <f t="shared" si="5"/>
        <v>45407</v>
      </c>
      <c r="C40" s="252" t="str">
        <f t="shared" si="0"/>
        <v>Apr</v>
      </c>
      <c r="D40" s="252" t="str">
        <f t="shared" si="1"/>
        <v>2024</v>
      </c>
      <c r="E40" s="253">
        <v>0</v>
      </c>
      <c r="F40" s="254"/>
      <c r="G40" s="254"/>
      <c r="H40" s="254"/>
      <c r="I40" s="254"/>
      <c r="J40" s="254"/>
      <c r="K40" s="253">
        <f t="shared" si="2"/>
        <v>279640</v>
      </c>
      <c r="L40" s="255">
        <f t="shared" si="3"/>
        <v>3.2876712328767124E-4</v>
      </c>
      <c r="M40" s="253">
        <f t="shared" si="4"/>
        <v>91.936438356164388</v>
      </c>
    </row>
    <row r="41" spans="2:13" hidden="1" outlineLevel="1" x14ac:dyDescent="0.25">
      <c r="B41" s="251">
        <f t="shared" si="5"/>
        <v>45408</v>
      </c>
      <c r="C41" s="252" t="str">
        <f t="shared" si="0"/>
        <v>Apr</v>
      </c>
      <c r="D41" s="252" t="str">
        <f t="shared" si="1"/>
        <v>2024</v>
      </c>
      <c r="E41" s="253">
        <v>0</v>
      </c>
      <c r="F41" s="254"/>
      <c r="G41" s="254"/>
      <c r="H41" s="254"/>
      <c r="I41" s="254"/>
      <c r="J41" s="254"/>
      <c r="K41" s="253">
        <f t="shared" si="2"/>
        <v>279640</v>
      </c>
      <c r="L41" s="255">
        <f t="shared" si="3"/>
        <v>3.2876712328767124E-4</v>
      </c>
      <c r="M41" s="253">
        <f t="shared" si="4"/>
        <v>91.936438356164388</v>
      </c>
    </row>
    <row r="42" spans="2:13" hidden="1" outlineLevel="1" x14ac:dyDescent="0.25">
      <c r="B42" s="251">
        <f t="shared" si="5"/>
        <v>45409</v>
      </c>
      <c r="C42" s="252" t="str">
        <f t="shared" si="0"/>
        <v>Apr</v>
      </c>
      <c r="D42" s="252" t="str">
        <f t="shared" si="1"/>
        <v>2024</v>
      </c>
      <c r="E42" s="253">
        <v>0</v>
      </c>
      <c r="F42" s="254"/>
      <c r="G42" s="254"/>
      <c r="H42" s="254"/>
      <c r="I42" s="254"/>
      <c r="J42" s="254"/>
      <c r="K42" s="253">
        <f t="shared" si="2"/>
        <v>279640</v>
      </c>
      <c r="L42" s="255">
        <f t="shared" si="3"/>
        <v>3.2876712328767124E-4</v>
      </c>
      <c r="M42" s="253">
        <f t="shared" si="4"/>
        <v>91.936438356164388</v>
      </c>
    </row>
    <row r="43" spans="2:13" hidden="1" outlineLevel="1" x14ac:dyDescent="0.25">
      <c r="B43" s="251">
        <f t="shared" si="5"/>
        <v>45410</v>
      </c>
      <c r="C43" s="252" t="str">
        <f t="shared" si="0"/>
        <v>Apr</v>
      </c>
      <c r="D43" s="252" t="str">
        <f t="shared" si="1"/>
        <v>2024</v>
      </c>
      <c r="E43" s="253">
        <v>0</v>
      </c>
      <c r="F43" s="254"/>
      <c r="G43" s="254"/>
      <c r="H43" s="254"/>
      <c r="I43" s="254"/>
      <c r="J43" s="254"/>
      <c r="K43" s="253">
        <f t="shared" si="2"/>
        <v>279640</v>
      </c>
      <c r="L43" s="255">
        <f t="shared" si="3"/>
        <v>3.2876712328767124E-4</v>
      </c>
      <c r="M43" s="253">
        <f t="shared" si="4"/>
        <v>91.936438356164388</v>
      </c>
    </row>
    <row r="44" spans="2:13" hidden="1" outlineLevel="1" x14ac:dyDescent="0.25">
      <c r="B44" s="251">
        <f t="shared" si="5"/>
        <v>45411</v>
      </c>
      <c r="C44" s="252" t="str">
        <f t="shared" si="0"/>
        <v>Apr</v>
      </c>
      <c r="D44" s="252" t="str">
        <f t="shared" si="1"/>
        <v>2024</v>
      </c>
      <c r="E44" s="253">
        <v>0</v>
      </c>
      <c r="F44" s="254"/>
      <c r="G44" s="254"/>
      <c r="H44" s="254"/>
      <c r="I44" s="254"/>
      <c r="J44" s="254"/>
      <c r="K44" s="253">
        <f t="shared" si="2"/>
        <v>279640</v>
      </c>
      <c r="L44" s="255">
        <f t="shared" si="3"/>
        <v>3.2876712328767124E-4</v>
      </c>
      <c r="M44" s="253">
        <f t="shared" si="4"/>
        <v>91.936438356164388</v>
      </c>
    </row>
    <row r="45" spans="2:13" hidden="1" outlineLevel="1" x14ac:dyDescent="0.25">
      <c r="B45" s="251">
        <f t="shared" si="5"/>
        <v>45412</v>
      </c>
      <c r="C45" s="252" t="str">
        <f t="shared" si="0"/>
        <v>Apr</v>
      </c>
      <c r="D45" s="252" t="str">
        <f t="shared" si="1"/>
        <v>2024</v>
      </c>
      <c r="E45" s="253">
        <v>0</v>
      </c>
      <c r="F45" s="254"/>
      <c r="G45" s="254"/>
      <c r="H45" s="254"/>
      <c r="I45" s="254"/>
      <c r="J45" s="254"/>
      <c r="K45" s="253">
        <f t="shared" si="2"/>
        <v>279640</v>
      </c>
      <c r="L45" s="255">
        <f t="shared" si="3"/>
        <v>3.2876712328767124E-4</v>
      </c>
      <c r="M45" s="253">
        <f t="shared" si="4"/>
        <v>91.936438356164388</v>
      </c>
    </row>
    <row r="46" spans="2:13" hidden="1" outlineLevel="1" x14ac:dyDescent="0.25">
      <c r="B46" s="251">
        <f t="shared" si="5"/>
        <v>45413</v>
      </c>
      <c r="C46" s="252" t="str">
        <f t="shared" si="0"/>
        <v>May</v>
      </c>
      <c r="D46" s="252" t="str">
        <f t="shared" si="1"/>
        <v>2024</v>
      </c>
      <c r="E46" s="253">
        <v>0</v>
      </c>
      <c r="F46" s="254"/>
      <c r="G46" s="254"/>
      <c r="H46" s="254"/>
      <c r="I46" s="254"/>
      <c r="J46" s="254"/>
      <c r="K46" s="253">
        <f t="shared" si="2"/>
        <v>279640</v>
      </c>
      <c r="L46" s="255">
        <f t="shared" si="3"/>
        <v>3.2876712328767124E-4</v>
      </c>
      <c r="M46" s="253">
        <f t="shared" si="4"/>
        <v>91.936438356164388</v>
      </c>
    </row>
    <row r="47" spans="2:13" hidden="1" outlineLevel="1" x14ac:dyDescent="0.25">
      <c r="B47" s="251">
        <f t="shared" si="5"/>
        <v>45414</v>
      </c>
      <c r="C47" s="252" t="str">
        <f t="shared" si="0"/>
        <v>May</v>
      </c>
      <c r="D47" s="252" t="str">
        <f t="shared" si="1"/>
        <v>2024</v>
      </c>
      <c r="E47" s="253">
        <v>0</v>
      </c>
      <c r="F47" s="254"/>
      <c r="G47" s="254"/>
      <c r="H47" s="254"/>
      <c r="I47" s="254"/>
      <c r="J47" s="254"/>
      <c r="K47" s="253">
        <f t="shared" si="2"/>
        <v>279640</v>
      </c>
      <c r="L47" s="255">
        <f t="shared" si="3"/>
        <v>3.2876712328767124E-4</v>
      </c>
      <c r="M47" s="253">
        <f t="shared" si="4"/>
        <v>91.936438356164388</v>
      </c>
    </row>
    <row r="48" spans="2:13" hidden="1" outlineLevel="1" x14ac:dyDescent="0.25">
      <c r="B48" s="251">
        <f t="shared" si="5"/>
        <v>45415</v>
      </c>
      <c r="C48" s="252" t="str">
        <f t="shared" si="0"/>
        <v>May</v>
      </c>
      <c r="D48" s="252" t="str">
        <f t="shared" si="1"/>
        <v>2024</v>
      </c>
      <c r="E48" s="253">
        <v>150000</v>
      </c>
      <c r="F48" s="254" t="s">
        <v>728</v>
      </c>
      <c r="G48" s="254"/>
      <c r="H48" s="254" t="s">
        <v>911</v>
      </c>
      <c r="I48" s="254" t="s">
        <v>913</v>
      </c>
      <c r="J48" s="254" t="s">
        <v>54</v>
      </c>
      <c r="K48" s="253">
        <f t="shared" si="2"/>
        <v>429640</v>
      </c>
      <c r="L48" s="255">
        <f t="shared" si="3"/>
        <v>3.2876712328767124E-4</v>
      </c>
      <c r="M48" s="253">
        <f t="shared" si="4"/>
        <v>141.25150684931506</v>
      </c>
    </row>
    <row r="49" spans="2:13" hidden="1" outlineLevel="1" x14ac:dyDescent="0.25">
      <c r="B49" s="251">
        <f t="shared" si="5"/>
        <v>45416</v>
      </c>
      <c r="C49" s="252" t="str">
        <f t="shared" si="0"/>
        <v>May</v>
      </c>
      <c r="D49" s="252" t="str">
        <f t="shared" si="1"/>
        <v>2024</v>
      </c>
      <c r="E49" s="253">
        <v>0</v>
      </c>
      <c r="F49" s="254"/>
      <c r="G49" s="254"/>
      <c r="H49" s="254"/>
      <c r="I49" s="254"/>
      <c r="J49" s="254"/>
      <c r="K49" s="253">
        <f t="shared" si="2"/>
        <v>429640</v>
      </c>
      <c r="L49" s="255">
        <f t="shared" si="3"/>
        <v>3.2876712328767124E-4</v>
      </c>
      <c r="M49" s="253">
        <f t="shared" si="4"/>
        <v>141.25150684931506</v>
      </c>
    </row>
    <row r="50" spans="2:13" hidden="1" outlineLevel="1" x14ac:dyDescent="0.25">
      <c r="B50" s="251">
        <f t="shared" si="5"/>
        <v>45417</v>
      </c>
      <c r="C50" s="252" t="str">
        <f t="shared" si="0"/>
        <v>May</v>
      </c>
      <c r="D50" s="252" t="str">
        <f t="shared" si="1"/>
        <v>2024</v>
      </c>
      <c r="E50" s="253">
        <v>0</v>
      </c>
      <c r="F50" s="254"/>
      <c r="G50" s="254"/>
      <c r="H50" s="254"/>
      <c r="I50" s="254"/>
      <c r="J50" s="254"/>
      <c r="K50" s="253">
        <f t="shared" si="2"/>
        <v>429640</v>
      </c>
      <c r="L50" s="255">
        <f t="shared" si="3"/>
        <v>3.2876712328767124E-4</v>
      </c>
      <c r="M50" s="253">
        <f t="shared" si="4"/>
        <v>141.25150684931506</v>
      </c>
    </row>
    <row r="51" spans="2:13" hidden="1" outlineLevel="1" x14ac:dyDescent="0.25">
      <c r="B51" s="251">
        <f t="shared" si="5"/>
        <v>45418</v>
      </c>
      <c r="C51" s="252" t="str">
        <f t="shared" si="0"/>
        <v>May</v>
      </c>
      <c r="D51" s="252" t="str">
        <f t="shared" si="1"/>
        <v>2024</v>
      </c>
      <c r="E51" s="253">
        <v>0</v>
      </c>
      <c r="F51" s="254"/>
      <c r="G51" s="254"/>
      <c r="H51" s="254"/>
      <c r="I51" s="254"/>
      <c r="J51" s="254"/>
      <c r="K51" s="253">
        <f t="shared" si="2"/>
        <v>429640</v>
      </c>
      <c r="L51" s="255">
        <f t="shared" si="3"/>
        <v>3.2876712328767124E-4</v>
      </c>
      <c r="M51" s="253">
        <f t="shared" si="4"/>
        <v>141.25150684931506</v>
      </c>
    </row>
    <row r="52" spans="2:13" hidden="1" outlineLevel="1" x14ac:dyDescent="0.25">
      <c r="B52" s="251">
        <f t="shared" si="5"/>
        <v>45419</v>
      </c>
      <c r="C52" s="252" t="str">
        <f t="shared" si="0"/>
        <v>May</v>
      </c>
      <c r="D52" s="252" t="str">
        <f t="shared" si="1"/>
        <v>2024</v>
      </c>
      <c r="E52" s="253">
        <v>0</v>
      </c>
      <c r="F52" s="254"/>
      <c r="G52" s="254"/>
      <c r="H52" s="254"/>
      <c r="I52" s="254"/>
      <c r="J52" s="254"/>
      <c r="K52" s="253">
        <f t="shared" si="2"/>
        <v>429640</v>
      </c>
      <c r="L52" s="255">
        <f t="shared" si="3"/>
        <v>3.2876712328767124E-4</v>
      </c>
      <c r="M52" s="253">
        <f t="shared" si="4"/>
        <v>141.25150684931506</v>
      </c>
    </row>
    <row r="53" spans="2:13" hidden="1" outlineLevel="1" x14ac:dyDescent="0.25">
      <c r="B53" s="251">
        <f t="shared" si="5"/>
        <v>45420</v>
      </c>
      <c r="C53" s="252" t="str">
        <f t="shared" si="0"/>
        <v>May</v>
      </c>
      <c r="D53" s="252" t="str">
        <f t="shared" si="1"/>
        <v>2024</v>
      </c>
      <c r="E53" s="253">
        <v>0</v>
      </c>
      <c r="F53" s="254"/>
      <c r="G53" s="254"/>
      <c r="H53" s="254"/>
      <c r="I53" s="254"/>
      <c r="J53" s="254"/>
      <c r="K53" s="253">
        <f t="shared" si="2"/>
        <v>429640</v>
      </c>
      <c r="L53" s="255">
        <f t="shared" si="3"/>
        <v>3.2876712328767124E-4</v>
      </c>
      <c r="M53" s="253">
        <f t="shared" si="4"/>
        <v>141.25150684931506</v>
      </c>
    </row>
    <row r="54" spans="2:13" hidden="1" outlineLevel="1" x14ac:dyDescent="0.25">
      <c r="B54" s="251">
        <f t="shared" si="5"/>
        <v>45421</v>
      </c>
      <c r="C54" s="252" t="str">
        <f t="shared" si="0"/>
        <v>May</v>
      </c>
      <c r="D54" s="252" t="str">
        <f t="shared" si="1"/>
        <v>2024</v>
      </c>
      <c r="E54" s="253">
        <v>0</v>
      </c>
      <c r="F54" s="254"/>
      <c r="G54" s="254"/>
      <c r="H54" s="254"/>
      <c r="I54" s="254"/>
      <c r="J54" s="254"/>
      <c r="K54" s="253">
        <f t="shared" si="2"/>
        <v>429640</v>
      </c>
      <c r="L54" s="255">
        <f t="shared" si="3"/>
        <v>3.2876712328767124E-4</v>
      </c>
      <c r="M54" s="253">
        <f t="shared" si="4"/>
        <v>141.25150684931506</v>
      </c>
    </row>
    <row r="55" spans="2:13" hidden="1" outlineLevel="1" x14ac:dyDescent="0.25">
      <c r="B55" s="251">
        <f t="shared" si="5"/>
        <v>45422</v>
      </c>
      <c r="C55" s="252" t="str">
        <f t="shared" si="0"/>
        <v>May</v>
      </c>
      <c r="D55" s="252" t="str">
        <f t="shared" si="1"/>
        <v>2024</v>
      </c>
      <c r="E55" s="253">
        <v>0</v>
      </c>
      <c r="F55" s="254"/>
      <c r="G55" s="254"/>
      <c r="H55" s="254"/>
      <c r="I55" s="254"/>
      <c r="J55" s="254"/>
      <c r="K55" s="253">
        <f t="shared" si="2"/>
        <v>429640</v>
      </c>
      <c r="L55" s="255">
        <f t="shared" si="3"/>
        <v>3.2876712328767124E-4</v>
      </c>
      <c r="M55" s="253">
        <f t="shared" si="4"/>
        <v>141.25150684931506</v>
      </c>
    </row>
    <row r="56" spans="2:13" hidden="1" outlineLevel="1" x14ac:dyDescent="0.25">
      <c r="B56" s="251">
        <f t="shared" si="5"/>
        <v>45423</v>
      </c>
      <c r="C56" s="252" t="str">
        <f t="shared" si="0"/>
        <v>May</v>
      </c>
      <c r="D56" s="252" t="str">
        <f t="shared" si="1"/>
        <v>2024</v>
      </c>
      <c r="E56" s="253">
        <v>0</v>
      </c>
      <c r="F56" s="254"/>
      <c r="G56" s="254"/>
      <c r="H56" s="254"/>
      <c r="I56" s="254"/>
      <c r="J56" s="254"/>
      <c r="K56" s="253">
        <f t="shared" si="2"/>
        <v>429640</v>
      </c>
      <c r="L56" s="255">
        <f t="shared" si="3"/>
        <v>3.2876712328767124E-4</v>
      </c>
      <c r="M56" s="253">
        <f t="shared" si="4"/>
        <v>141.25150684931506</v>
      </c>
    </row>
    <row r="57" spans="2:13" hidden="1" outlineLevel="1" x14ac:dyDescent="0.25">
      <c r="B57" s="251">
        <f t="shared" si="5"/>
        <v>45424</v>
      </c>
      <c r="C57" s="252" t="str">
        <f t="shared" si="0"/>
        <v>May</v>
      </c>
      <c r="D57" s="252" t="str">
        <f t="shared" si="1"/>
        <v>2024</v>
      </c>
      <c r="E57" s="253">
        <v>0</v>
      </c>
      <c r="F57" s="254"/>
      <c r="G57" s="254"/>
      <c r="H57" s="254"/>
      <c r="I57" s="254"/>
      <c r="J57" s="254"/>
      <c r="K57" s="253">
        <f t="shared" si="2"/>
        <v>429640</v>
      </c>
      <c r="L57" s="255">
        <f t="shared" si="3"/>
        <v>3.2876712328767124E-4</v>
      </c>
      <c r="M57" s="253">
        <f t="shared" si="4"/>
        <v>141.25150684931506</v>
      </c>
    </row>
    <row r="58" spans="2:13" hidden="1" outlineLevel="1" x14ac:dyDescent="0.25">
      <c r="B58" s="251">
        <f t="shared" si="5"/>
        <v>45425</v>
      </c>
      <c r="C58" s="252" t="str">
        <f t="shared" si="0"/>
        <v>May</v>
      </c>
      <c r="D58" s="252" t="str">
        <f t="shared" si="1"/>
        <v>2024</v>
      </c>
      <c r="E58" s="253">
        <v>-15000</v>
      </c>
      <c r="F58" s="254" t="s">
        <v>486</v>
      </c>
      <c r="G58" s="254" t="s">
        <v>914</v>
      </c>
      <c r="H58" s="254" t="s">
        <v>828</v>
      </c>
      <c r="I58" s="254" t="s">
        <v>915</v>
      </c>
      <c r="J58" s="254" t="s">
        <v>93</v>
      </c>
      <c r="K58" s="253">
        <f t="shared" si="2"/>
        <v>414640</v>
      </c>
      <c r="L58" s="255">
        <f t="shared" si="3"/>
        <v>3.2876712328767124E-4</v>
      </c>
      <c r="M58" s="253">
        <f t="shared" si="4"/>
        <v>136.32</v>
      </c>
    </row>
    <row r="59" spans="2:13" hidden="1" outlineLevel="1" x14ac:dyDescent="0.25">
      <c r="B59" s="251">
        <f t="shared" si="5"/>
        <v>45426</v>
      </c>
      <c r="C59" s="252" t="str">
        <f t="shared" si="0"/>
        <v>May</v>
      </c>
      <c r="D59" s="252" t="str">
        <f t="shared" si="1"/>
        <v>2024</v>
      </c>
      <c r="E59" s="253">
        <v>0</v>
      </c>
      <c r="F59" s="254"/>
      <c r="G59" s="254"/>
      <c r="H59" s="254"/>
      <c r="I59" s="254"/>
      <c r="J59" s="254"/>
      <c r="K59" s="253">
        <f t="shared" si="2"/>
        <v>414640</v>
      </c>
      <c r="L59" s="255">
        <f t="shared" si="3"/>
        <v>3.2876712328767124E-4</v>
      </c>
      <c r="M59" s="253">
        <f t="shared" si="4"/>
        <v>136.32</v>
      </c>
    </row>
    <row r="60" spans="2:13" hidden="1" outlineLevel="1" x14ac:dyDescent="0.25">
      <c r="B60" s="251">
        <f t="shared" si="5"/>
        <v>45427</v>
      </c>
      <c r="C60" s="252" t="str">
        <f t="shared" si="0"/>
        <v>May</v>
      </c>
      <c r="D60" s="252" t="str">
        <f t="shared" si="1"/>
        <v>2024</v>
      </c>
      <c r="E60" s="253">
        <v>0</v>
      </c>
      <c r="F60" s="254"/>
      <c r="G60" s="254"/>
      <c r="H60" s="254"/>
      <c r="I60" s="254"/>
      <c r="J60" s="254"/>
      <c r="K60" s="253">
        <f t="shared" si="2"/>
        <v>414640</v>
      </c>
      <c r="L60" s="255">
        <f t="shared" si="3"/>
        <v>3.2876712328767124E-4</v>
      </c>
      <c r="M60" s="253">
        <f t="shared" si="4"/>
        <v>136.32</v>
      </c>
    </row>
    <row r="61" spans="2:13" hidden="1" outlineLevel="1" x14ac:dyDescent="0.25">
      <c r="B61" s="251">
        <f t="shared" si="5"/>
        <v>45428</v>
      </c>
      <c r="C61" s="252" t="str">
        <f t="shared" si="0"/>
        <v>May</v>
      </c>
      <c r="D61" s="252" t="str">
        <f t="shared" si="1"/>
        <v>2024</v>
      </c>
      <c r="E61" s="253">
        <v>0</v>
      </c>
      <c r="F61" s="254"/>
      <c r="G61" s="254"/>
      <c r="H61" s="254"/>
      <c r="I61" s="254"/>
      <c r="J61" s="254"/>
      <c r="K61" s="253">
        <f t="shared" si="2"/>
        <v>414640</v>
      </c>
      <c r="L61" s="255">
        <f t="shared" si="3"/>
        <v>3.2876712328767124E-4</v>
      </c>
      <c r="M61" s="253">
        <f t="shared" si="4"/>
        <v>136.32</v>
      </c>
    </row>
    <row r="62" spans="2:13" hidden="1" outlineLevel="1" x14ac:dyDescent="0.25">
      <c r="B62" s="251">
        <f t="shared" si="5"/>
        <v>45429</v>
      </c>
      <c r="C62" s="252" t="str">
        <f t="shared" si="0"/>
        <v>May</v>
      </c>
      <c r="D62" s="252" t="str">
        <f t="shared" si="1"/>
        <v>2024</v>
      </c>
      <c r="E62" s="253">
        <v>100000</v>
      </c>
      <c r="F62" s="254" t="s">
        <v>728</v>
      </c>
      <c r="G62" s="254"/>
      <c r="H62" s="254" t="s">
        <v>911</v>
      </c>
      <c r="I62" s="254" t="s">
        <v>916</v>
      </c>
      <c r="J62" s="254" t="s">
        <v>54</v>
      </c>
      <c r="K62" s="253">
        <f t="shared" si="2"/>
        <v>514640</v>
      </c>
      <c r="L62" s="255">
        <f t="shared" si="3"/>
        <v>3.2876712328767124E-4</v>
      </c>
      <c r="M62" s="253">
        <f t="shared" si="4"/>
        <v>169.19671232876712</v>
      </c>
    </row>
    <row r="63" spans="2:13" hidden="1" outlineLevel="1" x14ac:dyDescent="0.25">
      <c r="B63" s="251">
        <f t="shared" si="5"/>
        <v>45430</v>
      </c>
      <c r="C63" s="252" t="str">
        <f t="shared" si="0"/>
        <v>May</v>
      </c>
      <c r="D63" s="252" t="str">
        <f t="shared" si="1"/>
        <v>2024</v>
      </c>
      <c r="E63" s="253">
        <v>0</v>
      </c>
      <c r="F63" s="254"/>
      <c r="G63" s="254"/>
      <c r="H63" s="254"/>
      <c r="I63" s="254"/>
      <c r="J63" s="254"/>
      <c r="K63" s="253">
        <f t="shared" si="2"/>
        <v>514640</v>
      </c>
      <c r="L63" s="255">
        <f t="shared" si="3"/>
        <v>3.2876712328767124E-4</v>
      </c>
      <c r="M63" s="253">
        <f t="shared" si="4"/>
        <v>169.19671232876712</v>
      </c>
    </row>
    <row r="64" spans="2:13" hidden="1" outlineLevel="1" x14ac:dyDescent="0.25">
      <c r="B64" s="251">
        <f t="shared" si="5"/>
        <v>45431</v>
      </c>
      <c r="C64" s="252" t="str">
        <f t="shared" si="0"/>
        <v>May</v>
      </c>
      <c r="D64" s="252" t="str">
        <f t="shared" si="1"/>
        <v>2024</v>
      </c>
      <c r="E64" s="253">
        <v>0</v>
      </c>
      <c r="F64" s="254"/>
      <c r="G64" s="254"/>
      <c r="H64" s="254"/>
      <c r="I64" s="254"/>
      <c r="J64" s="254"/>
      <c r="K64" s="253">
        <f t="shared" si="2"/>
        <v>514640</v>
      </c>
      <c r="L64" s="255">
        <f t="shared" si="3"/>
        <v>3.2876712328767124E-4</v>
      </c>
      <c r="M64" s="253">
        <f t="shared" si="4"/>
        <v>169.19671232876712</v>
      </c>
    </row>
    <row r="65" spans="2:13" hidden="1" outlineLevel="1" x14ac:dyDescent="0.25">
      <c r="B65" s="251">
        <f t="shared" si="5"/>
        <v>45432</v>
      </c>
      <c r="C65" s="252" t="str">
        <f t="shared" si="0"/>
        <v>May</v>
      </c>
      <c r="D65" s="252" t="str">
        <f t="shared" si="1"/>
        <v>2024</v>
      </c>
      <c r="E65" s="253">
        <v>0</v>
      </c>
      <c r="F65" s="254"/>
      <c r="G65" s="254"/>
      <c r="H65" s="254"/>
      <c r="I65" s="254"/>
      <c r="J65" s="254"/>
      <c r="K65" s="253">
        <f t="shared" si="2"/>
        <v>514640</v>
      </c>
      <c r="L65" s="255">
        <f t="shared" si="3"/>
        <v>3.2876712328767124E-4</v>
      </c>
      <c r="M65" s="253">
        <f t="shared" si="4"/>
        <v>169.19671232876712</v>
      </c>
    </row>
    <row r="66" spans="2:13" hidden="1" outlineLevel="1" x14ac:dyDescent="0.25">
      <c r="B66" s="251">
        <f t="shared" si="5"/>
        <v>45433</v>
      </c>
      <c r="C66" s="252" t="str">
        <f t="shared" si="0"/>
        <v>May</v>
      </c>
      <c r="D66" s="252" t="str">
        <f t="shared" si="1"/>
        <v>2024</v>
      </c>
      <c r="E66" s="253">
        <v>0</v>
      </c>
      <c r="F66" s="254"/>
      <c r="G66" s="254"/>
      <c r="H66" s="254"/>
      <c r="I66" s="254"/>
      <c r="J66" s="254"/>
      <c r="K66" s="253">
        <f t="shared" si="2"/>
        <v>514640</v>
      </c>
      <c r="L66" s="255">
        <f t="shared" si="3"/>
        <v>3.2876712328767124E-4</v>
      </c>
      <c r="M66" s="253">
        <f t="shared" si="4"/>
        <v>169.19671232876712</v>
      </c>
    </row>
    <row r="67" spans="2:13" hidden="1" outlineLevel="1" x14ac:dyDescent="0.25">
      <c r="B67" s="251">
        <f t="shared" si="5"/>
        <v>45434</v>
      </c>
      <c r="C67" s="252" t="str">
        <f t="shared" si="0"/>
        <v>May</v>
      </c>
      <c r="D67" s="252" t="str">
        <f t="shared" si="1"/>
        <v>2024</v>
      </c>
      <c r="E67" s="253">
        <v>0</v>
      </c>
      <c r="F67" s="254"/>
      <c r="G67" s="254"/>
      <c r="H67" s="254"/>
      <c r="I67" s="254"/>
      <c r="J67" s="254"/>
      <c r="K67" s="253">
        <f t="shared" si="2"/>
        <v>514640</v>
      </c>
      <c r="L67" s="255">
        <f t="shared" si="3"/>
        <v>3.2876712328767124E-4</v>
      </c>
      <c r="M67" s="253">
        <f t="shared" si="4"/>
        <v>169.19671232876712</v>
      </c>
    </row>
    <row r="68" spans="2:13" hidden="1" outlineLevel="1" x14ac:dyDescent="0.25">
      <c r="B68" s="251">
        <f t="shared" si="5"/>
        <v>45435</v>
      </c>
      <c r="C68" s="252" t="str">
        <f t="shared" si="0"/>
        <v>May</v>
      </c>
      <c r="D68" s="252" t="str">
        <f t="shared" si="1"/>
        <v>2024</v>
      </c>
      <c r="E68" s="253">
        <v>0</v>
      </c>
      <c r="F68" s="254"/>
      <c r="G68" s="254"/>
      <c r="H68" s="254"/>
      <c r="I68" s="254"/>
      <c r="J68" s="254"/>
      <c r="K68" s="253">
        <f t="shared" si="2"/>
        <v>514640</v>
      </c>
      <c r="L68" s="255">
        <f t="shared" si="3"/>
        <v>3.2876712328767124E-4</v>
      </c>
      <c r="M68" s="253">
        <f t="shared" si="4"/>
        <v>169.19671232876712</v>
      </c>
    </row>
    <row r="69" spans="2:13" hidden="1" outlineLevel="1" x14ac:dyDescent="0.25">
      <c r="B69" s="251">
        <f t="shared" si="5"/>
        <v>45436</v>
      </c>
      <c r="C69" s="252" t="str">
        <f t="shared" si="0"/>
        <v>May</v>
      </c>
      <c r="D69" s="252" t="str">
        <f t="shared" si="1"/>
        <v>2024</v>
      </c>
      <c r="E69" s="253">
        <v>0</v>
      </c>
      <c r="F69" s="254"/>
      <c r="G69" s="254"/>
      <c r="H69" s="254"/>
      <c r="I69" s="254"/>
      <c r="J69" s="254"/>
      <c r="K69" s="253">
        <f t="shared" si="2"/>
        <v>514640</v>
      </c>
      <c r="L69" s="255">
        <f t="shared" si="3"/>
        <v>3.2876712328767124E-4</v>
      </c>
      <c r="M69" s="253">
        <f t="shared" si="4"/>
        <v>169.19671232876712</v>
      </c>
    </row>
    <row r="70" spans="2:13" hidden="1" outlineLevel="1" x14ac:dyDescent="0.25">
      <c r="B70" s="251">
        <f t="shared" si="5"/>
        <v>45437</v>
      </c>
      <c r="C70" s="252" t="str">
        <f t="shared" si="0"/>
        <v>May</v>
      </c>
      <c r="D70" s="252" t="str">
        <f t="shared" si="1"/>
        <v>2024</v>
      </c>
      <c r="E70" s="253">
        <v>0</v>
      </c>
      <c r="F70" s="254"/>
      <c r="G70" s="254"/>
      <c r="H70" s="254"/>
      <c r="I70" s="254"/>
      <c r="J70" s="254"/>
      <c r="K70" s="253">
        <f t="shared" si="2"/>
        <v>514640</v>
      </c>
      <c r="L70" s="255">
        <f t="shared" si="3"/>
        <v>3.2876712328767124E-4</v>
      </c>
      <c r="M70" s="253">
        <f t="shared" si="4"/>
        <v>169.19671232876712</v>
      </c>
    </row>
    <row r="71" spans="2:13" hidden="1" outlineLevel="1" x14ac:dyDescent="0.25">
      <c r="B71" s="251">
        <f t="shared" si="5"/>
        <v>45438</v>
      </c>
      <c r="C71" s="252" t="str">
        <f t="shared" si="0"/>
        <v>May</v>
      </c>
      <c r="D71" s="252" t="str">
        <f t="shared" si="1"/>
        <v>2024</v>
      </c>
      <c r="E71" s="253">
        <v>0</v>
      </c>
      <c r="F71" s="254"/>
      <c r="G71" s="254"/>
      <c r="H71" s="254"/>
      <c r="I71" s="254"/>
      <c r="J71" s="254"/>
      <c r="K71" s="253">
        <f t="shared" si="2"/>
        <v>514640</v>
      </c>
      <c r="L71" s="255">
        <f t="shared" si="3"/>
        <v>3.2876712328767124E-4</v>
      </c>
      <c r="M71" s="253">
        <f t="shared" si="4"/>
        <v>169.19671232876712</v>
      </c>
    </row>
    <row r="72" spans="2:13" hidden="1" outlineLevel="1" x14ac:dyDescent="0.25">
      <c r="B72" s="251">
        <f t="shared" si="5"/>
        <v>45439</v>
      </c>
      <c r="C72" s="252" t="str">
        <f t="shared" ref="C72:C135" si="6">TEXT(B72,"mmm")</f>
        <v>May</v>
      </c>
      <c r="D72" s="252" t="str">
        <f t="shared" ref="D72:D135" si="7">TEXT(B72,"yyyy")</f>
        <v>2024</v>
      </c>
      <c r="E72" s="253">
        <v>0</v>
      </c>
      <c r="F72" s="254"/>
      <c r="G72" s="254"/>
      <c r="H72" s="254"/>
      <c r="I72" s="254"/>
      <c r="J72" s="254"/>
      <c r="K72" s="253">
        <f t="shared" ref="K72:K135" si="8">K71+E72</f>
        <v>514640</v>
      </c>
      <c r="L72" s="255">
        <f t="shared" ref="L72:L135" si="9">(0.12/365)</f>
        <v>3.2876712328767124E-4</v>
      </c>
      <c r="M72" s="253">
        <f t="shared" ref="M72:M135" si="10">K72*L72</f>
        <v>169.19671232876712</v>
      </c>
    </row>
    <row r="73" spans="2:13" hidden="1" outlineLevel="1" x14ac:dyDescent="0.25">
      <c r="B73" s="251">
        <f t="shared" si="5"/>
        <v>45440</v>
      </c>
      <c r="C73" s="252" t="str">
        <f t="shared" si="6"/>
        <v>May</v>
      </c>
      <c r="D73" s="252" t="str">
        <f t="shared" si="7"/>
        <v>2024</v>
      </c>
      <c r="E73" s="253">
        <v>0</v>
      </c>
      <c r="F73" s="254"/>
      <c r="G73" s="254"/>
      <c r="H73" s="254"/>
      <c r="I73" s="254"/>
      <c r="J73" s="254"/>
      <c r="K73" s="253">
        <f t="shared" si="8"/>
        <v>514640</v>
      </c>
      <c r="L73" s="255">
        <f t="shared" si="9"/>
        <v>3.2876712328767124E-4</v>
      </c>
      <c r="M73" s="253">
        <f t="shared" si="10"/>
        <v>169.19671232876712</v>
      </c>
    </row>
    <row r="74" spans="2:13" hidden="1" outlineLevel="1" x14ac:dyDescent="0.25">
      <c r="B74" s="251">
        <f t="shared" si="5"/>
        <v>45441</v>
      </c>
      <c r="C74" s="252" t="str">
        <f t="shared" si="6"/>
        <v>May</v>
      </c>
      <c r="D74" s="252" t="str">
        <f t="shared" si="7"/>
        <v>2024</v>
      </c>
      <c r="E74" s="253">
        <v>0</v>
      </c>
      <c r="F74" s="254"/>
      <c r="G74" s="254"/>
      <c r="H74" s="254"/>
      <c r="I74" s="254"/>
      <c r="J74" s="254"/>
      <c r="K74" s="253">
        <f t="shared" si="8"/>
        <v>514640</v>
      </c>
      <c r="L74" s="255">
        <f t="shared" si="9"/>
        <v>3.2876712328767124E-4</v>
      </c>
      <c r="M74" s="253">
        <f t="shared" si="10"/>
        <v>169.19671232876712</v>
      </c>
    </row>
    <row r="75" spans="2:13" hidden="1" outlineLevel="1" x14ac:dyDescent="0.25">
      <c r="B75" s="251">
        <f t="shared" ref="B75:B138" si="11">+B74+1</f>
        <v>45442</v>
      </c>
      <c r="C75" s="252" t="str">
        <f t="shared" si="6"/>
        <v>May</v>
      </c>
      <c r="D75" s="252" t="str">
        <f t="shared" si="7"/>
        <v>2024</v>
      </c>
      <c r="E75" s="253">
        <v>0</v>
      </c>
      <c r="F75" s="254"/>
      <c r="G75" s="254"/>
      <c r="H75" s="254"/>
      <c r="I75" s="254"/>
      <c r="J75" s="254"/>
      <c r="K75" s="253">
        <f t="shared" si="8"/>
        <v>514640</v>
      </c>
      <c r="L75" s="255">
        <f t="shared" si="9"/>
        <v>3.2876712328767124E-4</v>
      </c>
      <c r="M75" s="253">
        <f t="shared" si="10"/>
        <v>169.19671232876712</v>
      </c>
    </row>
    <row r="76" spans="2:13" hidden="1" outlineLevel="1" x14ac:dyDescent="0.25">
      <c r="B76" s="251">
        <f t="shared" si="11"/>
        <v>45443</v>
      </c>
      <c r="C76" s="252" t="str">
        <f t="shared" si="6"/>
        <v>May</v>
      </c>
      <c r="D76" s="252" t="str">
        <f t="shared" si="7"/>
        <v>2024</v>
      </c>
      <c r="E76" s="253">
        <v>0</v>
      </c>
      <c r="F76" s="254"/>
      <c r="G76" s="254"/>
      <c r="H76" s="254"/>
      <c r="I76" s="254"/>
      <c r="J76" s="254"/>
      <c r="K76" s="253">
        <f t="shared" si="8"/>
        <v>514640</v>
      </c>
      <c r="L76" s="255">
        <f t="shared" si="9"/>
        <v>3.2876712328767124E-4</v>
      </c>
      <c r="M76" s="253">
        <f t="shared" si="10"/>
        <v>169.19671232876712</v>
      </c>
    </row>
    <row r="77" spans="2:13" hidden="1" outlineLevel="1" x14ac:dyDescent="0.25">
      <c r="B77" s="251">
        <f t="shared" si="11"/>
        <v>45444</v>
      </c>
      <c r="C77" s="252" t="str">
        <f t="shared" si="6"/>
        <v>Jun</v>
      </c>
      <c r="D77" s="252" t="str">
        <f t="shared" si="7"/>
        <v>2024</v>
      </c>
      <c r="E77" s="253">
        <v>0</v>
      </c>
      <c r="F77" s="254"/>
      <c r="G77" s="254"/>
      <c r="H77" s="254"/>
      <c r="I77" s="254"/>
      <c r="J77" s="254"/>
      <c r="K77" s="253">
        <f t="shared" si="8"/>
        <v>514640</v>
      </c>
      <c r="L77" s="255">
        <f t="shared" si="9"/>
        <v>3.2876712328767124E-4</v>
      </c>
      <c r="M77" s="253">
        <f t="shared" si="10"/>
        <v>169.19671232876712</v>
      </c>
    </row>
    <row r="78" spans="2:13" hidden="1" outlineLevel="1" x14ac:dyDescent="0.25">
      <c r="B78" s="251">
        <f t="shared" si="11"/>
        <v>45445</v>
      </c>
      <c r="C78" s="252" t="str">
        <f t="shared" si="6"/>
        <v>Jun</v>
      </c>
      <c r="D78" s="252" t="str">
        <f t="shared" si="7"/>
        <v>2024</v>
      </c>
      <c r="E78" s="253">
        <v>0</v>
      </c>
      <c r="F78" s="254"/>
      <c r="G78" s="254"/>
      <c r="H78" s="254"/>
      <c r="I78" s="254"/>
      <c r="J78" s="254"/>
      <c r="K78" s="253">
        <f t="shared" si="8"/>
        <v>514640</v>
      </c>
      <c r="L78" s="255">
        <f t="shared" si="9"/>
        <v>3.2876712328767124E-4</v>
      </c>
      <c r="M78" s="253">
        <f t="shared" si="10"/>
        <v>169.19671232876712</v>
      </c>
    </row>
    <row r="79" spans="2:13" hidden="1" outlineLevel="1" x14ac:dyDescent="0.25">
      <c r="B79" s="251">
        <f t="shared" si="11"/>
        <v>45446</v>
      </c>
      <c r="C79" s="252" t="str">
        <f t="shared" si="6"/>
        <v>Jun</v>
      </c>
      <c r="D79" s="252" t="str">
        <f t="shared" si="7"/>
        <v>2024</v>
      </c>
      <c r="E79" s="253">
        <v>0</v>
      </c>
      <c r="F79" s="254"/>
      <c r="G79" s="254"/>
      <c r="H79" s="254"/>
      <c r="I79" s="254"/>
      <c r="J79" s="254"/>
      <c r="K79" s="253">
        <f t="shared" si="8"/>
        <v>514640</v>
      </c>
      <c r="L79" s="255">
        <f t="shared" si="9"/>
        <v>3.2876712328767124E-4</v>
      </c>
      <c r="M79" s="253">
        <f t="shared" si="10"/>
        <v>169.19671232876712</v>
      </c>
    </row>
    <row r="80" spans="2:13" hidden="1" outlineLevel="1" x14ac:dyDescent="0.25">
      <c r="B80" s="251">
        <f t="shared" si="11"/>
        <v>45447</v>
      </c>
      <c r="C80" s="252" t="str">
        <f t="shared" si="6"/>
        <v>Jun</v>
      </c>
      <c r="D80" s="252" t="str">
        <f t="shared" si="7"/>
        <v>2024</v>
      </c>
      <c r="E80" s="253">
        <v>0</v>
      </c>
      <c r="F80" s="254"/>
      <c r="G80" s="254"/>
      <c r="H80" s="254"/>
      <c r="I80" s="254"/>
      <c r="J80" s="254"/>
      <c r="K80" s="253">
        <f t="shared" si="8"/>
        <v>514640</v>
      </c>
      <c r="L80" s="255">
        <f t="shared" si="9"/>
        <v>3.2876712328767124E-4</v>
      </c>
      <c r="M80" s="253">
        <f t="shared" si="10"/>
        <v>169.19671232876712</v>
      </c>
    </row>
    <row r="81" spans="2:13" hidden="1" outlineLevel="1" x14ac:dyDescent="0.25">
      <c r="B81" s="251">
        <f t="shared" si="11"/>
        <v>45448</v>
      </c>
      <c r="C81" s="252" t="str">
        <f t="shared" si="6"/>
        <v>Jun</v>
      </c>
      <c r="D81" s="252" t="str">
        <f t="shared" si="7"/>
        <v>2024</v>
      </c>
      <c r="E81" s="253">
        <v>0</v>
      </c>
      <c r="F81" s="254"/>
      <c r="G81" s="254"/>
      <c r="H81" s="254"/>
      <c r="I81" s="254"/>
      <c r="J81" s="254"/>
      <c r="K81" s="253">
        <f t="shared" si="8"/>
        <v>514640</v>
      </c>
      <c r="L81" s="255">
        <f t="shared" si="9"/>
        <v>3.2876712328767124E-4</v>
      </c>
      <c r="M81" s="253">
        <f t="shared" si="10"/>
        <v>169.19671232876712</v>
      </c>
    </row>
    <row r="82" spans="2:13" hidden="1" outlineLevel="1" x14ac:dyDescent="0.25">
      <c r="B82" s="251">
        <f t="shared" si="11"/>
        <v>45449</v>
      </c>
      <c r="C82" s="252" t="str">
        <f t="shared" si="6"/>
        <v>Jun</v>
      </c>
      <c r="D82" s="252" t="str">
        <f t="shared" si="7"/>
        <v>2024</v>
      </c>
      <c r="E82" s="253">
        <v>0</v>
      </c>
      <c r="F82" s="254"/>
      <c r="G82" s="254"/>
      <c r="H82" s="254"/>
      <c r="I82" s="254"/>
      <c r="J82" s="254"/>
      <c r="K82" s="253">
        <f t="shared" si="8"/>
        <v>514640</v>
      </c>
      <c r="L82" s="255">
        <f t="shared" si="9"/>
        <v>3.2876712328767124E-4</v>
      </c>
      <c r="M82" s="253">
        <f t="shared" si="10"/>
        <v>169.19671232876712</v>
      </c>
    </row>
    <row r="83" spans="2:13" hidden="1" outlineLevel="1" x14ac:dyDescent="0.25">
      <c r="B83" s="251">
        <f t="shared" si="11"/>
        <v>45450</v>
      </c>
      <c r="C83" s="252" t="str">
        <f t="shared" si="6"/>
        <v>Jun</v>
      </c>
      <c r="D83" s="252" t="str">
        <f t="shared" si="7"/>
        <v>2024</v>
      </c>
      <c r="E83" s="253">
        <v>0</v>
      </c>
      <c r="F83" s="254"/>
      <c r="G83" s="254"/>
      <c r="H83" s="254"/>
      <c r="I83" s="254"/>
      <c r="J83" s="254"/>
      <c r="K83" s="253">
        <f t="shared" si="8"/>
        <v>514640</v>
      </c>
      <c r="L83" s="255">
        <f t="shared" si="9"/>
        <v>3.2876712328767124E-4</v>
      </c>
      <c r="M83" s="253">
        <f t="shared" si="10"/>
        <v>169.19671232876712</v>
      </c>
    </row>
    <row r="84" spans="2:13" hidden="1" outlineLevel="1" x14ac:dyDescent="0.25">
      <c r="B84" s="251">
        <f t="shared" si="11"/>
        <v>45451</v>
      </c>
      <c r="C84" s="252" t="str">
        <f t="shared" si="6"/>
        <v>Jun</v>
      </c>
      <c r="D84" s="252" t="str">
        <f t="shared" si="7"/>
        <v>2024</v>
      </c>
      <c r="E84" s="253">
        <v>0</v>
      </c>
      <c r="F84" s="254"/>
      <c r="G84" s="254"/>
      <c r="H84" s="254"/>
      <c r="I84" s="254"/>
      <c r="J84" s="254"/>
      <c r="K84" s="253">
        <f t="shared" si="8"/>
        <v>514640</v>
      </c>
      <c r="L84" s="255">
        <f t="shared" si="9"/>
        <v>3.2876712328767124E-4</v>
      </c>
      <c r="M84" s="253">
        <f t="shared" si="10"/>
        <v>169.19671232876712</v>
      </c>
    </row>
    <row r="85" spans="2:13" hidden="1" outlineLevel="1" x14ac:dyDescent="0.25">
      <c r="B85" s="251">
        <f t="shared" si="11"/>
        <v>45452</v>
      </c>
      <c r="C85" s="252" t="str">
        <f t="shared" si="6"/>
        <v>Jun</v>
      </c>
      <c r="D85" s="252" t="str">
        <f t="shared" si="7"/>
        <v>2024</v>
      </c>
      <c r="E85" s="253">
        <v>0</v>
      </c>
      <c r="F85" s="254"/>
      <c r="G85" s="254"/>
      <c r="H85" s="254"/>
      <c r="I85" s="254"/>
      <c r="J85" s="254"/>
      <c r="K85" s="253">
        <f t="shared" si="8"/>
        <v>514640</v>
      </c>
      <c r="L85" s="255">
        <f t="shared" si="9"/>
        <v>3.2876712328767124E-4</v>
      </c>
      <c r="M85" s="253">
        <f t="shared" si="10"/>
        <v>169.19671232876712</v>
      </c>
    </row>
    <row r="86" spans="2:13" hidden="1" outlineLevel="1" x14ac:dyDescent="0.25">
      <c r="B86" s="251">
        <f t="shared" si="11"/>
        <v>45453</v>
      </c>
      <c r="C86" s="252" t="str">
        <f t="shared" si="6"/>
        <v>Jun</v>
      </c>
      <c r="D86" s="252" t="str">
        <f t="shared" si="7"/>
        <v>2024</v>
      </c>
      <c r="E86" s="253">
        <v>0</v>
      </c>
      <c r="F86" s="254"/>
      <c r="G86" s="254"/>
      <c r="H86" s="254"/>
      <c r="I86" s="254"/>
      <c r="J86" s="254"/>
      <c r="K86" s="253">
        <f t="shared" si="8"/>
        <v>514640</v>
      </c>
      <c r="L86" s="255">
        <f t="shared" si="9"/>
        <v>3.2876712328767124E-4</v>
      </c>
      <c r="M86" s="253">
        <f t="shared" si="10"/>
        <v>169.19671232876712</v>
      </c>
    </row>
    <row r="87" spans="2:13" hidden="1" outlineLevel="1" x14ac:dyDescent="0.25">
      <c r="B87" s="251">
        <f t="shared" si="11"/>
        <v>45454</v>
      </c>
      <c r="C87" s="252" t="str">
        <f t="shared" si="6"/>
        <v>Jun</v>
      </c>
      <c r="D87" s="252" t="str">
        <f t="shared" si="7"/>
        <v>2024</v>
      </c>
      <c r="E87" s="253">
        <v>0</v>
      </c>
      <c r="F87" s="254"/>
      <c r="G87" s="254"/>
      <c r="H87" s="254"/>
      <c r="I87" s="254"/>
      <c r="J87" s="254"/>
      <c r="K87" s="253">
        <f t="shared" si="8"/>
        <v>514640</v>
      </c>
      <c r="L87" s="255">
        <f t="shared" si="9"/>
        <v>3.2876712328767124E-4</v>
      </c>
      <c r="M87" s="253">
        <f t="shared" si="10"/>
        <v>169.19671232876712</v>
      </c>
    </row>
    <row r="88" spans="2:13" hidden="1" outlineLevel="1" x14ac:dyDescent="0.25">
      <c r="B88" s="251">
        <f t="shared" si="11"/>
        <v>45455</v>
      </c>
      <c r="C88" s="252" t="str">
        <f t="shared" si="6"/>
        <v>Jun</v>
      </c>
      <c r="D88" s="252" t="str">
        <f t="shared" si="7"/>
        <v>2024</v>
      </c>
      <c r="E88" s="253">
        <v>0</v>
      </c>
      <c r="F88" s="254"/>
      <c r="G88" s="254"/>
      <c r="H88" s="254"/>
      <c r="I88" s="254"/>
      <c r="J88" s="254"/>
      <c r="K88" s="253">
        <f t="shared" si="8"/>
        <v>514640</v>
      </c>
      <c r="L88" s="255">
        <f t="shared" si="9"/>
        <v>3.2876712328767124E-4</v>
      </c>
      <c r="M88" s="253">
        <f t="shared" si="10"/>
        <v>169.19671232876712</v>
      </c>
    </row>
    <row r="89" spans="2:13" hidden="1" outlineLevel="1" x14ac:dyDescent="0.25">
      <c r="B89" s="251">
        <f t="shared" si="11"/>
        <v>45456</v>
      </c>
      <c r="C89" s="252" t="str">
        <f t="shared" si="6"/>
        <v>Jun</v>
      </c>
      <c r="D89" s="252" t="str">
        <f t="shared" si="7"/>
        <v>2024</v>
      </c>
      <c r="E89" s="253">
        <v>0</v>
      </c>
      <c r="F89" s="254"/>
      <c r="G89" s="254"/>
      <c r="H89" s="254"/>
      <c r="I89" s="254"/>
      <c r="J89" s="254"/>
      <c r="K89" s="253">
        <f t="shared" si="8"/>
        <v>514640</v>
      </c>
      <c r="L89" s="255">
        <f t="shared" si="9"/>
        <v>3.2876712328767124E-4</v>
      </c>
      <c r="M89" s="253">
        <f t="shared" si="10"/>
        <v>169.19671232876712</v>
      </c>
    </row>
    <row r="90" spans="2:13" hidden="1" outlineLevel="1" x14ac:dyDescent="0.25">
      <c r="B90" s="251">
        <f t="shared" si="11"/>
        <v>45457</v>
      </c>
      <c r="C90" s="252" t="str">
        <f t="shared" si="6"/>
        <v>Jun</v>
      </c>
      <c r="D90" s="252" t="str">
        <f t="shared" si="7"/>
        <v>2024</v>
      </c>
      <c r="E90" s="253">
        <v>0</v>
      </c>
      <c r="F90" s="254"/>
      <c r="G90" s="254"/>
      <c r="H90" s="254"/>
      <c r="I90" s="254"/>
      <c r="J90" s="254"/>
      <c r="K90" s="253">
        <f t="shared" si="8"/>
        <v>514640</v>
      </c>
      <c r="L90" s="255">
        <f t="shared" si="9"/>
        <v>3.2876712328767124E-4</v>
      </c>
      <c r="M90" s="253">
        <f t="shared" si="10"/>
        <v>169.19671232876712</v>
      </c>
    </row>
    <row r="91" spans="2:13" hidden="1" outlineLevel="1" x14ac:dyDescent="0.25">
      <c r="B91" s="251">
        <f t="shared" si="11"/>
        <v>45458</v>
      </c>
      <c r="C91" s="252" t="str">
        <f t="shared" si="6"/>
        <v>Jun</v>
      </c>
      <c r="D91" s="252" t="str">
        <f t="shared" si="7"/>
        <v>2024</v>
      </c>
      <c r="E91" s="253">
        <v>0</v>
      </c>
      <c r="F91" s="254"/>
      <c r="G91" s="254"/>
      <c r="H91" s="254"/>
      <c r="I91" s="254"/>
      <c r="J91" s="254"/>
      <c r="K91" s="253">
        <f t="shared" si="8"/>
        <v>514640</v>
      </c>
      <c r="L91" s="255">
        <f t="shared" si="9"/>
        <v>3.2876712328767124E-4</v>
      </c>
      <c r="M91" s="253">
        <f t="shared" si="10"/>
        <v>169.19671232876712</v>
      </c>
    </row>
    <row r="92" spans="2:13" hidden="1" outlineLevel="1" x14ac:dyDescent="0.25">
      <c r="B92" s="251">
        <f t="shared" si="11"/>
        <v>45459</v>
      </c>
      <c r="C92" s="252" t="str">
        <f t="shared" si="6"/>
        <v>Jun</v>
      </c>
      <c r="D92" s="252" t="str">
        <f t="shared" si="7"/>
        <v>2024</v>
      </c>
      <c r="E92" s="253">
        <v>0</v>
      </c>
      <c r="F92" s="254"/>
      <c r="G92" s="254"/>
      <c r="H92" s="254"/>
      <c r="I92" s="254"/>
      <c r="J92" s="254"/>
      <c r="K92" s="253">
        <f t="shared" si="8"/>
        <v>514640</v>
      </c>
      <c r="L92" s="255">
        <f t="shared" si="9"/>
        <v>3.2876712328767124E-4</v>
      </c>
      <c r="M92" s="253">
        <f t="shared" si="10"/>
        <v>169.19671232876712</v>
      </c>
    </row>
    <row r="93" spans="2:13" hidden="1" outlineLevel="1" x14ac:dyDescent="0.25">
      <c r="B93" s="251">
        <f t="shared" si="11"/>
        <v>45460</v>
      </c>
      <c r="C93" s="252" t="str">
        <f t="shared" si="6"/>
        <v>Jun</v>
      </c>
      <c r="D93" s="252" t="str">
        <f t="shared" si="7"/>
        <v>2024</v>
      </c>
      <c r="E93" s="253">
        <v>0</v>
      </c>
      <c r="F93" s="254"/>
      <c r="G93" s="254"/>
      <c r="H93" s="254"/>
      <c r="I93" s="254"/>
      <c r="J93" s="254"/>
      <c r="K93" s="253">
        <f t="shared" si="8"/>
        <v>514640</v>
      </c>
      <c r="L93" s="255">
        <f t="shared" si="9"/>
        <v>3.2876712328767124E-4</v>
      </c>
      <c r="M93" s="253">
        <f t="shared" si="10"/>
        <v>169.19671232876712</v>
      </c>
    </row>
    <row r="94" spans="2:13" hidden="1" outlineLevel="1" x14ac:dyDescent="0.25">
      <c r="B94" s="251">
        <f t="shared" si="11"/>
        <v>45461</v>
      </c>
      <c r="C94" s="252" t="str">
        <f t="shared" si="6"/>
        <v>Jun</v>
      </c>
      <c r="D94" s="252" t="str">
        <f t="shared" si="7"/>
        <v>2024</v>
      </c>
      <c r="E94" s="253">
        <v>0</v>
      </c>
      <c r="F94" s="254"/>
      <c r="G94" s="254"/>
      <c r="H94" s="254"/>
      <c r="I94" s="254"/>
      <c r="J94" s="254"/>
      <c r="K94" s="253">
        <f t="shared" si="8"/>
        <v>514640</v>
      </c>
      <c r="L94" s="255">
        <f t="shared" si="9"/>
        <v>3.2876712328767124E-4</v>
      </c>
      <c r="M94" s="253">
        <f t="shared" si="10"/>
        <v>169.19671232876712</v>
      </c>
    </row>
    <row r="95" spans="2:13" hidden="1" outlineLevel="1" x14ac:dyDescent="0.25">
      <c r="B95" s="251">
        <f t="shared" si="11"/>
        <v>45462</v>
      </c>
      <c r="C95" s="252" t="str">
        <f t="shared" si="6"/>
        <v>Jun</v>
      </c>
      <c r="D95" s="252" t="str">
        <f t="shared" si="7"/>
        <v>2024</v>
      </c>
      <c r="E95" s="253">
        <v>0</v>
      </c>
      <c r="F95" s="254"/>
      <c r="G95" s="254"/>
      <c r="H95" s="254"/>
      <c r="I95" s="254"/>
      <c r="J95" s="254"/>
      <c r="K95" s="253">
        <f t="shared" si="8"/>
        <v>514640</v>
      </c>
      <c r="L95" s="255">
        <f t="shared" si="9"/>
        <v>3.2876712328767124E-4</v>
      </c>
      <c r="M95" s="253">
        <f t="shared" si="10"/>
        <v>169.19671232876712</v>
      </c>
    </row>
    <row r="96" spans="2:13" hidden="1" outlineLevel="1" x14ac:dyDescent="0.25">
      <c r="B96" s="251">
        <f t="shared" si="11"/>
        <v>45463</v>
      </c>
      <c r="C96" s="252" t="str">
        <f t="shared" si="6"/>
        <v>Jun</v>
      </c>
      <c r="D96" s="252" t="str">
        <f t="shared" si="7"/>
        <v>2024</v>
      </c>
      <c r="E96" s="253">
        <v>0</v>
      </c>
      <c r="F96" s="254"/>
      <c r="G96" s="254"/>
      <c r="H96" s="254"/>
      <c r="I96" s="254"/>
      <c r="J96" s="254"/>
      <c r="K96" s="253">
        <f t="shared" si="8"/>
        <v>514640</v>
      </c>
      <c r="L96" s="255">
        <f t="shared" si="9"/>
        <v>3.2876712328767124E-4</v>
      </c>
      <c r="M96" s="253">
        <f t="shared" si="10"/>
        <v>169.19671232876712</v>
      </c>
    </row>
    <row r="97" spans="2:13" hidden="1" outlineLevel="1" x14ac:dyDescent="0.25">
      <c r="B97" s="251">
        <f t="shared" si="11"/>
        <v>45464</v>
      </c>
      <c r="C97" s="252" t="str">
        <f t="shared" si="6"/>
        <v>Jun</v>
      </c>
      <c r="D97" s="252" t="str">
        <f t="shared" si="7"/>
        <v>2024</v>
      </c>
      <c r="E97" s="253">
        <v>0</v>
      </c>
      <c r="F97" s="254"/>
      <c r="G97" s="254"/>
      <c r="H97" s="254"/>
      <c r="I97" s="254"/>
      <c r="J97" s="254"/>
      <c r="K97" s="253">
        <f t="shared" si="8"/>
        <v>514640</v>
      </c>
      <c r="L97" s="255">
        <f t="shared" si="9"/>
        <v>3.2876712328767124E-4</v>
      </c>
      <c r="M97" s="253">
        <f t="shared" si="10"/>
        <v>169.19671232876712</v>
      </c>
    </row>
    <row r="98" spans="2:13" hidden="1" outlineLevel="1" x14ac:dyDescent="0.25">
      <c r="B98" s="251">
        <f t="shared" si="11"/>
        <v>45465</v>
      </c>
      <c r="C98" s="252" t="str">
        <f t="shared" si="6"/>
        <v>Jun</v>
      </c>
      <c r="D98" s="252" t="str">
        <f t="shared" si="7"/>
        <v>2024</v>
      </c>
      <c r="E98" s="253">
        <v>0</v>
      </c>
      <c r="F98" s="254"/>
      <c r="G98" s="254"/>
      <c r="H98" s="254"/>
      <c r="I98" s="254"/>
      <c r="J98" s="254"/>
      <c r="K98" s="253">
        <f t="shared" si="8"/>
        <v>514640</v>
      </c>
      <c r="L98" s="255">
        <f t="shared" si="9"/>
        <v>3.2876712328767124E-4</v>
      </c>
      <c r="M98" s="253">
        <f t="shared" si="10"/>
        <v>169.19671232876712</v>
      </c>
    </row>
    <row r="99" spans="2:13" hidden="1" outlineLevel="1" x14ac:dyDescent="0.25">
      <c r="B99" s="251">
        <f t="shared" si="11"/>
        <v>45466</v>
      </c>
      <c r="C99" s="252" t="str">
        <f t="shared" si="6"/>
        <v>Jun</v>
      </c>
      <c r="D99" s="252" t="str">
        <f t="shared" si="7"/>
        <v>2024</v>
      </c>
      <c r="E99" s="253">
        <v>0</v>
      </c>
      <c r="F99" s="254"/>
      <c r="G99" s="254"/>
      <c r="H99" s="254"/>
      <c r="I99" s="254"/>
      <c r="J99" s="254"/>
      <c r="K99" s="253">
        <f t="shared" si="8"/>
        <v>514640</v>
      </c>
      <c r="L99" s="255">
        <f t="shared" si="9"/>
        <v>3.2876712328767124E-4</v>
      </c>
      <c r="M99" s="253">
        <f t="shared" si="10"/>
        <v>169.19671232876712</v>
      </c>
    </row>
    <row r="100" spans="2:13" hidden="1" outlineLevel="1" x14ac:dyDescent="0.25">
      <c r="B100" s="251">
        <f t="shared" si="11"/>
        <v>45467</v>
      </c>
      <c r="C100" s="252" t="str">
        <f t="shared" si="6"/>
        <v>Jun</v>
      </c>
      <c r="D100" s="252" t="str">
        <f t="shared" si="7"/>
        <v>2024</v>
      </c>
      <c r="E100" s="253">
        <v>0</v>
      </c>
      <c r="F100" s="254"/>
      <c r="G100" s="254"/>
      <c r="H100" s="254"/>
      <c r="I100" s="254"/>
      <c r="J100" s="254"/>
      <c r="K100" s="253">
        <f t="shared" si="8"/>
        <v>514640</v>
      </c>
      <c r="L100" s="255">
        <f t="shared" si="9"/>
        <v>3.2876712328767124E-4</v>
      </c>
      <c r="M100" s="253">
        <f t="shared" si="10"/>
        <v>169.19671232876712</v>
      </c>
    </row>
    <row r="101" spans="2:13" hidden="1" outlineLevel="1" x14ac:dyDescent="0.25">
      <c r="B101" s="251">
        <f t="shared" si="11"/>
        <v>45468</v>
      </c>
      <c r="C101" s="252" t="str">
        <f t="shared" si="6"/>
        <v>Jun</v>
      </c>
      <c r="D101" s="252" t="str">
        <f t="shared" si="7"/>
        <v>2024</v>
      </c>
      <c r="E101" s="253">
        <v>0</v>
      </c>
      <c r="F101" s="254"/>
      <c r="G101" s="254"/>
      <c r="H101" s="254"/>
      <c r="I101" s="254"/>
      <c r="J101" s="254"/>
      <c r="K101" s="253">
        <f t="shared" si="8"/>
        <v>514640</v>
      </c>
      <c r="L101" s="255">
        <f t="shared" si="9"/>
        <v>3.2876712328767124E-4</v>
      </c>
      <c r="M101" s="253">
        <f t="shared" si="10"/>
        <v>169.19671232876712</v>
      </c>
    </row>
    <row r="102" spans="2:13" hidden="1" outlineLevel="1" x14ac:dyDescent="0.25">
      <c r="B102" s="251">
        <f t="shared" si="11"/>
        <v>45469</v>
      </c>
      <c r="C102" s="252" t="str">
        <f t="shared" si="6"/>
        <v>Jun</v>
      </c>
      <c r="D102" s="252" t="str">
        <f t="shared" si="7"/>
        <v>2024</v>
      </c>
      <c r="E102" s="253">
        <v>0</v>
      </c>
      <c r="F102" s="254"/>
      <c r="G102" s="254"/>
      <c r="H102" s="254"/>
      <c r="I102" s="254"/>
      <c r="J102" s="254"/>
      <c r="K102" s="253">
        <f t="shared" si="8"/>
        <v>514640</v>
      </c>
      <c r="L102" s="255">
        <f t="shared" si="9"/>
        <v>3.2876712328767124E-4</v>
      </c>
      <c r="M102" s="253">
        <f t="shared" si="10"/>
        <v>169.19671232876712</v>
      </c>
    </row>
    <row r="103" spans="2:13" hidden="1" outlineLevel="1" x14ac:dyDescent="0.25">
      <c r="B103" s="251">
        <f t="shared" si="11"/>
        <v>45470</v>
      </c>
      <c r="C103" s="252" t="str">
        <f t="shared" si="6"/>
        <v>Jun</v>
      </c>
      <c r="D103" s="252" t="str">
        <f t="shared" si="7"/>
        <v>2024</v>
      </c>
      <c r="E103" s="253">
        <v>0</v>
      </c>
      <c r="F103" s="254"/>
      <c r="G103" s="254"/>
      <c r="H103" s="254"/>
      <c r="I103" s="254"/>
      <c r="J103" s="254"/>
      <c r="K103" s="253">
        <f t="shared" si="8"/>
        <v>514640</v>
      </c>
      <c r="L103" s="255">
        <f t="shared" si="9"/>
        <v>3.2876712328767124E-4</v>
      </c>
      <c r="M103" s="253">
        <f t="shared" si="10"/>
        <v>169.19671232876712</v>
      </c>
    </row>
    <row r="104" spans="2:13" hidden="1" outlineLevel="1" x14ac:dyDescent="0.25">
      <c r="B104" s="251">
        <f t="shared" si="11"/>
        <v>45471</v>
      </c>
      <c r="C104" s="252" t="str">
        <f t="shared" si="6"/>
        <v>Jun</v>
      </c>
      <c r="D104" s="252" t="str">
        <f t="shared" si="7"/>
        <v>2024</v>
      </c>
      <c r="E104" s="253">
        <v>0</v>
      </c>
      <c r="F104" s="254"/>
      <c r="G104" s="254"/>
      <c r="H104" s="254"/>
      <c r="I104" s="254"/>
      <c r="J104" s="254"/>
      <c r="K104" s="253">
        <f t="shared" si="8"/>
        <v>514640</v>
      </c>
      <c r="L104" s="255">
        <f t="shared" si="9"/>
        <v>3.2876712328767124E-4</v>
      </c>
      <c r="M104" s="253">
        <f t="shared" si="10"/>
        <v>169.19671232876712</v>
      </c>
    </row>
    <row r="105" spans="2:13" hidden="1" outlineLevel="1" x14ac:dyDescent="0.25">
      <c r="B105" s="251">
        <f t="shared" si="11"/>
        <v>45472</v>
      </c>
      <c r="C105" s="252" t="str">
        <f t="shared" si="6"/>
        <v>Jun</v>
      </c>
      <c r="D105" s="252" t="str">
        <f t="shared" si="7"/>
        <v>2024</v>
      </c>
      <c r="E105" s="253">
        <v>0</v>
      </c>
      <c r="F105" s="254"/>
      <c r="G105" s="254"/>
      <c r="H105" s="254"/>
      <c r="I105" s="254"/>
      <c r="J105" s="254"/>
      <c r="K105" s="253">
        <f t="shared" si="8"/>
        <v>514640</v>
      </c>
      <c r="L105" s="255">
        <f t="shared" si="9"/>
        <v>3.2876712328767124E-4</v>
      </c>
      <c r="M105" s="253">
        <f t="shared" si="10"/>
        <v>169.19671232876712</v>
      </c>
    </row>
    <row r="106" spans="2:13" hidden="1" outlineLevel="1" x14ac:dyDescent="0.25">
      <c r="B106" s="251">
        <f t="shared" si="11"/>
        <v>45473</v>
      </c>
      <c r="C106" s="252" t="str">
        <f t="shared" si="6"/>
        <v>Jun</v>
      </c>
      <c r="D106" s="252" t="str">
        <f t="shared" si="7"/>
        <v>2024</v>
      </c>
      <c r="E106" s="253">
        <v>0</v>
      </c>
      <c r="F106" s="254"/>
      <c r="G106" s="254"/>
      <c r="H106" s="254"/>
      <c r="I106" s="254"/>
      <c r="J106" s="254"/>
      <c r="K106" s="253">
        <f t="shared" si="8"/>
        <v>514640</v>
      </c>
      <c r="L106" s="255">
        <f t="shared" si="9"/>
        <v>3.2876712328767124E-4</v>
      </c>
      <c r="M106" s="253">
        <f t="shared" si="10"/>
        <v>169.19671232876712</v>
      </c>
    </row>
    <row r="107" spans="2:13" hidden="1" outlineLevel="1" x14ac:dyDescent="0.25">
      <c r="B107" s="251">
        <f t="shared" si="11"/>
        <v>45474</v>
      </c>
      <c r="C107" s="252" t="str">
        <f t="shared" si="6"/>
        <v>Jul</v>
      </c>
      <c r="D107" s="252" t="str">
        <f t="shared" si="7"/>
        <v>2024</v>
      </c>
      <c r="E107" s="253">
        <v>0</v>
      </c>
      <c r="F107" s="254"/>
      <c r="G107" s="254"/>
      <c r="H107" s="254"/>
      <c r="I107" s="254"/>
      <c r="J107" s="254"/>
      <c r="K107" s="253">
        <f t="shared" si="8"/>
        <v>514640</v>
      </c>
      <c r="L107" s="255">
        <f t="shared" si="9"/>
        <v>3.2876712328767124E-4</v>
      </c>
      <c r="M107" s="253">
        <f t="shared" si="10"/>
        <v>169.19671232876712</v>
      </c>
    </row>
    <row r="108" spans="2:13" hidden="1" outlineLevel="1" x14ac:dyDescent="0.25">
      <c r="B108" s="251">
        <f t="shared" si="11"/>
        <v>45475</v>
      </c>
      <c r="C108" s="252" t="str">
        <f t="shared" si="6"/>
        <v>Jul</v>
      </c>
      <c r="D108" s="252" t="str">
        <f t="shared" si="7"/>
        <v>2024</v>
      </c>
      <c r="E108" s="253">
        <v>8000</v>
      </c>
      <c r="F108" s="254" t="s">
        <v>728</v>
      </c>
      <c r="G108" s="254"/>
      <c r="H108" s="254" t="s">
        <v>917</v>
      </c>
      <c r="I108" s="254" t="s">
        <v>918</v>
      </c>
      <c r="J108" s="254" t="s">
        <v>54</v>
      </c>
      <c r="K108" s="253">
        <f t="shared" si="8"/>
        <v>522640</v>
      </c>
      <c r="L108" s="255">
        <f t="shared" si="9"/>
        <v>3.2876712328767124E-4</v>
      </c>
      <c r="M108" s="253">
        <f t="shared" si="10"/>
        <v>171.8268493150685</v>
      </c>
    </row>
    <row r="109" spans="2:13" hidden="1" outlineLevel="1" x14ac:dyDescent="0.25">
      <c r="B109" s="251">
        <f t="shared" si="11"/>
        <v>45476</v>
      </c>
      <c r="C109" s="252" t="str">
        <f t="shared" si="6"/>
        <v>Jul</v>
      </c>
      <c r="D109" s="252" t="str">
        <f t="shared" si="7"/>
        <v>2024</v>
      </c>
      <c r="E109" s="253">
        <v>65000</v>
      </c>
      <c r="F109" s="254" t="s">
        <v>728</v>
      </c>
      <c r="G109" s="254"/>
      <c r="H109" s="254" t="s">
        <v>911</v>
      </c>
      <c r="I109" s="254" t="s">
        <v>916</v>
      </c>
      <c r="J109" s="254" t="s">
        <v>54</v>
      </c>
      <c r="K109" s="253">
        <f t="shared" si="8"/>
        <v>587640</v>
      </c>
      <c r="L109" s="255">
        <f t="shared" si="9"/>
        <v>3.2876712328767124E-4</v>
      </c>
      <c r="M109" s="253">
        <f t="shared" si="10"/>
        <v>193.19671232876712</v>
      </c>
    </row>
    <row r="110" spans="2:13" hidden="1" outlineLevel="1" x14ac:dyDescent="0.25">
      <c r="B110" s="251">
        <f t="shared" si="11"/>
        <v>45477</v>
      </c>
      <c r="C110" s="252" t="str">
        <f t="shared" si="6"/>
        <v>Jul</v>
      </c>
      <c r="D110" s="252" t="str">
        <f t="shared" si="7"/>
        <v>2024</v>
      </c>
      <c r="E110" s="253">
        <v>0</v>
      </c>
      <c r="F110" s="254"/>
      <c r="G110" s="254"/>
      <c r="H110" s="254"/>
      <c r="I110" s="254"/>
      <c r="J110" s="254"/>
      <c r="K110" s="253">
        <f t="shared" si="8"/>
        <v>587640</v>
      </c>
      <c r="L110" s="255">
        <f t="shared" si="9"/>
        <v>3.2876712328767124E-4</v>
      </c>
      <c r="M110" s="253">
        <f t="shared" si="10"/>
        <v>193.19671232876712</v>
      </c>
    </row>
    <row r="111" spans="2:13" hidden="1" outlineLevel="1" x14ac:dyDescent="0.25">
      <c r="B111" s="251">
        <f t="shared" si="11"/>
        <v>45478</v>
      </c>
      <c r="C111" s="252" t="str">
        <f t="shared" si="6"/>
        <v>Jul</v>
      </c>
      <c r="D111" s="252" t="str">
        <f t="shared" si="7"/>
        <v>2024</v>
      </c>
      <c r="E111" s="253">
        <v>0</v>
      </c>
      <c r="F111" s="254"/>
      <c r="G111" s="254"/>
      <c r="H111" s="254"/>
      <c r="I111" s="254"/>
      <c r="J111" s="254"/>
      <c r="K111" s="253">
        <f t="shared" si="8"/>
        <v>587640</v>
      </c>
      <c r="L111" s="255">
        <f t="shared" si="9"/>
        <v>3.2876712328767124E-4</v>
      </c>
      <c r="M111" s="253">
        <f t="shared" si="10"/>
        <v>193.19671232876712</v>
      </c>
    </row>
    <row r="112" spans="2:13" hidden="1" outlineLevel="1" x14ac:dyDescent="0.25">
      <c r="B112" s="251">
        <f t="shared" si="11"/>
        <v>45479</v>
      </c>
      <c r="C112" s="252" t="str">
        <f t="shared" si="6"/>
        <v>Jul</v>
      </c>
      <c r="D112" s="252" t="str">
        <f t="shared" si="7"/>
        <v>2024</v>
      </c>
      <c r="E112" s="253">
        <v>0</v>
      </c>
      <c r="F112" s="254"/>
      <c r="G112" s="254"/>
      <c r="H112" s="254"/>
      <c r="I112" s="254"/>
      <c r="J112" s="254"/>
      <c r="K112" s="253">
        <f t="shared" si="8"/>
        <v>587640</v>
      </c>
      <c r="L112" s="255">
        <f t="shared" si="9"/>
        <v>3.2876712328767124E-4</v>
      </c>
      <c r="M112" s="253">
        <f t="shared" si="10"/>
        <v>193.19671232876712</v>
      </c>
    </row>
    <row r="113" spans="2:13" hidden="1" outlineLevel="1" x14ac:dyDescent="0.25">
      <c r="B113" s="251">
        <f t="shared" si="11"/>
        <v>45480</v>
      </c>
      <c r="C113" s="252" t="str">
        <f t="shared" si="6"/>
        <v>Jul</v>
      </c>
      <c r="D113" s="252" t="str">
        <f t="shared" si="7"/>
        <v>2024</v>
      </c>
      <c r="E113" s="253">
        <v>0</v>
      </c>
      <c r="F113" s="254"/>
      <c r="G113" s="254"/>
      <c r="H113" s="254"/>
      <c r="I113" s="254"/>
      <c r="J113" s="254"/>
      <c r="K113" s="253">
        <f t="shared" si="8"/>
        <v>587640</v>
      </c>
      <c r="L113" s="255">
        <f t="shared" si="9"/>
        <v>3.2876712328767124E-4</v>
      </c>
      <c r="M113" s="253">
        <f t="shared" si="10"/>
        <v>193.19671232876712</v>
      </c>
    </row>
    <row r="114" spans="2:13" hidden="1" outlineLevel="1" x14ac:dyDescent="0.25">
      <c r="B114" s="251">
        <f t="shared" si="11"/>
        <v>45481</v>
      </c>
      <c r="C114" s="252" t="str">
        <f t="shared" si="6"/>
        <v>Jul</v>
      </c>
      <c r="D114" s="252" t="str">
        <f t="shared" si="7"/>
        <v>2024</v>
      </c>
      <c r="E114" s="253">
        <v>0</v>
      </c>
      <c r="F114" s="254"/>
      <c r="G114" s="254"/>
      <c r="H114" s="254"/>
      <c r="I114" s="254"/>
      <c r="J114" s="254"/>
      <c r="K114" s="253">
        <f t="shared" si="8"/>
        <v>587640</v>
      </c>
      <c r="L114" s="255">
        <f t="shared" si="9"/>
        <v>3.2876712328767124E-4</v>
      </c>
      <c r="M114" s="253">
        <f t="shared" si="10"/>
        <v>193.19671232876712</v>
      </c>
    </row>
    <row r="115" spans="2:13" hidden="1" outlineLevel="1" x14ac:dyDescent="0.25">
      <c r="B115" s="251">
        <f t="shared" si="11"/>
        <v>45482</v>
      </c>
      <c r="C115" s="252" t="str">
        <f t="shared" si="6"/>
        <v>Jul</v>
      </c>
      <c r="D115" s="252" t="str">
        <f t="shared" si="7"/>
        <v>2024</v>
      </c>
      <c r="E115" s="253">
        <v>0</v>
      </c>
      <c r="F115" s="254"/>
      <c r="G115" s="254"/>
      <c r="H115" s="254"/>
      <c r="I115" s="254"/>
      <c r="J115" s="254"/>
      <c r="K115" s="253">
        <f t="shared" si="8"/>
        <v>587640</v>
      </c>
      <c r="L115" s="255">
        <f t="shared" si="9"/>
        <v>3.2876712328767124E-4</v>
      </c>
      <c r="M115" s="253">
        <f t="shared" si="10"/>
        <v>193.19671232876712</v>
      </c>
    </row>
    <row r="116" spans="2:13" hidden="1" outlineLevel="1" x14ac:dyDescent="0.25">
      <c r="B116" s="251">
        <f t="shared" si="11"/>
        <v>45483</v>
      </c>
      <c r="C116" s="252" t="str">
        <f t="shared" si="6"/>
        <v>Jul</v>
      </c>
      <c r="D116" s="252" t="str">
        <f t="shared" si="7"/>
        <v>2024</v>
      </c>
      <c r="E116" s="253">
        <v>0</v>
      </c>
      <c r="F116" s="254"/>
      <c r="G116" s="254"/>
      <c r="H116" s="254"/>
      <c r="I116" s="254"/>
      <c r="J116" s="254"/>
      <c r="K116" s="253">
        <f t="shared" si="8"/>
        <v>587640</v>
      </c>
      <c r="L116" s="255">
        <f t="shared" si="9"/>
        <v>3.2876712328767124E-4</v>
      </c>
      <c r="M116" s="253">
        <f t="shared" si="10"/>
        <v>193.19671232876712</v>
      </c>
    </row>
    <row r="117" spans="2:13" hidden="1" outlineLevel="1" x14ac:dyDescent="0.25">
      <c r="B117" s="251">
        <f t="shared" si="11"/>
        <v>45484</v>
      </c>
      <c r="C117" s="252" t="str">
        <f t="shared" si="6"/>
        <v>Jul</v>
      </c>
      <c r="D117" s="252" t="str">
        <f t="shared" si="7"/>
        <v>2024</v>
      </c>
      <c r="E117" s="253">
        <v>0</v>
      </c>
      <c r="F117" s="254"/>
      <c r="G117" s="254"/>
      <c r="H117" s="254"/>
      <c r="I117" s="254"/>
      <c r="J117" s="254"/>
      <c r="K117" s="253">
        <f t="shared" si="8"/>
        <v>587640</v>
      </c>
      <c r="L117" s="255">
        <f t="shared" si="9"/>
        <v>3.2876712328767124E-4</v>
      </c>
      <c r="M117" s="253">
        <f t="shared" si="10"/>
        <v>193.19671232876712</v>
      </c>
    </row>
    <row r="118" spans="2:13" hidden="1" outlineLevel="1" x14ac:dyDescent="0.25">
      <c r="B118" s="251">
        <f t="shared" si="11"/>
        <v>45485</v>
      </c>
      <c r="C118" s="252" t="str">
        <f t="shared" si="6"/>
        <v>Jul</v>
      </c>
      <c r="D118" s="252" t="str">
        <f t="shared" si="7"/>
        <v>2024</v>
      </c>
      <c r="E118" s="253">
        <v>0</v>
      </c>
      <c r="F118" s="254"/>
      <c r="G118" s="254"/>
      <c r="H118" s="254"/>
      <c r="I118" s="254"/>
      <c r="J118" s="254"/>
      <c r="K118" s="253">
        <f t="shared" si="8"/>
        <v>587640</v>
      </c>
      <c r="L118" s="255">
        <f t="shared" si="9"/>
        <v>3.2876712328767124E-4</v>
      </c>
      <c r="M118" s="253">
        <f t="shared" si="10"/>
        <v>193.19671232876712</v>
      </c>
    </row>
    <row r="119" spans="2:13" hidden="1" outlineLevel="1" x14ac:dyDescent="0.25">
      <c r="B119" s="251">
        <f t="shared" si="11"/>
        <v>45486</v>
      </c>
      <c r="C119" s="252" t="str">
        <f t="shared" si="6"/>
        <v>Jul</v>
      </c>
      <c r="D119" s="252" t="str">
        <f t="shared" si="7"/>
        <v>2024</v>
      </c>
      <c r="E119" s="253">
        <v>0</v>
      </c>
      <c r="F119" s="254"/>
      <c r="G119" s="254"/>
      <c r="H119" s="254"/>
      <c r="I119" s="254"/>
      <c r="J119" s="254"/>
      <c r="K119" s="253">
        <f t="shared" si="8"/>
        <v>587640</v>
      </c>
      <c r="L119" s="255">
        <f t="shared" si="9"/>
        <v>3.2876712328767124E-4</v>
      </c>
      <c r="M119" s="253">
        <f t="shared" si="10"/>
        <v>193.19671232876712</v>
      </c>
    </row>
    <row r="120" spans="2:13" hidden="1" outlineLevel="1" x14ac:dyDescent="0.25">
      <c r="B120" s="251">
        <f t="shared" si="11"/>
        <v>45487</v>
      </c>
      <c r="C120" s="252" t="str">
        <f t="shared" si="6"/>
        <v>Jul</v>
      </c>
      <c r="D120" s="252" t="str">
        <f t="shared" si="7"/>
        <v>2024</v>
      </c>
      <c r="E120" s="253">
        <v>0</v>
      </c>
      <c r="F120" s="254"/>
      <c r="G120" s="254"/>
      <c r="H120" s="254"/>
      <c r="I120" s="254"/>
      <c r="J120" s="254"/>
      <c r="K120" s="253">
        <f t="shared" si="8"/>
        <v>587640</v>
      </c>
      <c r="L120" s="255">
        <f t="shared" si="9"/>
        <v>3.2876712328767124E-4</v>
      </c>
      <c r="M120" s="253">
        <f t="shared" si="10"/>
        <v>193.19671232876712</v>
      </c>
    </row>
    <row r="121" spans="2:13" hidden="1" outlineLevel="1" x14ac:dyDescent="0.25">
      <c r="B121" s="251">
        <f t="shared" si="11"/>
        <v>45488</v>
      </c>
      <c r="C121" s="252" t="str">
        <f t="shared" si="6"/>
        <v>Jul</v>
      </c>
      <c r="D121" s="252" t="str">
        <f t="shared" si="7"/>
        <v>2024</v>
      </c>
      <c r="E121" s="253">
        <v>0</v>
      </c>
      <c r="F121" s="254"/>
      <c r="G121" s="254"/>
      <c r="H121" s="254"/>
      <c r="I121" s="254"/>
      <c r="J121" s="254"/>
      <c r="K121" s="253">
        <f t="shared" si="8"/>
        <v>587640</v>
      </c>
      <c r="L121" s="255">
        <f t="shared" si="9"/>
        <v>3.2876712328767124E-4</v>
      </c>
      <c r="M121" s="253">
        <f t="shared" si="10"/>
        <v>193.19671232876712</v>
      </c>
    </row>
    <row r="122" spans="2:13" hidden="1" outlineLevel="1" x14ac:dyDescent="0.25">
      <c r="B122" s="251">
        <f t="shared" si="11"/>
        <v>45489</v>
      </c>
      <c r="C122" s="252" t="str">
        <f t="shared" si="6"/>
        <v>Jul</v>
      </c>
      <c r="D122" s="252" t="str">
        <f t="shared" si="7"/>
        <v>2024</v>
      </c>
      <c r="E122" s="253">
        <v>0</v>
      </c>
      <c r="F122" s="254"/>
      <c r="G122" s="254"/>
      <c r="H122" s="254"/>
      <c r="I122" s="254"/>
      <c r="J122" s="254"/>
      <c r="K122" s="253">
        <f t="shared" si="8"/>
        <v>587640</v>
      </c>
      <c r="L122" s="255">
        <f t="shared" si="9"/>
        <v>3.2876712328767124E-4</v>
      </c>
      <c r="M122" s="253">
        <f t="shared" si="10"/>
        <v>193.19671232876712</v>
      </c>
    </row>
    <row r="123" spans="2:13" hidden="1" outlineLevel="1" x14ac:dyDescent="0.25">
      <c r="B123" s="251">
        <f t="shared" si="11"/>
        <v>45490</v>
      </c>
      <c r="C123" s="252" t="str">
        <f t="shared" si="6"/>
        <v>Jul</v>
      </c>
      <c r="D123" s="252" t="str">
        <f t="shared" si="7"/>
        <v>2024</v>
      </c>
      <c r="E123" s="253">
        <v>0</v>
      </c>
      <c r="F123" s="254"/>
      <c r="G123" s="254"/>
      <c r="H123" s="254"/>
      <c r="I123" s="254"/>
      <c r="J123" s="254"/>
      <c r="K123" s="253">
        <f t="shared" si="8"/>
        <v>587640</v>
      </c>
      <c r="L123" s="255">
        <f t="shared" si="9"/>
        <v>3.2876712328767124E-4</v>
      </c>
      <c r="M123" s="253">
        <f t="shared" si="10"/>
        <v>193.19671232876712</v>
      </c>
    </row>
    <row r="124" spans="2:13" hidden="1" outlineLevel="1" x14ac:dyDescent="0.25">
      <c r="B124" s="251">
        <f t="shared" si="11"/>
        <v>45491</v>
      </c>
      <c r="C124" s="252" t="str">
        <f t="shared" si="6"/>
        <v>Jul</v>
      </c>
      <c r="D124" s="252" t="str">
        <f t="shared" si="7"/>
        <v>2024</v>
      </c>
      <c r="E124" s="253">
        <v>0</v>
      </c>
      <c r="F124" s="254"/>
      <c r="G124" s="254"/>
      <c r="H124" s="254"/>
      <c r="I124" s="254"/>
      <c r="J124" s="254"/>
      <c r="K124" s="253">
        <f t="shared" si="8"/>
        <v>587640</v>
      </c>
      <c r="L124" s="255">
        <f t="shared" si="9"/>
        <v>3.2876712328767124E-4</v>
      </c>
      <c r="M124" s="253">
        <f t="shared" si="10"/>
        <v>193.19671232876712</v>
      </c>
    </row>
    <row r="125" spans="2:13" hidden="1" outlineLevel="1" x14ac:dyDescent="0.25">
      <c r="B125" s="251">
        <f t="shared" si="11"/>
        <v>45492</v>
      </c>
      <c r="C125" s="252" t="str">
        <f t="shared" si="6"/>
        <v>Jul</v>
      </c>
      <c r="D125" s="252" t="str">
        <f t="shared" si="7"/>
        <v>2024</v>
      </c>
      <c r="E125" s="253">
        <v>0</v>
      </c>
      <c r="F125" s="254"/>
      <c r="G125" s="254"/>
      <c r="H125" s="254"/>
      <c r="I125" s="254"/>
      <c r="J125" s="254"/>
      <c r="K125" s="253">
        <f t="shared" si="8"/>
        <v>587640</v>
      </c>
      <c r="L125" s="255">
        <f t="shared" si="9"/>
        <v>3.2876712328767124E-4</v>
      </c>
      <c r="M125" s="253">
        <f t="shared" si="10"/>
        <v>193.19671232876712</v>
      </c>
    </row>
    <row r="126" spans="2:13" hidden="1" outlineLevel="1" x14ac:dyDescent="0.25">
      <c r="B126" s="251">
        <f t="shared" si="11"/>
        <v>45493</v>
      </c>
      <c r="C126" s="252" t="str">
        <f t="shared" si="6"/>
        <v>Jul</v>
      </c>
      <c r="D126" s="252" t="str">
        <f t="shared" si="7"/>
        <v>2024</v>
      </c>
      <c r="E126" s="253">
        <v>0</v>
      </c>
      <c r="F126" s="254"/>
      <c r="G126" s="254"/>
      <c r="H126" s="254"/>
      <c r="I126" s="254"/>
      <c r="J126" s="254"/>
      <c r="K126" s="253">
        <f t="shared" si="8"/>
        <v>587640</v>
      </c>
      <c r="L126" s="255">
        <f t="shared" si="9"/>
        <v>3.2876712328767124E-4</v>
      </c>
      <c r="M126" s="253">
        <f t="shared" si="10"/>
        <v>193.19671232876712</v>
      </c>
    </row>
    <row r="127" spans="2:13" hidden="1" outlineLevel="1" x14ac:dyDescent="0.25">
      <c r="B127" s="251">
        <f t="shared" si="11"/>
        <v>45494</v>
      </c>
      <c r="C127" s="252" t="str">
        <f t="shared" si="6"/>
        <v>Jul</v>
      </c>
      <c r="D127" s="252" t="str">
        <f t="shared" si="7"/>
        <v>2024</v>
      </c>
      <c r="E127" s="253">
        <v>0</v>
      </c>
      <c r="F127" s="254"/>
      <c r="G127" s="254"/>
      <c r="H127" s="254"/>
      <c r="I127" s="254"/>
      <c r="J127" s="254"/>
      <c r="K127" s="253">
        <f t="shared" si="8"/>
        <v>587640</v>
      </c>
      <c r="L127" s="255">
        <f t="shared" si="9"/>
        <v>3.2876712328767124E-4</v>
      </c>
      <c r="M127" s="253">
        <f t="shared" si="10"/>
        <v>193.19671232876712</v>
      </c>
    </row>
    <row r="128" spans="2:13" hidden="1" outlineLevel="1" x14ac:dyDescent="0.25">
      <c r="B128" s="251">
        <f t="shared" si="11"/>
        <v>45495</v>
      </c>
      <c r="C128" s="252" t="str">
        <f t="shared" si="6"/>
        <v>Jul</v>
      </c>
      <c r="D128" s="252" t="str">
        <f t="shared" si="7"/>
        <v>2024</v>
      </c>
      <c r="E128" s="253">
        <v>0</v>
      </c>
      <c r="F128" s="254"/>
      <c r="G128" s="254"/>
      <c r="H128" s="254"/>
      <c r="I128" s="254"/>
      <c r="J128" s="254"/>
      <c r="K128" s="253">
        <f t="shared" si="8"/>
        <v>587640</v>
      </c>
      <c r="L128" s="255">
        <f t="shared" si="9"/>
        <v>3.2876712328767124E-4</v>
      </c>
      <c r="M128" s="253">
        <f t="shared" si="10"/>
        <v>193.19671232876712</v>
      </c>
    </row>
    <row r="129" spans="2:13" hidden="1" outlineLevel="1" x14ac:dyDescent="0.25">
      <c r="B129" s="251">
        <f t="shared" si="11"/>
        <v>45496</v>
      </c>
      <c r="C129" s="252" t="str">
        <f t="shared" si="6"/>
        <v>Jul</v>
      </c>
      <c r="D129" s="252" t="str">
        <f t="shared" si="7"/>
        <v>2024</v>
      </c>
      <c r="E129" s="253">
        <v>0</v>
      </c>
      <c r="F129" s="254"/>
      <c r="G129" s="254"/>
      <c r="H129" s="254"/>
      <c r="I129" s="254"/>
      <c r="J129" s="254"/>
      <c r="K129" s="253">
        <f t="shared" si="8"/>
        <v>587640</v>
      </c>
      <c r="L129" s="255">
        <f t="shared" si="9"/>
        <v>3.2876712328767124E-4</v>
      </c>
      <c r="M129" s="253">
        <f t="shared" si="10"/>
        <v>193.19671232876712</v>
      </c>
    </row>
    <row r="130" spans="2:13" hidden="1" outlineLevel="1" x14ac:dyDescent="0.25">
      <c r="B130" s="251">
        <f t="shared" si="11"/>
        <v>45497</v>
      </c>
      <c r="C130" s="252" t="str">
        <f t="shared" si="6"/>
        <v>Jul</v>
      </c>
      <c r="D130" s="252" t="str">
        <f t="shared" si="7"/>
        <v>2024</v>
      </c>
      <c r="E130" s="253">
        <v>0</v>
      </c>
      <c r="F130" s="254"/>
      <c r="G130" s="254"/>
      <c r="H130" s="254"/>
      <c r="I130" s="254"/>
      <c r="J130" s="254"/>
      <c r="K130" s="253">
        <f t="shared" si="8"/>
        <v>587640</v>
      </c>
      <c r="L130" s="255">
        <f t="shared" si="9"/>
        <v>3.2876712328767124E-4</v>
      </c>
      <c r="M130" s="253">
        <f t="shared" si="10"/>
        <v>193.19671232876712</v>
      </c>
    </row>
    <row r="131" spans="2:13" hidden="1" outlineLevel="1" x14ac:dyDescent="0.25">
      <c r="B131" s="251">
        <f t="shared" si="11"/>
        <v>45498</v>
      </c>
      <c r="C131" s="252" t="str">
        <f t="shared" si="6"/>
        <v>Jul</v>
      </c>
      <c r="D131" s="252" t="str">
        <f t="shared" si="7"/>
        <v>2024</v>
      </c>
      <c r="E131" s="253">
        <v>0</v>
      </c>
      <c r="F131" s="254"/>
      <c r="G131" s="254"/>
      <c r="H131" s="254"/>
      <c r="I131" s="254"/>
      <c r="J131" s="254"/>
      <c r="K131" s="253">
        <f t="shared" si="8"/>
        <v>587640</v>
      </c>
      <c r="L131" s="255">
        <f t="shared" si="9"/>
        <v>3.2876712328767124E-4</v>
      </c>
      <c r="M131" s="253">
        <f t="shared" si="10"/>
        <v>193.19671232876712</v>
      </c>
    </row>
    <row r="132" spans="2:13" hidden="1" outlineLevel="1" x14ac:dyDescent="0.25">
      <c r="B132" s="251">
        <f t="shared" si="11"/>
        <v>45499</v>
      </c>
      <c r="C132" s="252" t="str">
        <f t="shared" si="6"/>
        <v>Jul</v>
      </c>
      <c r="D132" s="252" t="str">
        <f t="shared" si="7"/>
        <v>2024</v>
      </c>
      <c r="E132" s="253">
        <v>0</v>
      </c>
      <c r="F132" s="254"/>
      <c r="G132" s="254"/>
      <c r="H132" s="254"/>
      <c r="I132" s="254"/>
      <c r="J132" s="254"/>
      <c r="K132" s="253">
        <f t="shared" si="8"/>
        <v>587640</v>
      </c>
      <c r="L132" s="255">
        <f t="shared" si="9"/>
        <v>3.2876712328767124E-4</v>
      </c>
      <c r="M132" s="253">
        <f t="shared" si="10"/>
        <v>193.19671232876712</v>
      </c>
    </row>
    <row r="133" spans="2:13" hidden="1" outlineLevel="1" x14ac:dyDescent="0.25">
      <c r="B133" s="251">
        <f t="shared" si="11"/>
        <v>45500</v>
      </c>
      <c r="C133" s="252" t="str">
        <f t="shared" si="6"/>
        <v>Jul</v>
      </c>
      <c r="D133" s="252" t="str">
        <f t="shared" si="7"/>
        <v>2024</v>
      </c>
      <c r="E133" s="253">
        <v>0</v>
      </c>
      <c r="F133" s="254"/>
      <c r="G133" s="254"/>
      <c r="H133" s="254"/>
      <c r="I133" s="254"/>
      <c r="J133" s="254"/>
      <c r="K133" s="253">
        <f t="shared" si="8"/>
        <v>587640</v>
      </c>
      <c r="L133" s="255">
        <f t="shared" si="9"/>
        <v>3.2876712328767124E-4</v>
      </c>
      <c r="M133" s="253">
        <f t="shared" si="10"/>
        <v>193.19671232876712</v>
      </c>
    </row>
    <row r="134" spans="2:13" hidden="1" outlineLevel="1" x14ac:dyDescent="0.25">
      <c r="B134" s="251">
        <f t="shared" si="11"/>
        <v>45501</v>
      </c>
      <c r="C134" s="252" t="str">
        <f t="shared" si="6"/>
        <v>Jul</v>
      </c>
      <c r="D134" s="252" t="str">
        <f t="shared" si="7"/>
        <v>2024</v>
      </c>
      <c r="E134" s="253">
        <v>0</v>
      </c>
      <c r="F134" s="254"/>
      <c r="G134" s="254"/>
      <c r="H134" s="254"/>
      <c r="I134" s="254"/>
      <c r="J134" s="254"/>
      <c r="K134" s="253">
        <f t="shared" si="8"/>
        <v>587640</v>
      </c>
      <c r="L134" s="255">
        <f t="shared" si="9"/>
        <v>3.2876712328767124E-4</v>
      </c>
      <c r="M134" s="253">
        <f t="shared" si="10"/>
        <v>193.19671232876712</v>
      </c>
    </row>
    <row r="135" spans="2:13" hidden="1" outlineLevel="1" x14ac:dyDescent="0.25">
      <c r="B135" s="251">
        <f t="shared" si="11"/>
        <v>45502</v>
      </c>
      <c r="C135" s="252" t="str">
        <f t="shared" si="6"/>
        <v>Jul</v>
      </c>
      <c r="D135" s="252" t="str">
        <f t="shared" si="7"/>
        <v>2024</v>
      </c>
      <c r="E135" s="253">
        <v>0</v>
      </c>
      <c r="F135" s="254"/>
      <c r="G135" s="254"/>
      <c r="H135" s="254"/>
      <c r="I135" s="254"/>
      <c r="J135" s="254"/>
      <c r="K135" s="253">
        <f t="shared" si="8"/>
        <v>587640</v>
      </c>
      <c r="L135" s="255">
        <f t="shared" si="9"/>
        <v>3.2876712328767124E-4</v>
      </c>
      <c r="M135" s="253">
        <f t="shared" si="10"/>
        <v>193.19671232876712</v>
      </c>
    </row>
    <row r="136" spans="2:13" hidden="1" outlineLevel="1" x14ac:dyDescent="0.25">
      <c r="B136" s="251">
        <f t="shared" si="11"/>
        <v>45503</v>
      </c>
      <c r="C136" s="252" t="str">
        <f t="shared" ref="C136:C199" si="12">TEXT(B136,"mmm")</f>
        <v>Jul</v>
      </c>
      <c r="D136" s="252" t="str">
        <f t="shared" ref="D136:D199" si="13">TEXT(B136,"yyyy")</f>
        <v>2024</v>
      </c>
      <c r="E136" s="253">
        <v>75000</v>
      </c>
      <c r="F136" s="254" t="s">
        <v>728</v>
      </c>
      <c r="G136" s="254"/>
      <c r="H136" s="254" t="s">
        <v>911</v>
      </c>
      <c r="I136" s="254" t="s">
        <v>916</v>
      </c>
      <c r="J136" s="254" t="s">
        <v>54</v>
      </c>
      <c r="K136" s="253">
        <f t="shared" ref="K136:K199" si="14">K135+E136</f>
        <v>662640</v>
      </c>
      <c r="L136" s="255">
        <f t="shared" ref="L136:L199" si="15">(0.12/365)</f>
        <v>3.2876712328767124E-4</v>
      </c>
      <c r="M136" s="253">
        <f t="shared" ref="M136:M199" si="16">K136*L136</f>
        <v>217.85424657534247</v>
      </c>
    </row>
    <row r="137" spans="2:13" hidden="1" outlineLevel="1" x14ac:dyDescent="0.25">
      <c r="B137" s="251">
        <f t="shared" si="11"/>
        <v>45504</v>
      </c>
      <c r="C137" s="252" t="str">
        <f t="shared" si="12"/>
        <v>Jul</v>
      </c>
      <c r="D137" s="252" t="str">
        <f t="shared" si="13"/>
        <v>2024</v>
      </c>
      <c r="E137" s="253">
        <v>0</v>
      </c>
      <c r="F137" s="254"/>
      <c r="G137" s="254"/>
      <c r="H137" s="254"/>
      <c r="I137" s="254"/>
      <c r="J137" s="254"/>
      <c r="K137" s="253">
        <f t="shared" si="14"/>
        <v>662640</v>
      </c>
      <c r="L137" s="255">
        <f t="shared" si="15"/>
        <v>3.2876712328767124E-4</v>
      </c>
      <c r="M137" s="253">
        <f t="shared" si="16"/>
        <v>217.85424657534247</v>
      </c>
    </row>
    <row r="138" spans="2:13" hidden="1" outlineLevel="1" x14ac:dyDescent="0.25">
      <c r="B138" s="251">
        <f t="shared" si="11"/>
        <v>45505</v>
      </c>
      <c r="C138" s="252" t="str">
        <f t="shared" si="12"/>
        <v>Aug</v>
      </c>
      <c r="D138" s="252" t="str">
        <f t="shared" si="13"/>
        <v>2024</v>
      </c>
      <c r="E138" s="253">
        <v>0</v>
      </c>
      <c r="F138" s="254"/>
      <c r="G138" s="254"/>
      <c r="H138" s="254"/>
      <c r="I138" s="254"/>
      <c r="J138" s="254"/>
      <c r="K138" s="253">
        <f t="shared" si="14"/>
        <v>662640</v>
      </c>
      <c r="L138" s="255">
        <f t="shared" si="15"/>
        <v>3.2876712328767124E-4</v>
      </c>
      <c r="M138" s="253">
        <f t="shared" si="16"/>
        <v>217.85424657534247</v>
      </c>
    </row>
    <row r="139" spans="2:13" hidden="1" outlineLevel="1" x14ac:dyDescent="0.25">
      <c r="B139" s="251">
        <f t="shared" ref="B139:B202" si="17">+B138+1</f>
        <v>45506</v>
      </c>
      <c r="C139" s="252" t="str">
        <f t="shared" si="12"/>
        <v>Aug</v>
      </c>
      <c r="D139" s="252" t="str">
        <f t="shared" si="13"/>
        <v>2024</v>
      </c>
      <c r="E139" s="253">
        <v>0</v>
      </c>
      <c r="F139" s="254"/>
      <c r="G139" s="254"/>
      <c r="H139" s="254"/>
      <c r="I139" s="254"/>
      <c r="J139" s="254"/>
      <c r="K139" s="253">
        <f t="shared" si="14"/>
        <v>662640</v>
      </c>
      <c r="L139" s="255">
        <f t="shared" si="15"/>
        <v>3.2876712328767124E-4</v>
      </c>
      <c r="M139" s="253">
        <f t="shared" si="16"/>
        <v>217.85424657534247</v>
      </c>
    </row>
    <row r="140" spans="2:13" hidden="1" outlineLevel="1" x14ac:dyDescent="0.25">
      <c r="B140" s="251">
        <f t="shared" si="17"/>
        <v>45507</v>
      </c>
      <c r="C140" s="252" t="str">
        <f t="shared" si="12"/>
        <v>Aug</v>
      </c>
      <c r="D140" s="252" t="str">
        <f t="shared" si="13"/>
        <v>2024</v>
      </c>
      <c r="E140" s="253">
        <v>0</v>
      </c>
      <c r="F140" s="254"/>
      <c r="G140" s="254"/>
      <c r="H140" s="254"/>
      <c r="I140" s="254"/>
      <c r="J140" s="254"/>
      <c r="K140" s="253">
        <f t="shared" si="14"/>
        <v>662640</v>
      </c>
      <c r="L140" s="255">
        <f t="shared" si="15"/>
        <v>3.2876712328767124E-4</v>
      </c>
      <c r="M140" s="253">
        <f t="shared" si="16"/>
        <v>217.85424657534247</v>
      </c>
    </row>
    <row r="141" spans="2:13" hidden="1" outlineLevel="1" x14ac:dyDescent="0.25">
      <c r="B141" s="251">
        <f t="shared" si="17"/>
        <v>45508</v>
      </c>
      <c r="C141" s="252" t="str">
        <f t="shared" si="12"/>
        <v>Aug</v>
      </c>
      <c r="D141" s="252" t="str">
        <f t="shared" si="13"/>
        <v>2024</v>
      </c>
      <c r="E141" s="253">
        <v>0</v>
      </c>
      <c r="F141" s="254"/>
      <c r="G141" s="254"/>
      <c r="H141" s="254"/>
      <c r="I141" s="254"/>
      <c r="J141" s="254"/>
      <c r="K141" s="253">
        <f t="shared" si="14"/>
        <v>662640</v>
      </c>
      <c r="L141" s="255">
        <f t="shared" si="15"/>
        <v>3.2876712328767124E-4</v>
      </c>
      <c r="M141" s="253">
        <f t="shared" si="16"/>
        <v>217.85424657534247</v>
      </c>
    </row>
    <row r="142" spans="2:13" hidden="1" outlineLevel="1" x14ac:dyDescent="0.25">
      <c r="B142" s="251">
        <f t="shared" si="17"/>
        <v>45509</v>
      </c>
      <c r="C142" s="252" t="str">
        <f t="shared" si="12"/>
        <v>Aug</v>
      </c>
      <c r="D142" s="252" t="str">
        <f t="shared" si="13"/>
        <v>2024</v>
      </c>
      <c r="E142" s="253">
        <v>0</v>
      </c>
      <c r="F142" s="254"/>
      <c r="G142" s="254"/>
      <c r="H142" s="254"/>
      <c r="I142" s="254"/>
      <c r="J142" s="254"/>
      <c r="K142" s="253">
        <f t="shared" si="14"/>
        <v>662640</v>
      </c>
      <c r="L142" s="255">
        <f t="shared" si="15"/>
        <v>3.2876712328767124E-4</v>
      </c>
      <c r="M142" s="253">
        <f t="shared" si="16"/>
        <v>217.85424657534247</v>
      </c>
    </row>
    <row r="143" spans="2:13" hidden="1" outlineLevel="1" x14ac:dyDescent="0.25">
      <c r="B143" s="251">
        <f t="shared" si="17"/>
        <v>45510</v>
      </c>
      <c r="C143" s="252" t="str">
        <f t="shared" si="12"/>
        <v>Aug</v>
      </c>
      <c r="D143" s="252" t="str">
        <f t="shared" si="13"/>
        <v>2024</v>
      </c>
      <c r="E143" s="253">
        <v>0</v>
      </c>
      <c r="F143" s="254"/>
      <c r="G143" s="254"/>
      <c r="H143" s="254"/>
      <c r="I143" s="254"/>
      <c r="J143" s="254"/>
      <c r="K143" s="253">
        <f t="shared" si="14"/>
        <v>662640</v>
      </c>
      <c r="L143" s="255">
        <f t="shared" si="15"/>
        <v>3.2876712328767124E-4</v>
      </c>
      <c r="M143" s="253">
        <f t="shared" si="16"/>
        <v>217.85424657534247</v>
      </c>
    </row>
    <row r="144" spans="2:13" hidden="1" outlineLevel="1" x14ac:dyDescent="0.25">
      <c r="B144" s="251">
        <f t="shared" si="17"/>
        <v>45511</v>
      </c>
      <c r="C144" s="252" t="str">
        <f t="shared" si="12"/>
        <v>Aug</v>
      </c>
      <c r="D144" s="252" t="str">
        <f t="shared" si="13"/>
        <v>2024</v>
      </c>
      <c r="E144" s="253">
        <v>0</v>
      </c>
      <c r="F144" s="254"/>
      <c r="G144" s="254"/>
      <c r="H144" s="254"/>
      <c r="I144" s="254"/>
      <c r="J144" s="254"/>
      <c r="K144" s="253">
        <f t="shared" si="14"/>
        <v>662640</v>
      </c>
      <c r="L144" s="255">
        <f t="shared" si="15"/>
        <v>3.2876712328767124E-4</v>
      </c>
      <c r="M144" s="253">
        <f t="shared" si="16"/>
        <v>217.85424657534247</v>
      </c>
    </row>
    <row r="145" spans="2:13" hidden="1" outlineLevel="1" x14ac:dyDescent="0.25">
      <c r="B145" s="251">
        <f t="shared" si="17"/>
        <v>45512</v>
      </c>
      <c r="C145" s="252" t="str">
        <f t="shared" si="12"/>
        <v>Aug</v>
      </c>
      <c r="D145" s="252" t="str">
        <f t="shared" si="13"/>
        <v>2024</v>
      </c>
      <c r="E145" s="253">
        <v>0</v>
      </c>
      <c r="F145" s="254"/>
      <c r="G145" s="254"/>
      <c r="H145" s="254"/>
      <c r="I145" s="254"/>
      <c r="J145" s="254"/>
      <c r="K145" s="253">
        <f t="shared" si="14"/>
        <v>662640</v>
      </c>
      <c r="L145" s="255">
        <f t="shared" si="15"/>
        <v>3.2876712328767124E-4</v>
      </c>
      <c r="M145" s="253">
        <f t="shared" si="16"/>
        <v>217.85424657534247</v>
      </c>
    </row>
    <row r="146" spans="2:13" hidden="1" outlineLevel="1" x14ac:dyDescent="0.25">
      <c r="B146" s="251">
        <f t="shared" si="17"/>
        <v>45513</v>
      </c>
      <c r="C146" s="252" t="str">
        <f t="shared" si="12"/>
        <v>Aug</v>
      </c>
      <c r="D146" s="252" t="str">
        <f t="shared" si="13"/>
        <v>2024</v>
      </c>
      <c r="E146" s="253">
        <v>0</v>
      </c>
      <c r="F146" s="254"/>
      <c r="G146" s="254"/>
      <c r="H146" s="254"/>
      <c r="I146" s="254"/>
      <c r="J146" s="254"/>
      <c r="K146" s="253">
        <f t="shared" si="14"/>
        <v>662640</v>
      </c>
      <c r="L146" s="255">
        <f t="shared" si="15"/>
        <v>3.2876712328767124E-4</v>
      </c>
      <c r="M146" s="253">
        <f t="shared" si="16"/>
        <v>217.85424657534247</v>
      </c>
    </row>
    <row r="147" spans="2:13" hidden="1" outlineLevel="1" x14ac:dyDescent="0.25">
      <c r="B147" s="251">
        <f t="shared" si="17"/>
        <v>45514</v>
      </c>
      <c r="C147" s="252" t="str">
        <f t="shared" si="12"/>
        <v>Aug</v>
      </c>
      <c r="D147" s="252" t="str">
        <f t="shared" si="13"/>
        <v>2024</v>
      </c>
      <c r="E147" s="253">
        <v>0</v>
      </c>
      <c r="F147" s="254"/>
      <c r="G147" s="254"/>
      <c r="H147" s="254"/>
      <c r="I147" s="254"/>
      <c r="J147" s="254"/>
      <c r="K147" s="253">
        <f t="shared" si="14"/>
        <v>662640</v>
      </c>
      <c r="L147" s="255">
        <f t="shared" si="15"/>
        <v>3.2876712328767124E-4</v>
      </c>
      <c r="M147" s="253">
        <f t="shared" si="16"/>
        <v>217.85424657534247</v>
      </c>
    </row>
    <row r="148" spans="2:13" hidden="1" outlineLevel="1" x14ac:dyDescent="0.25">
      <c r="B148" s="251">
        <f t="shared" si="17"/>
        <v>45515</v>
      </c>
      <c r="C148" s="252" t="str">
        <f t="shared" si="12"/>
        <v>Aug</v>
      </c>
      <c r="D148" s="252" t="str">
        <f t="shared" si="13"/>
        <v>2024</v>
      </c>
      <c r="E148" s="253">
        <v>0</v>
      </c>
      <c r="F148" s="254"/>
      <c r="G148" s="254"/>
      <c r="H148" s="254"/>
      <c r="I148" s="254"/>
      <c r="J148" s="254"/>
      <c r="K148" s="253">
        <f t="shared" si="14"/>
        <v>662640</v>
      </c>
      <c r="L148" s="255">
        <f t="shared" si="15"/>
        <v>3.2876712328767124E-4</v>
      </c>
      <c r="M148" s="253">
        <f t="shared" si="16"/>
        <v>217.85424657534247</v>
      </c>
    </row>
    <row r="149" spans="2:13" hidden="1" outlineLevel="1" x14ac:dyDescent="0.25">
      <c r="B149" s="251">
        <f t="shared" si="17"/>
        <v>45516</v>
      </c>
      <c r="C149" s="252" t="str">
        <f t="shared" si="12"/>
        <v>Aug</v>
      </c>
      <c r="D149" s="252" t="str">
        <f t="shared" si="13"/>
        <v>2024</v>
      </c>
      <c r="E149" s="253">
        <v>0</v>
      </c>
      <c r="F149" s="254"/>
      <c r="G149" s="254"/>
      <c r="H149" s="254"/>
      <c r="I149" s="254"/>
      <c r="J149" s="254"/>
      <c r="K149" s="253">
        <f t="shared" si="14"/>
        <v>662640</v>
      </c>
      <c r="L149" s="255">
        <f t="shared" si="15"/>
        <v>3.2876712328767124E-4</v>
      </c>
      <c r="M149" s="253">
        <f t="shared" si="16"/>
        <v>217.85424657534247</v>
      </c>
    </row>
    <row r="150" spans="2:13" hidden="1" outlineLevel="1" x14ac:dyDescent="0.25">
      <c r="B150" s="251">
        <f t="shared" si="17"/>
        <v>45517</v>
      </c>
      <c r="C150" s="252" t="str">
        <f t="shared" si="12"/>
        <v>Aug</v>
      </c>
      <c r="D150" s="252" t="str">
        <f t="shared" si="13"/>
        <v>2024</v>
      </c>
      <c r="E150" s="253">
        <v>0</v>
      </c>
      <c r="F150" s="254"/>
      <c r="G150" s="254"/>
      <c r="H150" s="254"/>
      <c r="I150" s="254"/>
      <c r="J150" s="254"/>
      <c r="K150" s="253">
        <f t="shared" si="14"/>
        <v>662640</v>
      </c>
      <c r="L150" s="255">
        <f t="shared" si="15"/>
        <v>3.2876712328767124E-4</v>
      </c>
      <c r="M150" s="253">
        <f t="shared" si="16"/>
        <v>217.85424657534247</v>
      </c>
    </row>
    <row r="151" spans="2:13" hidden="1" outlineLevel="1" x14ac:dyDescent="0.25">
      <c r="B151" s="251">
        <f t="shared" si="17"/>
        <v>45518</v>
      </c>
      <c r="C151" s="252" t="str">
        <f t="shared" si="12"/>
        <v>Aug</v>
      </c>
      <c r="D151" s="252" t="str">
        <f t="shared" si="13"/>
        <v>2024</v>
      </c>
      <c r="E151" s="253">
        <v>0</v>
      </c>
      <c r="F151" s="254"/>
      <c r="G151" s="254"/>
      <c r="H151" s="254"/>
      <c r="I151" s="254"/>
      <c r="J151" s="254"/>
      <c r="K151" s="253">
        <f t="shared" si="14"/>
        <v>662640</v>
      </c>
      <c r="L151" s="255">
        <f t="shared" si="15"/>
        <v>3.2876712328767124E-4</v>
      </c>
      <c r="M151" s="253">
        <f t="shared" si="16"/>
        <v>217.85424657534247</v>
      </c>
    </row>
    <row r="152" spans="2:13" hidden="1" outlineLevel="1" x14ac:dyDescent="0.25">
      <c r="B152" s="251">
        <f t="shared" si="17"/>
        <v>45519</v>
      </c>
      <c r="C152" s="252" t="str">
        <f t="shared" si="12"/>
        <v>Aug</v>
      </c>
      <c r="D152" s="252" t="str">
        <f t="shared" si="13"/>
        <v>2024</v>
      </c>
      <c r="E152" s="253">
        <v>0</v>
      </c>
      <c r="F152" s="254"/>
      <c r="G152" s="254"/>
      <c r="H152" s="254"/>
      <c r="I152" s="254"/>
      <c r="J152" s="254"/>
      <c r="K152" s="253">
        <f t="shared" si="14"/>
        <v>662640</v>
      </c>
      <c r="L152" s="255">
        <f t="shared" si="15"/>
        <v>3.2876712328767124E-4</v>
      </c>
      <c r="M152" s="253">
        <f t="shared" si="16"/>
        <v>217.85424657534247</v>
      </c>
    </row>
    <row r="153" spans="2:13" hidden="1" outlineLevel="1" x14ac:dyDescent="0.25">
      <c r="B153" s="251">
        <f t="shared" si="17"/>
        <v>45520</v>
      </c>
      <c r="C153" s="252" t="str">
        <f t="shared" si="12"/>
        <v>Aug</v>
      </c>
      <c r="D153" s="252" t="str">
        <f t="shared" si="13"/>
        <v>2024</v>
      </c>
      <c r="E153" s="253">
        <v>0</v>
      </c>
      <c r="F153" s="254"/>
      <c r="G153" s="254"/>
      <c r="H153" s="254"/>
      <c r="I153" s="254"/>
      <c r="J153" s="254"/>
      <c r="K153" s="253">
        <f t="shared" si="14"/>
        <v>662640</v>
      </c>
      <c r="L153" s="255">
        <f t="shared" si="15"/>
        <v>3.2876712328767124E-4</v>
      </c>
      <c r="M153" s="253">
        <f t="shared" si="16"/>
        <v>217.85424657534247</v>
      </c>
    </row>
    <row r="154" spans="2:13" hidden="1" outlineLevel="1" x14ac:dyDescent="0.25">
      <c r="B154" s="251">
        <f t="shared" si="17"/>
        <v>45521</v>
      </c>
      <c r="C154" s="252" t="str">
        <f t="shared" si="12"/>
        <v>Aug</v>
      </c>
      <c r="D154" s="252" t="str">
        <f t="shared" si="13"/>
        <v>2024</v>
      </c>
      <c r="E154" s="253">
        <v>0</v>
      </c>
      <c r="F154" s="254"/>
      <c r="G154" s="254"/>
      <c r="H154" s="254"/>
      <c r="I154" s="254"/>
      <c r="J154" s="254"/>
      <c r="K154" s="253">
        <f t="shared" si="14"/>
        <v>662640</v>
      </c>
      <c r="L154" s="255">
        <f t="shared" si="15"/>
        <v>3.2876712328767124E-4</v>
      </c>
      <c r="M154" s="253">
        <f t="shared" si="16"/>
        <v>217.85424657534247</v>
      </c>
    </row>
    <row r="155" spans="2:13" hidden="1" outlineLevel="1" x14ac:dyDescent="0.25">
      <c r="B155" s="251">
        <f t="shared" si="17"/>
        <v>45522</v>
      </c>
      <c r="C155" s="252" t="str">
        <f t="shared" si="12"/>
        <v>Aug</v>
      </c>
      <c r="D155" s="252" t="str">
        <f t="shared" si="13"/>
        <v>2024</v>
      </c>
      <c r="E155" s="253">
        <v>0</v>
      </c>
      <c r="F155" s="254"/>
      <c r="G155" s="254"/>
      <c r="H155" s="254"/>
      <c r="I155" s="254"/>
      <c r="J155" s="254"/>
      <c r="K155" s="253">
        <f t="shared" si="14"/>
        <v>662640</v>
      </c>
      <c r="L155" s="255">
        <f t="shared" si="15"/>
        <v>3.2876712328767124E-4</v>
      </c>
      <c r="M155" s="253">
        <f t="shared" si="16"/>
        <v>217.85424657534247</v>
      </c>
    </row>
    <row r="156" spans="2:13" hidden="1" outlineLevel="1" x14ac:dyDescent="0.25">
      <c r="B156" s="251">
        <f t="shared" si="17"/>
        <v>45523</v>
      </c>
      <c r="C156" s="252" t="str">
        <f t="shared" si="12"/>
        <v>Aug</v>
      </c>
      <c r="D156" s="252" t="str">
        <f t="shared" si="13"/>
        <v>2024</v>
      </c>
      <c r="E156" s="253">
        <v>0</v>
      </c>
      <c r="F156" s="254"/>
      <c r="G156" s="254"/>
      <c r="H156" s="254"/>
      <c r="I156" s="254"/>
      <c r="J156" s="254"/>
      <c r="K156" s="253">
        <f t="shared" si="14"/>
        <v>662640</v>
      </c>
      <c r="L156" s="255">
        <f t="shared" si="15"/>
        <v>3.2876712328767124E-4</v>
      </c>
      <c r="M156" s="253">
        <f t="shared" si="16"/>
        <v>217.85424657534247</v>
      </c>
    </row>
    <row r="157" spans="2:13" hidden="1" outlineLevel="1" x14ac:dyDescent="0.25">
      <c r="B157" s="251">
        <f t="shared" si="17"/>
        <v>45524</v>
      </c>
      <c r="C157" s="252" t="str">
        <f t="shared" si="12"/>
        <v>Aug</v>
      </c>
      <c r="D157" s="252" t="str">
        <f t="shared" si="13"/>
        <v>2024</v>
      </c>
      <c r="E157" s="253">
        <v>0</v>
      </c>
      <c r="F157" s="254"/>
      <c r="G157" s="254"/>
      <c r="H157" s="254"/>
      <c r="I157" s="254"/>
      <c r="J157" s="254"/>
      <c r="K157" s="253">
        <f t="shared" si="14"/>
        <v>662640</v>
      </c>
      <c r="L157" s="255">
        <f t="shared" si="15"/>
        <v>3.2876712328767124E-4</v>
      </c>
      <c r="M157" s="253">
        <f t="shared" si="16"/>
        <v>217.85424657534247</v>
      </c>
    </row>
    <row r="158" spans="2:13" hidden="1" outlineLevel="1" x14ac:dyDescent="0.25">
      <c r="B158" s="251">
        <f t="shared" si="17"/>
        <v>45525</v>
      </c>
      <c r="C158" s="252" t="str">
        <f t="shared" si="12"/>
        <v>Aug</v>
      </c>
      <c r="D158" s="252" t="str">
        <f t="shared" si="13"/>
        <v>2024</v>
      </c>
      <c r="E158" s="253">
        <v>0</v>
      </c>
      <c r="F158" s="254"/>
      <c r="G158" s="254"/>
      <c r="H158" s="254"/>
      <c r="I158" s="254"/>
      <c r="J158" s="254"/>
      <c r="K158" s="253">
        <f t="shared" si="14"/>
        <v>662640</v>
      </c>
      <c r="L158" s="255">
        <f t="shared" si="15"/>
        <v>3.2876712328767124E-4</v>
      </c>
      <c r="M158" s="253">
        <f t="shared" si="16"/>
        <v>217.85424657534247</v>
      </c>
    </row>
    <row r="159" spans="2:13" hidden="1" outlineLevel="1" x14ac:dyDescent="0.25">
      <c r="B159" s="251">
        <f t="shared" si="17"/>
        <v>45526</v>
      </c>
      <c r="C159" s="252" t="str">
        <f t="shared" si="12"/>
        <v>Aug</v>
      </c>
      <c r="D159" s="252" t="str">
        <f t="shared" si="13"/>
        <v>2024</v>
      </c>
      <c r="E159" s="253">
        <v>0</v>
      </c>
      <c r="F159" s="254"/>
      <c r="G159" s="254"/>
      <c r="H159" s="254"/>
      <c r="I159" s="254"/>
      <c r="J159" s="254"/>
      <c r="K159" s="253">
        <f t="shared" si="14"/>
        <v>662640</v>
      </c>
      <c r="L159" s="255">
        <f t="shared" si="15"/>
        <v>3.2876712328767124E-4</v>
      </c>
      <c r="M159" s="253">
        <f t="shared" si="16"/>
        <v>217.85424657534247</v>
      </c>
    </row>
    <row r="160" spans="2:13" hidden="1" outlineLevel="1" x14ac:dyDescent="0.25">
      <c r="B160" s="251">
        <f t="shared" si="17"/>
        <v>45527</v>
      </c>
      <c r="C160" s="252" t="str">
        <f t="shared" si="12"/>
        <v>Aug</v>
      </c>
      <c r="D160" s="252" t="str">
        <f t="shared" si="13"/>
        <v>2024</v>
      </c>
      <c r="E160" s="253">
        <v>35000</v>
      </c>
      <c r="F160" s="254" t="s">
        <v>728</v>
      </c>
      <c r="G160" s="254"/>
      <c r="H160" s="254" t="s">
        <v>911</v>
      </c>
      <c r="I160" s="254" t="s">
        <v>916</v>
      </c>
      <c r="J160" s="254" t="s">
        <v>54</v>
      </c>
      <c r="K160" s="253">
        <f t="shared" si="14"/>
        <v>697640</v>
      </c>
      <c r="L160" s="255">
        <f t="shared" si="15"/>
        <v>3.2876712328767124E-4</v>
      </c>
      <c r="M160" s="253">
        <f t="shared" si="16"/>
        <v>229.36109589041098</v>
      </c>
    </row>
    <row r="161" spans="2:13" hidden="1" outlineLevel="1" x14ac:dyDescent="0.25">
      <c r="B161" s="251">
        <f t="shared" si="17"/>
        <v>45528</v>
      </c>
      <c r="C161" s="252" t="str">
        <f t="shared" si="12"/>
        <v>Aug</v>
      </c>
      <c r="D161" s="252" t="str">
        <f t="shared" si="13"/>
        <v>2024</v>
      </c>
      <c r="E161" s="253">
        <v>0</v>
      </c>
      <c r="F161" s="254"/>
      <c r="G161" s="254"/>
      <c r="H161" s="254"/>
      <c r="I161" s="254"/>
      <c r="J161" s="254"/>
      <c r="K161" s="253">
        <f t="shared" si="14"/>
        <v>697640</v>
      </c>
      <c r="L161" s="255">
        <f t="shared" si="15"/>
        <v>3.2876712328767124E-4</v>
      </c>
      <c r="M161" s="253">
        <f t="shared" si="16"/>
        <v>229.36109589041098</v>
      </c>
    </row>
    <row r="162" spans="2:13" hidden="1" outlineLevel="1" x14ac:dyDescent="0.25">
      <c r="B162" s="251">
        <f t="shared" si="17"/>
        <v>45529</v>
      </c>
      <c r="C162" s="252" t="str">
        <f t="shared" si="12"/>
        <v>Aug</v>
      </c>
      <c r="D162" s="252" t="str">
        <f t="shared" si="13"/>
        <v>2024</v>
      </c>
      <c r="E162" s="253">
        <v>0</v>
      </c>
      <c r="F162" s="254"/>
      <c r="G162" s="254"/>
      <c r="H162" s="254"/>
      <c r="I162" s="254"/>
      <c r="J162" s="254"/>
      <c r="K162" s="253">
        <f t="shared" si="14"/>
        <v>697640</v>
      </c>
      <c r="L162" s="255">
        <f t="shared" si="15"/>
        <v>3.2876712328767124E-4</v>
      </c>
      <c r="M162" s="253">
        <f t="shared" si="16"/>
        <v>229.36109589041098</v>
      </c>
    </row>
    <row r="163" spans="2:13" hidden="1" outlineLevel="1" x14ac:dyDescent="0.25">
      <c r="B163" s="251">
        <f t="shared" si="17"/>
        <v>45530</v>
      </c>
      <c r="C163" s="252" t="str">
        <f t="shared" si="12"/>
        <v>Aug</v>
      </c>
      <c r="D163" s="252" t="str">
        <f t="shared" si="13"/>
        <v>2024</v>
      </c>
      <c r="E163" s="253">
        <v>0</v>
      </c>
      <c r="F163" s="254"/>
      <c r="G163" s="254"/>
      <c r="H163" s="254"/>
      <c r="I163" s="254"/>
      <c r="J163" s="254"/>
      <c r="K163" s="253">
        <f t="shared" si="14"/>
        <v>697640</v>
      </c>
      <c r="L163" s="255">
        <f t="shared" si="15"/>
        <v>3.2876712328767124E-4</v>
      </c>
      <c r="M163" s="253">
        <f t="shared" si="16"/>
        <v>229.36109589041098</v>
      </c>
    </row>
    <row r="164" spans="2:13" hidden="1" outlineLevel="1" x14ac:dyDescent="0.25">
      <c r="B164" s="251">
        <f t="shared" si="17"/>
        <v>45531</v>
      </c>
      <c r="C164" s="252" t="str">
        <f t="shared" si="12"/>
        <v>Aug</v>
      </c>
      <c r="D164" s="252" t="str">
        <f t="shared" si="13"/>
        <v>2024</v>
      </c>
      <c r="E164" s="253">
        <v>0</v>
      </c>
      <c r="F164" s="254"/>
      <c r="G164" s="254"/>
      <c r="H164" s="254"/>
      <c r="I164" s="254"/>
      <c r="J164" s="254"/>
      <c r="K164" s="253">
        <f t="shared" si="14"/>
        <v>697640</v>
      </c>
      <c r="L164" s="255">
        <f t="shared" si="15"/>
        <v>3.2876712328767124E-4</v>
      </c>
      <c r="M164" s="253">
        <f t="shared" si="16"/>
        <v>229.36109589041098</v>
      </c>
    </row>
    <row r="165" spans="2:13" hidden="1" outlineLevel="1" x14ac:dyDescent="0.25">
      <c r="B165" s="251">
        <f t="shared" si="17"/>
        <v>45532</v>
      </c>
      <c r="C165" s="252" t="str">
        <f t="shared" si="12"/>
        <v>Aug</v>
      </c>
      <c r="D165" s="252" t="str">
        <f t="shared" si="13"/>
        <v>2024</v>
      </c>
      <c r="E165" s="253">
        <v>0</v>
      </c>
      <c r="F165" s="254"/>
      <c r="G165" s="254"/>
      <c r="H165" s="254"/>
      <c r="I165" s="254"/>
      <c r="J165" s="254"/>
      <c r="K165" s="253">
        <f t="shared" si="14"/>
        <v>697640</v>
      </c>
      <c r="L165" s="255">
        <f t="shared" si="15"/>
        <v>3.2876712328767124E-4</v>
      </c>
      <c r="M165" s="253">
        <f t="shared" si="16"/>
        <v>229.36109589041098</v>
      </c>
    </row>
    <row r="166" spans="2:13" hidden="1" outlineLevel="1" x14ac:dyDescent="0.25">
      <c r="B166" s="251">
        <f t="shared" si="17"/>
        <v>45533</v>
      </c>
      <c r="C166" s="252" t="str">
        <f t="shared" si="12"/>
        <v>Aug</v>
      </c>
      <c r="D166" s="252" t="str">
        <f t="shared" si="13"/>
        <v>2024</v>
      </c>
      <c r="E166" s="253">
        <v>0</v>
      </c>
      <c r="F166" s="254"/>
      <c r="G166" s="254"/>
      <c r="H166" s="254"/>
      <c r="I166" s="254"/>
      <c r="J166" s="254"/>
      <c r="K166" s="253">
        <f t="shared" si="14"/>
        <v>697640</v>
      </c>
      <c r="L166" s="255">
        <f t="shared" si="15"/>
        <v>3.2876712328767124E-4</v>
      </c>
      <c r="M166" s="253">
        <f t="shared" si="16"/>
        <v>229.36109589041098</v>
      </c>
    </row>
    <row r="167" spans="2:13" hidden="1" outlineLevel="1" x14ac:dyDescent="0.25">
      <c r="B167" s="251">
        <f t="shared" si="17"/>
        <v>45534</v>
      </c>
      <c r="C167" s="252" t="str">
        <f t="shared" si="12"/>
        <v>Aug</v>
      </c>
      <c r="D167" s="252" t="str">
        <f t="shared" si="13"/>
        <v>2024</v>
      </c>
      <c r="E167" s="253">
        <v>0</v>
      </c>
      <c r="F167" s="254"/>
      <c r="G167" s="254"/>
      <c r="H167" s="254"/>
      <c r="I167" s="254"/>
      <c r="J167" s="254"/>
      <c r="K167" s="253">
        <f t="shared" si="14"/>
        <v>697640</v>
      </c>
      <c r="L167" s="255">
        <f t="shared" si="15"/>
        <v>3.2876712328767124E-4</v>
      </c>
      <c r="M167" s="253">
        <f t="shared" si="16"/>
        <v>229.36109589041098</v>
      </c>
    </row>
    <row r="168" spans="2:13" hidden="1" outlineLevel="1" x14ac:dyDescent="0.25">
      <c r="B168" s="251">
        <f t="shared" si="17"/>
        <v>45535</v>
      </c>
      <c r="C168" s="252" t="str">
        <f t="shared" si="12"/>
        <v>Aug</v>
      </c>
      <c r="D168" s="252" t="str">
        <f t="shared" si="13"/>
        <v>2024</v>
      </c>
      <c r="E168" s="253">
        <v>0</v>
      </c>
      <c r="F168" s="254"/>
      <c r="G168" s="254"/>
      <c r="H168" s="254"/>
      <c r="I168" s="254"/>
      <c r="J168" s="254"/>
      <c r="K168" s="253">
        <f t="shared" si="14"/>
        <v>697640</v>
      </c>
      <c r="L168" s="255">
        <f t="shared" si="15"/>
        <v>3.2876712328767124E-4</v>
      </c>
      <c r="M168" s="253">
        <f t="shared" si="16"/>
        <v>229.36109589041098</v>
      </c>
    </row>
    <row r="169" spans="2:13" hidden="1" outlineLevel="1" x14ac:dyDescent="0.25">
      <c r="B169" s="251">
        <f t="shared" si="17"/>
        <v>45536</v>
      </c>
      <c r="C169" s="252" t="str">
        <f t="shared" si="12"/>
        <v>Sep</v>
      </c>
      <c r="D169" s="252" t="str">
        <f t="shared" si="13"/>
        <v>2024</v>
      </c>
      <c r="E169" s="253">
        <v>0</v>
      </c>
      <c r="F169" s="254"/>
      <c r="G169" s="254"/>
      <c r="H169" s="254"/>
      <c r="I169" s="254"/>
      <c r="J169" s="254"/>
      <c r="K169" s="253">
        <f t="shared" si="14"/>
        <v>697640</v>
      </c>
      <c r="L169" s="255">
        <f t="shared" si="15"/>
        <v>3.2876712328767124E-4</v>
      </c>
      <c r="M169" s="253">
        <f t="shared" si="16"/>
        <v>229.36109589041098</v>
      </c>
    </row>
    <row r="170" spans="2:13" hidden="1" outlineLevel="1" x14ac:dyDescent="0.25">
      <c r="B170" s="251">
        <f t="shared" si="17"/>
        <v>45537</v>
      </c>
      <c r="C170" s="252" t="str">
        <f t="shared" si="12"/>
        <v>Sep</v>
      </c>
      <c r="D170" s="252" t="str">
        <f t="shared" si="13"/>
        <v>2024</v>
      </c>
      <c r="E170" s="253">
        <v>0</v>
      </c>
      <c r="F170" s="254"/>
      <c r="G170" s="254"/>
      <c r="H170" s="254"/>
      <c r="I170" s="254"/>
      <c r="J170" s="254"/>
      <c r="K170" s="253">
        <f t="shared" si="14"/>
        <v>697640</v>
      </c>
      <c r="L170" s="255">
        <f t="shared" si="15"/>
        <v>3.2876712328767124E-4</v>
      </c>
      <c r="M170" s="253">
        <f t="shared" si="16"/>
        <v>229.36109589041098</v>
      </c>
    </row>
    <row r="171" spans="2:13" hidden="1" outlineLevel="1" x14ac:dyDescent="0.25">
      <c r="B171" s="251">
        <f t="shared" si="17"/>
        <v>45538</v>
      </c>
      <c r="C171" s="252" t="str">
        <f t="shared" si="12"/>
        <v>Sep</v>
      </c>
      <c r="D171" s="252" t="str">
        <f t="shared" si="13"/>
        <v>2024</v>
      </c>
      <c r="E171" s="253">
        <v>0</v>
      </c>
      <c r="F171" s="254"/>
      <c r="G171" s="254"/>
      <c r="H171" s="254"/>
      <c r="I171" s="254"/>
      <c r="J171" s="254"/>
      <c r="K171" s="253">
        <f t="shared" si="14"/>
        <v>697640</v>
      </c>
      <c r="L171" s="255">
        <f t="shared" si="15"/>
        <v>3.2876712328767124E-4</v>
      </c>
      <c r="M171" s="253">
        <f t="shared" si="16"/>
        <v>229.36109589041098</v>
      </c>
    </row>
    <row r="172" spans="2:13" hidden="1" outlineLevel="1" x14ac:dyDescent="0.25">
      <c r="B172" s="251">
        <f t="shared" si="17"/>
        <v>45539</v>
      </c>
      <c r="C172" s="252" t="str">
        <f t="shared" si="12"/>
        <v>Sep</v>
      </c>
      <c r="D172" s="252" t="str">
        <f t="shared" si="13"/>
        <v>2024</v>
      </c>
      <c r="E172" s="253">
        <v>0</v>
      </c>
      <c r="F172" s="254"/>
      <c r="G172" s="254"/>
      <c r="H172" s="254"/>
      <c r="I172" s="254"/>
      <c r="J172" s="254"/>
      <c r="K172" s="253">
        <f t="shared" si="14"/>
        <v>697640</v>
      </c>
      <c r="L172" s="255">
        <f t="shared" si="15"/>
        <v>3.2876712328767124E-4</v>
      </c>
      <c r="M172" s="253">
        <f t="shared" si="16"/>
        <v>229.36109589041098</v>
      </c>
    </row>
    <row r="173" spans="2:13" hidden="1" outlineLevel="1" x14ac:dyDescent="0.25">
      <c r="B173" s="251">
        <f t="shared" si="17"/>
        <v>45540</v>
      </c>
      <c r="C173" s="252" t="str">
        <f t="shared" si="12"/>
        <v>Sep</v>
      </c>
      <c r="D173" s="252" t="str">
        <f t="shared" si="13"/>
        <v>2024</v>
      </c>
      <c r="E173" s="253">
        <v>0</v>
      </c>
      <c r="F173" s="254"/>
      <c r="G173" s="254"/>
      <c r="H173" s="254"/>
      <c r="I173" s="254"/>
      <c r="J173" s="254"/>
      <c r="K173" s="253">
        <f t="shared" si="14"/>
        <v>697640</v>
      </c>
      <c r="L173" s="255">
        <f t="shared" si="15"/>
        <v>3.2876712328767124E-4</v>
      </c>
      <c r="M173" s="253">
        <f t="shared" si="16"/>
        <v>229.36109589041098</v>
      </c>
    </row>
    <row r="174" spans="2:13" hidden="1" outlineLevel="1" x14ac:dyDescent="0.25">
      <c r="B174" s="251">
        <f t="shared" si="17"/>
        <v>45541</v>
      </c>
      <c r="C174" s="252" t="str">
        <f t="shared" si="12"/>
        <v>Sep</v>
      </c>
      <c r="D174" s="252" t="str">
        <f t="shared" si="13"/>
        <v>2024</v>
      </c>
      <c r="E174" s="253">
        <v>0</v>
      </c>
      <c r="F174" s="254"/>
      <c r="G174" s="254"/>
      <c r="H174" s="254"/>
      <c r="I174" s="254"/>
      <c r="J174" s="254"/>
      <c r="K174" s="253">
        <f t="shared" si="14"/>
        <v>697640</v>
      </c>
      <c r="L174" s="255">
        <f t="shared" si="15"/>
        <v>3.2876712328767124E-4</v>
      </c>
      <c r="M174" s="253">
        <f t="shared" si="16"/>
        <v>229.36109589041098</v>
      </c>
    </row>
    <row r="175" spans="2:13" hidden="1" outlineLevel="1" x14ac:dyDescent="0.25">
      <c r="B175" s="251">
        <f t="shared" si="17"/>
        <v>45542</v>
      </c>
      <c r="C175" s="252" t="str">
        <f t="shared" si="12"/>
        <v>Sep</v>
      </c>
      <c r="D175" s="252" t="str">
        <f t="shared" si="13"/>
        <v>2024</v>
      </c>
      <c r="E175" s="253">
        <v>0</v>
      </c>
      <c r="F175" s="254"/>
      <c r="G175" s="254"/>
      <c r="H175" s="254"/>
      <c r="I175" s="254"/>
      <c r="J175" s="254"/>
      <c r="K175" s="253">
        <f t="shared" si="14"/>
        <v>697640</v>
      </c>
      <c r="L175" s="255">
        <f t="shared" si="15"/>
        <v>3.2876712328767124E-4</v>
      </c>
      <c r="M175" s="253">
        <f t="shared" si="16"/>
        <v>229.36109589041098</v>
      </c>
    </row>
    <row r="176" spans="2:13" hidden="1" outlineLevel="1" x14ac:dyDescent="0.25">
      <c r="B176" s="251">
        <f t="shared" si="17"/>
        <v>45543</v>
      </c>
      <c r="C176" s="252" t="str">
        <f t="shared" si="12"/>
        <v>Sep</v>
      </c>
      <c r="D176" s="252" t="str">
        <f t="shared" si="13"/>
        <v>2024</v>
      </c>
      <c r="E176" s="253">
        <v>0</v>
      </c>
      <c r="F176" s="254"/>
      <c r="G176" s="254"/>
      <c r="H176" s="254"/>
      <c r="I176" s="254"/>
      <c r="J176" s="254"/>
      <c r="K176" s="253">
        <f t="shared" si="14"/>
        <v>697640</v>
      </c>
      <c r="L176" s="255">
        <f t="shared" si="15"/>
        <v>3.2876712328767124E-4</v>
      </c>
      <c r="M176" s="253">
        <f t="shared" si="16"/>
        <v>229.36109589041098</v>
      </c>
    </row>
    <row r="177" spans="2:13" hidden="1" outlineLevel="1" x14ac:dyDescent="0.25">
      <c r="B177" s="251">
        <f t="shared" si="17"/>
        <v>45544</v>
      </c>
      <c r="C177" s="252" t="str">
        <f t="shared" si="12"/>
        <v>Sep</v>
      </c>
      <c r="D177" s="252" t="str">
        <f t="shared" si="13"/>
        <v>2024</v>
      </c>
      <c r="E177" s="253">
        <v>0</v>
      </c>
      <c r="F177" s="254"/>
      <c r="G177" s="254"/>
      <c r="H177" s="254"/>
      <c r="I177" s="254"/>
      <c r="J177" s="254"/>
      <c r="K177" s="253">
        <f t="shared" si="14"/>
        <v>697640</v>
      </c>
      <c r="L177" s="255">
        <f t="shared" si="15"/>
        <v>3.2876712328767124E-4</v>
      </c>
      <c r="M177" s="253">
        <f t="shared" si="16"/>
        <v>229.36109589041098</v>
      </c>
    </row>
    <row r="178" spans="2:13" hidden="1" outlineLevel="1" x14ac:dyDescent="0.25">
      <c r="B178" s="251">
        <f t="shared" si="17"/>
        <v>45545</v>
      </c>
      <c r="C178" s="252" t="str">
        <f t="shared" si="12"/>
        <v>Sep</v>
      </c>
      <c r="D178" s="252" t="str">
        <f t="shared" si="13"/>
        <v>2024</v>
      </c>
      <c r="E178" s="253">
        <v>0</v>
      </c>
      <c r="F178" s="254"/>
      <c r="G178" s="254"/>
      <c r="H178" s="254"/>
      <c r="I178" s="254"/>
      <c r="J178" s="254"/>
      <c r="K178" s="253">
        <f t="shared" si="14"/>
        <v>697640</v>
      </c>
      <c r="L178" s="255">
        <f t="shared" si="15"/>
        <v>3.2876712328767124E-4</v>
      </c>
      <c r="M178" s="253">
        <f t="shared" si="16"/>
        <v>229.36109589041098</v>
      </c>
    </row>
    <row r="179" spans="2:13" hidden="1" outlineLevel="1" x14ac:dyDescent="0.25">
      <c r="B179" s="251">
        <f t="shared" si="17"/>
        <v>45546</v>
      </c>
      <c r="C179" s="252" t="str">
        <f t="shared" si="12"/>
        <v>Sep</v>
      </c>
      <c r="D179" s="252" t="str">
        <f t="shared" si="13"/>
        <v>2024</v>
      </c>
      <c r="E179" s="253">
        <v>0</v>
      </c>
      <c r="F179" s="254"/>
      <c r="G179" s="254"/>
      <c r="H179" s="254"/>
      <c r="I179" s="254"/>
      <c r="J179" s="254"/>
      <c r="K179" s="253">
        <f t="shared" si="14"/>
        <v>697640</v>
      </c>
      <c r="L179" s="255">
        <f t="shared" si="15"/>
        <v>3.2876712328767124E-4</v>
      </c>
      <c r="M179" s="253">
        <f t="shared" si="16"/>
        <v>229.36109589041098</v>
      </c>
    </row>
    <row r="180" spans="2:13" hidden="1" outlineLevel="1" x14ac:dyDescent="0.25">
      <c r="B180" s="251">
        <f t="shared" si="17"/>
        <v>45547</v>
      </c>
      <c r="C180" s="252" t="str">
        <f t="shared" si="12"/>
        <v>Sep</v>
      </c>
      <c r="D180" s="252" t="str">
        <f t="shared" si="13"/>
        <v>2024</v>
      </c>
      <c r="E180" s="253">
        <v>0</v>
      </c>
      <c r="F180" s="254"/>
      <c r="G180" s="254"/>
      <c r="H180" s="254"/>
      <c r="I180" s="254"/>
      <c r="J180" s="254"/>
      <c r="K180" s="253">
        <f t="shared" si="14"/>
        <v>697640</v>
      </c>
      <c r="L180" s="255">
        <f t="shared" si="15"/>
        <v>3.2876712328767124E-4</v>
      </c>
      <c r="M180" s="253">
        <f t="shared" si="16"/>
        <v>229.36109589041098</v>
      </c>
    </row>
    <row r="181" spans="2:13" hidden="1" outlineLevel="1" x14ac:dyDescent="0.25">
      <c r="B181" s="251">
        <f t="shared" si="17"/>
        <v>45548</v>
      </c>
      <c r="C181" s="252" t="str">
        <f t="shared" si="12"/>
        <v>Sep</v>
      </c>
      <c r="D181" s="252" t="str">
        <f t="shared" si="13"/>
        <v>2024</v>
      </c>
      <c r="E181" s="253">
        <v>0</v>
      </c>
      <c r="F181" s="254"/>
      <c r="G181" s="254"/>
      <c r="H181" s="254"/>
      <c r="I181" s="254"/>
      <c r="J181" s="254"/>
      <c r="K181" s="253">
        <f t="shared" si="14"/>
        <v>697640</v>
      </c>
      <c r="L181" s="255">
        <f t="shared" si="15"/>
        <v>3.2876712328767124E-4</v>
      </c>
      <c r="M181" s="253">
        <f t="shared" si="16"/>
        <v>229.36109589041098</v>
      </c>
    </row>
    <row r="182" spans="2:13" hidden="1" outlineLevel="1" x14ac:dyDescent="0.25">
      <c r="B182" s="251">
        <f t="shared" si="17"/>
        <v>45549</v>
      </c>
      <c r="C182" s="252" t="str">
        <f t="shared" si="12"/>
        <v>Sep</v>
      </c>
      <c r="D182" s="252" t="str">
        <f t="shared" si="13"/>
        <v>2024</v>
      </c>
      <c r="E182" s="253">
        <v>0</v>
      </c>
      <c r="F182" s="254"/>
      <c r="G182" s="254"/>
      <c r="H182" s="254"/>
      <c r="I182" s="254"/>
      <c r="J182" s="254"/>
      <c r="K182" s="253">
        <f t="shared" si="14"/>
        <v>697640</v>
      </c>
      <c r="L182" s="255">
        <f t="shared" si="15"/>
        <v>3.2876712328767124E-4</v>
      </c>
      <c r="M182" s="253">
        <f t="shared" si="16"/>
        <v>229.36109589041098</v>
      </c>
    </row>
    <row r="183" spans="2:13" hidden="1" outlineLevel="1" x14ac:dyDescent="0.25">
      <c r="B183" s="251">
        <f t="shared" si="17"/>
        <v>45550</v>
      </c>
      <c r="C183" s="252" t="str">
        <f t="shared" si="12"/>
        <v>Sep</v>
      </c>
      <c r="D183" s="252" t="str">
        <f t="shared" si="13"/>
        <v>2024</v>
      </c>
      <c r="E183" s="253">
        <v>0</v>
      </c>
      <c r="F183" s="254"/>
      <c r="G183" s="254"/>
      <c r="H183" s="254"/>
      <c r="I183" s="254"/>
      <c r="J183" s="254"/>
      <c r="K183" s="253">
        <f t="shared" si="14"/>
        <v>697640</v>
      </c>
      <c r="L183" s="255">
        <f t="shared" si="15"/>
        <v>3.2876712328767124E-4</v>
      </c>
      <c r="M183" s="253">
        <f t="shared" si="16"/>
        <v>229.36109589041098</v>
      </c>
    </row>
    <row r="184" spans="2:13" hidden="1" outlineLevel="1" x14ac:dyDescent="0.25">
      <c r="B184" s="251">
        <f t="shared" si="17"/>
        <v>45551</v>
      </c>
      <c r="C184" s="252" t="str">
        <f t="shared" si="12"/>
        <v>Sep</v>
      </c>
      <c r="D184" s="252" t="str">
        <f t="shared" si="13"/>
        <v>2024</v>
      </c>
      <c r="E184" s="253">
        <v>0</v>
      </c>
      <c r="F184" s="254"/>
      <c r="G184" s="254"/>
      <c r="H184" s="254"/>
      <c r="I184" s="254"/>
      <c r="J184" s="254"/>
      <c r="K184" s="253">
        <f t="shared" si="14"/>
        <v>697640</v>
      </c>
      <c r="L184" s="255">
        <f t="shared" si="15"/>
        <v>3.2876712328767124E-4</v>
      </c>
      <c r="M184" s="253">
        <f t="shared" si="16"/>
        <v>229.36109589041098</v>
      </c>
    </row>
    <row r="185" spans="2:13" hidden="1" outlineLevel="1" x14ac:dyDescent="0.25">
      <c r="B185" s="251">
        <f t="shared" si="17"/>
        <v>45552</v>
      </c>
      <c r="C185" s="252" t="str">
        <f t="shared" si="12"/>
        <v>Sep</v>
      </c>
      <c r="D185" s="252" t="str">
        <f t="shared" si="13"/>
        <v>2024</v>
      </c>
      <c r="E185" s="253">
        <v>0</v>
      </c>
      <c r="F185" s="254"/>
      <c r="G185" s="254"/>
      <c r="H185" s="254"/>
      <c r="I185" s="254"/>
      <c r="J185" s="254"/>
      <c r="K185" s="253">
        <f t="shared" si="14"/>
        <v>697640</v>
      </c>
      <c r="L185" s="255">
        <f t="shared" si="15"/>
        <v>3.2876712328767124E-4</v>
      </c>
      <c r="M185" s="253">
        <f t="shared" si="16"/>
        <v>229.36109589041098</v>
      </c>
    </row>
    <row r="186" spans="2:13" hidden="1" outlineLevel="1" x14ac:dyDescent="0.25">
      <c r="B186" s="251">
        <f t="shared" si="17"/>
        <v>45553</v>
      </c>
      <c r="C186" s="252" t="str">
        <f t="shared" si="12"/>
        <v>Sep</v>
      </c>
      <c r="D186" s="252" t="str">
        <f t="shared" si="13"/>
        <v>2024</v>
      </c>
      <c r="E186" s="253">
        <v>0</v>
      </c>
      <c r="F186" s="254"/>
      <c r="G186" s="254"/>
      <c r="H186" s="254"/>
      <c r="I186" s="254"/>
      <c r="J186" s="254"/>
      <c r="K186" s="253">
        <f t="shared" si="14"/>
        <v>697640</v>
      </c>
      <c r="L186" s="255">
        <f t="shared" si="15"/>
        <v>3.2876712328767124E-4</v>
      </c>
      <c r="M186" s="253">
        <f t="shared" si="16"/>
        <v>229.36109589041098</v>
      </c>
    </row>
    <row r="187" spans="2:13" hidden="1" outlineLevel="1" x14ac:dyDescent="0.25">
      <c r="B187" s="251">
        <f t="shared" si="17"/>
        <v>45554</v>
      </c>
      <c r="C187" s="252" t="str">
        <f t="shared" si="12"/>
        <v>Sep</v>
      </c>
      <c r="D187" s="252" t="str">
        <f t="shared" si="13"/>
        <v>2024</v>
      </c>
      <c r="E187" s="253">
        <v>0</v>
      </c>
      <c r="F187" s="254"/>
      <c r="G187" s="254"/>
      <c r="H187" s="254"/>
      <c r="I187" s="254"/>
      <c r="J187" s="254"/>
      <c r="K187" s="253">
        <f t="shared" si="14"/>
        <v>697640</v>
      </c>
      <c r="L187" s="255">
        <f t="shared" si="15"/>
        <v>3.2876712328767124E-4</v>
      </c>
      <c r="M187" s="253">
        <f t="shared" si="16"/>
        <v>229.36109589041098</v>
      </c>
    </row>
    <row r="188" spans="2:13" hidden="1" outlineLevel="1" x14ac:dyDescent="0.25">
      <c r="B188" s="251">
        <f t="shared" si="17"/>
        <v>45555</v>
      </c>
      <c r="C188" s="252" t="str">
        <f t="shared" si="12"/>
        <v>Sep</v>
      </c>
      <c r="D188" s="252" t="str">
        <f t="shared" si="13"/>
        <v>2024</v>
      </c>
      <c r="E188" s="253">
        <v>0</v>
      </c>
      <c r="F188" s="254"/>
      <c r="G188" s="254"/>
      <c r="H188" s="254"/>
      <c r="I188" s="254"/>
      <c r="J188" s="254"/>
      <c r="K188" s="253">
        <f t="shared" si="14"/>
        <v>697640</v>
      </c>
      <c r="L188" s="255">
        <f t="shared" si="15"/>
        <v>3.2876712328767124E-4</v>
      </c>
      <c r="M188" s="253">
        <f t="shared" si="16"/>
        <v>229.36109589041098</v>
      </c>
    </row>
    <row r="189" spans="2:13" hidden="1" outlineLevel="1" x14ac:dyDescent="0.25">
      <c r="B189" s="251">
        <f t="shared" si="17"/>
        <v>45556</v>
      </c>
      <c r="C189" s="252" t="str">
        <f t="shared" si="12"/>
        <v>Sep</v>
      </c>
      <c r="D189" s="252" t="str">
        <f t="shared" si="13"/>
        <v>2024</v>
      </c>
      <c r="E189" s="253">
        <v>0</v>
      </c>
      <c r="F189" s="254"/>
      <c r="G189" s="254"/>
      <c r="H189" s="254"/>
      <c r="I189" s="254"/>
      <c r="J189" s="254"/>
      <c r="K189" s="253">
        <f t="shared" si="14"/>
        <v>697640</v>
      </c>
      <c r="L189" s="255">
        <f t="shared" si="15"/>
        <v>3.2876712328767124E-4</v>
      </c>
      <c r="M189" s="253">
        <f t="shared" si="16"/>
        <v>229.36109589041098</v>
      </c>
    </row>
    <row r="190" spans="2:13" hidden="1" outlineLevel="1" x14ac:dyDescent="0.25">
      <c r="B190" s="251">
        <f t="shared" si="17"/>
        <v>45557</v>
      </c>
      <c r="C190" s="252" t="str">
        <f t="shared" si="12"/>
        <v>Sep</v>
      </c>
      <c r="D190" s="252" t="str">
        <f t="shared" si="13"/>
        <v>2024</v>
      </c>
      <c r="E190" s="253">
        <v>0</v>
      </c>
      <c r="F190" s="254"/>
      <c r="G190" s="254"/>
      <c r="H190" s="254"/>
      <c r="I190" s="254"/>
      <c r="J190" s="254"/>
      <c r="K190" s="253">
        <f t="shared" si="14"/>
        <v>697640</v>
      </c>
      <c r="L190" s="255">
        <f t="shared" si="15"/>
        <v>3.2876712328767124E-4</v>
      </c>
      <c r="M190" s="253">
        <f t="shared" si="16"/>
        <v>229.36109589041098</v>
      </c>
    </row>
    <row r="191" spans="2:13" hidden="1" outlineLevel="1" x14ac:dyDescent="0.25">
      <c r="B191" s="251">
        <f t="shared" si="17"/>
        <v>45558</v>
      </c>
      <c r="C191" s="252" t="str">
        <f t="shared" si="12"/>
        <v>Sep</v>
      </c>
      <c r="D191" s="252" t="str">
        <f t="shared" si="13"/>
        <v>2024</v>
      </c>
      <c r="E191" s="253">
        <v>0</v>
      </c>
      <c r="F191" s="254"/>
      <c r="G191" s="254"/>
      <c r="H191" s="254"/>
      <c r="I191" s="254"/>
      <c r="J191" s="254"/>
      <c r="K191" s="253">
        <f t="shared" si="14"/>
        <v>697640</v>
      </c>
      <c r="L191" s="255">
        <f t="shared" si="15"/>
        <v>3.2876712328767124E-4</v>
      </c>
      <c r="M191" s="253">
        <f t="shared" si="16"/>
        <v>229.36109589041098</v>
      </c>
    </row>
    <row r="192" spans="2:13" hidden="1" outlineLevel="1" x14ac:dyDescent="0.25">
      <c r="B192" s="251">
        <f t="shared" si="17"/>
        <v>45559</v>
      </c>
      <c r="C192" s="252" t="str">
        <f t="shared" si="12"/>
        <v>Sep</v>
      </c>
      <c r="D192" s="252" t="str">
        <f t="shared" si="13"/>
        <v>2024</v>
      </c>
      <c r="E192" s="253">
        <v>0</v>
      </c>
      <c r="F192" s="254"/>
      <c r="G192" s="254"/>
      <c r="H192" s="254"/>
      <c r="I192" s="254"/>
      <c r="J192" s="254"/>
      <c r="K192" s="253">
        <f t="shared" si="14"/>
        <v>697640</v>
      </c>
      <c r="L192" s="255">
        <f t="shared" si="15"/>
        <v>3.2876712328767124E-4</v>
      </c>
      <c r="M192" s="253">
        <f t="shared" si="16"/>
        <v>229.36109589041098</v>
      </c>
    </row>
    <row r="193" spans="2:13" hidden="1" outlineLevel="1" x14ac:dyDescent="0.25">
      <c r="B193" s="251">
        <f t="shared" si="17"/>
        <v>45560</v>
      </c>
      <c r="C193" s="252" t="str">
        <f t="shared" si="12"/>
        <v>Sep</v>
      </c>
      <c r="D193" s="252" t="str">
        <f t="shared" si="13"/>
        <v>2024</v>
      </c>
      <c r="E193" s="253">
        <v>0</v>
      </c>
      <c r="F193" s="254"/>
      <c r="G193" s="254"/>
      <c r="H193" s="254"/>
      <c r="I193" s="254"/>
      <c r="J193" s="254"/>
      <c r="K193" s="253">
        <f t="shared" si="14"/>
        <v>697640</v>
      </c>
      <c r="L193" s="255">
        <f t="shared" si="15"/>
        <v>3.2876712328767124E-4</v>
      </c>
      <c r="M193" s="253">
        <f t="shared" si="16"/>
        <v>229.36109589041098</v>
      </c>
    </row>
    <row r="194" spans="2:13" hidden="1" outlineLevel="1" x14ac:dyDescent="0.25">
      <c r="B194" s="251">
        <f t="shared" si="17"/>
        <v>45561</v>
      </c>
      <c r="C194" s="252" t="str">
        <f t="shared" si="12"/>
        <v>Sep</v>
      </c>
      <c r="D194" s="252" t="str">
        <f t="shared" si="13"/>
        <v>2024</v>
      </c>
      <c r="E194" s="253">
        <v>0</v>
      </c>
      <c r="F194" s="254"/>
      <c r="G194" s="254"/>
      <c r="H194" s="254"/>
      <c r="I194" s="254"/>
      <c r="J194" s="254"/>
      <c r="K194" s="253">
        <f t="shared" si="14"/>
        <v>697640</v>
      </c>
      <c r="L194" s="255">
        <f t="shared" si="15"/>
        <v>3.2876712328767124E-4</v>
      </c>
      <c r="M194" s="253">
        <f t="shared" si="16"/>
        <v>229.36109589041098</v>
      </c>
    </row>
    <row r="195" spans="2:13" hidden="1" outlineLevel="1" x14ac:dyDescent="0.25">
      <c r="B195" s="251">
        <f t="shared" si="17"/>
        <v>45562</v>
      </c>
      <c r="C195" s="252" t="str">
        <f t="shared" si="12"/>
        <v>Sep</v>
      </c>
      <c r="D195" s="252" t="str">
        <f t="shared" si="13"/>
        <v>2024</v>
      </c>
      <c r="E195" s="253">
        <v>0</v>
      </c>
      <c r="F195" s="254"/>
      <c r="G195" s="254"/>
      <c r="H195" s="254"/>
      <c r="I195" s="254"/>
      <c r="J195" s="254"/>
      <c r="K195" s="253">
        <f t="shared" si="14"/>
        <v>697640</v>
      </c>
      <c r="L195" s="255">
        <f t="shared" si="15"/>
        <v>3.2876712328767124E-4</v>
      </c>
      <c r="M195" s="253">
        <f t="shared" si="16"/>
        <v>229.36109589041098</v>
      </c>
    </row>
    <row r="196" spans="2:13" hidden="1" outlineLevel="1" x14ac:dyDescent="0.25">
      <c r="B196" s="251">
        <f t="shared" si="17"/>
        <v>45563</v>
      </c>
      <c r="C196" s="252" t="str">
        <f t="shared" si="12"/>
        <v>Sep</v>
      </c>
      <c r="D196" s="252" t="str">
        <f t="shared" si="13"/>
        <v>2024</v>
      </c>
      <c r="E196" s="253">
        <v>0</v>
      </c>
      <c r="F196" s="254"/>
      <c r="G196" s="254"/>
      <c r="H196" s="254"/>
      <c r="I196" s="254"/>
      <c r="J196" s="254"/>
      <c r="K196" s="253">
        <f t="shared" si="14"/>
        <v>697640</v>
      </c>
      <c r="L196" s="255">
        <f t="shared" si="15"/>
        <v>3.2876712328767124E-4</v>
      </c>
      <c r="M196" s="253">
        <f t="shared" si="16"/>
        <v>229.36109589041098</v>
      </c>
    </row>
    <row r="197" spans="2:13" hidden="1" outlineLevel="1" x14ac:dyDescent="0.25">
      <c r="B197" s="251">
        <f t="shared" si="17"/>
        <v>45564</v>
      </c>
      <c r="C197" s="252" t="str">
        <f t="shared" si="12"/>
        <v>Sep</v>
      </c>
      <c r="D197" s="252" t="str">
        <f t="shared" si="13"/>
        <v>2024</v>
      </c>
      <c r="E197" s="253">
        <v>0</v>
      </c>
      <c r="F197" s="254"/>
      <c r="G197" s="254"/>
      <c r="H197" s="254"/>
      <c r="I197" s="254"/>
      <c r="J197" s="254"/>
      <c r="K197" s="253">
        <f t="shared" si="14"/>
        <v>697640</v>
      </c>
      <c r="L197" s="255">
        <f t="shared" si="15"/>
        <v>3.2876712328767124E-4</v>
      </c>
      <c r="M197" s="253">
        <f t="shared" si="16"/>
        <v>229.36109589041098</v>
      </c>
    </row>
    <row r="198" spans="2:13" hidden="1" outlineLevel="1" x14ac:dyDescent="0.25">
      <c r="B198" s="251">
        <f t="shared" si="17"/>
        <v>45565</v>
      </c>
      <c r="C198" s="252" t="str">
        <f t="shared" si="12"/>
        <v>Sep</v>
      </c>
      <c r="D198" s="252" t="str">
        <f t="shared" si="13"/>
        <v>2024</v>
      </c>
      <c r="E198" s="253">
        <v>0</v>
      </c>
      <c r="F198" s="254"/>
      <c r="G198" s="254"/>
      <c r="H198" s="254"/>
      <c r="I198" s="254"/>
      <c r="J198" s="254"/>
      <c r="K198" s="253">
        <f t="shared" si="14"/>
        <v>697640</v>
      </c>
      <c r="L198" s="255">
        <f t="shared" si="15"/>
        <v>3.2876712328767124E-4</v>
      </c>
      <c r="M198" s="253">
        <f t="shared" si="16"/>
        <v>229.36109589041098</v>
      </c>
    </row>
    <row r="199" spans="2:13" hidden="1" outlineLevel="1" x14ac:dyDescent="0.25">
      <c r="B199" s="251">
        <f t="shared" si="17"/>
        <v>45566</v>
      </c>
      <c r="C199" s="252" t="str">
        <f t="shared" si="12"/>
        <v>Oct</v>
      </c>
      <c r="D199" s="252" t="str">
        <f t="shared" si="13"/>
        <v>2024</v>
      </c>
      <c r="E199" s="253">
        <v>0</v>
      </c>
      <c r="F199" s="254"/>
      <c r="G199" s="254"/>
      <c r="H199" s="254"/>
      <c r="I199" s="254"/>
      <c r="J199" s="254"/>
      <c r="K199" s="253">
        <f t="shared" si="14"/>
        <v>697640</v>
      </c>
      <c r="L199" s="255">
        <f t="shared" si="15"/>
        <v>3.2876712328767124E-4</v>
      </c>
      <c r="M199" s="253">
        <f t="shared" si="16"/>
        <v>229.36109589041098</v>
      </c>
    </row>
    <row r="200" spans="2:13" hidden="1" outlineLevel="1" x14ac:dyDescent="0.25">
      <c r="B200" s="251">
        <f t="shared" si="17"/>
        <v>45567</v>
      </c>
      <c r="C200" s="252" t="str">
        <f t="shared" ref="C200:C263" si="18">TEXT(B200,"mmm")</f>
        <v>Oct</v>
      </c>
      <c r="D200" s="252" t="str">
        <f t="shared" ref="D200:D263" si="19">TEXT(B200,"yyyy")</f>
        <v>2024</v>
      </c>
      <c r="E200" s="253">
        <v>0</v>
      </c>
      <c r="F200" s="254"/>
      <c r="G200" s="254"/>
      <c r="H200" s="254"/>
      <c r="I200" s="254"/>
      <c r="J200" s="254"/>
      <c r="K200" s="253">
        <f t="shared" ref="K200:K263" si="20">K199+E200</f>
        <v>697640</v>
      </c>
      <c r="L200" s="255">
        <f t="shared" ref="L200:L263" si="21">(0.12/365)</f>
        <v>3.2876712328767124E-4</v>
      </c>
      <c r="M200" s="253">
        <f t="shared" ref="M200:M263" si="22">K200*L200</f>
        <v>229.36109589041098</v>
      </c>
    </row>
    <row r="201" spans="2:13" hidden="1" outlineLevel="1" x14ac:dyDescent="0.25">
      <c r="B201" s="251">
        <f t="shared" si="17"/>
        <v>45568</v>
      </c>
      <c r="C201" s="252" t="str">
        <f t="shared" si="18"/>
        <v>Oct</v>
      </c>
      <c r="D201" s="252" t="str">
        <f t="shared" si="19"/>
        <v>2024</v>
      </c>
      <c r="E201" s="253">
        <v>0</v>
      </c>
      <c r="F201" s="254"/>
      <c r="G201" s="254"/>
      <c r="H201" s="254"/>
      <c r="I201" s="254"/>
      <c r="J201" s="254"/>
      <c r="K201" s="253">
        <f t="shared" si="20"/>
        <v>697640</v>
      </c>
      <c r="L201" s="255">
        <f t="shared" si="21"/>
        <v>3.2876712328767124E-4</v>
      </c>
      <c r="M201" s="253">
        <f t="shared" si="22"/>
        <v>229.36109589041098</v>
      </c>
    </row>
    <row r="202" spans="2:13" hidden="1" outlineLevel="1" x14ac:dyDescent="0.25">
      <c r="B202" s="251">
        <f t="shared" si="17"/>
        <v>45569</v>
      </c>
      <c r="C202" s="252" t="str">
        <f t="shared" si="18"/>
        <v>Oct</v>
      </c>
      <c r="D202" s="252" t="str">
        <f t="shared" si="19"/>
        <v>2024</v>
      </c>
      <c r="E202" s="253">
        <v>0</v>
      </c>
      <c r="F202" s="254"/>
      <c r="G202" s="254"/>
      <c r="H202" s="254"/>
      <c r="I202" s="254"/>
      <c r="J202" s="254"/>
      <c r="K202" s="253">
        <f t="shared" si="20"/>
        <v>697640</v>
      </c>
      <c r="L202" s="255">
        <f t="shared" si="21"/>
        <v>3.2876712328767124E-4</v>
      </c>
      <c r="M202" s="253">
        <f t="shared" si="22"/>
        <v>229.36109589041098</v>
      </c>
    </row>
    <row r="203" spans="2:13" hidden="1" outlineLevel="1" x14ac:dyDescent="0.25">
      <c r="B203" s="251">
        <f t="shared" ref="B203:B266" si="23">+B202+1</f>
        <v>45570</v>
      </c>
      <c r="C203" s="252" t="str">
        <f t="shared" si="18"/>
        <v>Oct</v>
      </c>
      <c r="D203" s="252" t="str">
        <f t="shared" si="19"/>
        <v>2024</v>
      </c>
      <c r="E203" s="253">
        <v>0</v>
      </c>
      <c r="F203" s="254"/>
      <c r="G203" s="254"/>
      <c r="H203" s="254"/>
      <c r="I203" s="254"/>
      <c r="J203" s="254"/>
      <c r="K203" s="253">
        <f t="shared" si="20"/>
        <v>697640</v>
      </c>
      <c r="L203" s="255">
        <f t="shared" si="21"/>
        <v>3.2876712328767124E-4</v>
      </c>
      <c r="M203" s="253">
        <f t="shared" si="22"/>
        <v>229.36109589041098</v>
      </c>
    </row>
    <row r="204" spans="2:13" hidden="1" outlineLevel="1" x14ac:dyDescent="0.25">
      <c r="B204" s="251">
        <f t="shared" si="23"/>
        <v>45571</v>
      </c>
      <c r="C204" s="252" t="str">
        <f t="shared" si="18"/>
        <v>Oct</v>
      </c>
      <c r="D204" s="252" t="str">
        <f t="shared" si="19"/>
        <v>2024</v>
      </c>
      <c r="E204" s="253">
        <v>0</v>
      </c>
      <c r="F204" s="254"/>
      <c r="G204" s="254"/>
      <c r="H204" s="254"/>
      <c r="I204" s="254"/>
      <c r="J204" s="254"/>
      <c r="K204" s="253">
        <f t="shared" si="20"/>
        <v>697640</v>
      </c>
      <c r="L204" s="255">
        <f t="shared" si="21"/>
        <v>3.2876712328767124E-4</v>
      </c>
      <c r="M204" s="253">
        <f t="shared" si="22"/>
        <v>229.36109589041098</v>
      </c>
    </row>
    <row r="205" spans="2:13" hidden="1" outlineLevel="1" x14ac:dyDescent="0.25">
      <c r="B205" s="251">
        <f t="shared" si="23"/>
        <v>45572</v>
      </c>
      <c r="C205" s="252" t="str">
        <f t="shared" si="18"/>
        <v>Oct</v>
      </c>
      <c r="D205" s="252" t="str">
        <f t="shared" si="19"/>
        <v>2024</v>
      </c>
      <c r="E205" s="253">
        <v>0</v>
      </c>
      <c r="F205" s="254"/>
      <c r="G205" s="254"/>
      <c r="H205" s="254"/>
      <c r="I205" s="254"/>
      <c r="J205" s="254"/>
      <c r="K205" s="253">
        <f t="shared" si="20"/>
        <v>697640</v>
      </c>
      <c r="L205" s="255">
        <f t="shared" si="21"/>
        <v>3.2876712328767124E-4</v>
      </c>
      <c r="M205" s="253">
        <f t="shared" si="22"/>
        <v>229.36109589041098</v>
      </c>
    </row>
    <row r="206" spans="2:13" hidden="1" outlineLevel="1" x14ac:dyDescent="0.25">
      <c r="B206" s="251">
        <f t="shared" si="23"/>
        <v>45573</v>
      </c>
      <c r="C206" s="252" t="str">
        <f t="shared" si="18"/>
        <v>Oct</v>
      </c>
      <c r="D206" s="252" t="str">
        <f t="shared" si="19"/>
        <v>2024</v>
      </c>
      <c r="E206" s="253">
        <v>0</v>
      </c>
      <c r="F206" s="254"/>
      <c r="G206" s="254"/>
      <c r="H206" s="254"/>
      <c r="I206" s="254"/>
      <c r="J206" s="254"/>
      <c r="K206" s="253">
        <f t="shared" si="20"/>
        <v>697640</v>
      </c>
      <c r="L206" s="255">
        <f t="shared" si="21"/>
        <v>3.2876712328767124E-4</v>
      </c>
      <c r="M206" s="253">
        <f t="shared" si="22"/>
        <v>229.36109589041098</v>
      </c>
    </row>
    <row r="207" spans="2:13" hidden="1" outlineLevel="1" x14ac:dyDescent="0.25">
      <c r="B207" s="251">
        <f t="shared" si="23"/>
        <v>45574</v>
      </c>
      <c r="C207" s="252" t="str">
        <f t="shared" si="18"/>
        <v>Oct</v>
      </c>
      <c r="D207" s="252" t="str">
        <f t="shared" si="19"/>
        <v>2024</v>
      </c>
      <c r="E207" s="253">
        <v>0</v>
      </c>
      <c r="F207" s="254"/>
      <c r="G207" s="254"/>
      <c r="H207" s="254"/>
      <c r="I207" s="254"/>
      <c r="J207" s="254"/>
      <c r="K207" s="253">
        <f t="shared" si="20"/>
        <v>697640</v>
      </c>
      <c r="L207" s="255">
        <f t="shared" si="21"/>
        <v>3.2876712328767124E-4</v>
      </c>
      <c r="M207" s="253">
        <f t="shared" si="22"/>
        <v>229.36109589041098</v>
      </c>
    </row>
    <row r="208" spans="2:13" hidden="1" outlineLevel="1" x14ac:dyDescent="0.25">
      <c r="B208" s="251">
        <f t="shared" si="23"/>
        <v>45575</v>
      </c>
      <c r="C208" s="252" t="str">
        <f t="shared" si="18"/>
        <v>Oct</v>
      </c>
      <c r="D208" s="252" t="str">
        <f t="shared" si="19"/>
        <v>2024</v>
      </c>
      <c r="E208" s="253">
        <v>0</v>
      </c>
      <c r="F208" s="254"/>
      <c r="G208" s="254"/>
      <c r="H208" s="254"/>
      <c r="I208" s="254"/>
      <c r="J208" s="254"/>
      <c r="K208" s="253">
        <f t="shared" si="20"/>
        <v>697640</v>
      </c>
      <c r="L208" s="255">
        <f t="shared" si="21"/>
        <v>3.2876712328767124E-4</v>
      </c>
      <c r="M208" s="253">
        <f t="shared" si="22"/>
        <v>229.36109589041098</v>
      </c>
    </row>
    <row r="209" spans="2:13" hidden="1" outlineLevel="1" x14ac:dyDescent="0.25">
      <c r="B209" s="251">
        <f t="shared" si="23"/>
        <v>45576</v>
      </c>
      <c r="C209" s="252" t="str">
        <f t="shared" si="18"/>
        <v>Oct</v>
      </c>
      <c r="D209" s="252" t="str">
        <f t="shared" si="19"/>
        <v>2024</v>
      </c>
      <c r="E209" s="253">
        <v>0</v>
      </c>
      <c r="F209" s="254"/>
      <c r="G209" s="254"/>
      <c r="H209" s="254"/>
      <c r="I209" s="254"/>
      <c r="J209" s="254"/>
      <c r="K209" s="253">
        <f t="shared" si="20"/>
        <v>697640</v>
      </c>
      <c r="L209" s="255">
        <f t="shared" si="21"/>
        <v>3.2876712328767124E-4</v>
      </c>
      <c r="M209" s="253">
        <f t="shared" si="22"/>
        <v>229.36109589041098</v>
      </c>
    </row>
    <row r="210" spans="2:13" hidden="1" outlineLevel="1" x14ac:dyDescent="0.25">
      <c r="B210" s="251">
        <f t="shared" si="23"/>
        <v>45577</v>
      </c>
      <c r="C210" s="252" t="str">
        <f t="shared" si="18"/>
        <v>Oct</v>
      </c>
      <c r="D210" s="252" t="str">
        <f t="shared" si="19"/>
        <v>2024</v>
      </c>
      <c r="E210" s="253">
        <v>0</v>
      </c>
      <c r="F210" s="254"/>
      <c r="G210" s="254"/>
      <c r="H210" s="254"/>
      <c r="I210" s="254"/>
      <c r="J210" s="254"/>
      <c r="K210" s="253">
        <f t="shared" si="20"/>
        <v>697640</v>
      </c>
      <c r="L210" s="255">
        <f t="shared" si="21"/>
        <v>3.2876712328767124E-4</v>
      </c>
      <c r="M210" s="253">
        <f t="shared" si="22"/>
        <v>229.36109589041098</v>
      </c>
    </row>
    <row r="211" spans="2:13" hidden="1" outlineLevel="1" x14ac:dyDescent="0.25">
      <c r="B211" s="251">
        <f t="shared" si="23"/>
        <v>45578</v>
      </c>
      <c r="C211" s="252" t="str">
        <f t="shared" si="18"/>
        <v>Oct</v>
      </c>
      <c r="D211" s="252" t="str">
        <f t="shared" si="19"/>
        <v>2024</v>
      </c>
      <c r="E211" s="253">
        <v>0</v>
      </c>
      <c r="F211" s="254"/>
      <c r="G211" s="254"/>
      <c r="H211" s="254"/>
      <c r="I211" s="254"/>
      <c r="J211" s="254"/>
      <c r="K211" s="253">
        <f t="shared" si="20"/>
        <v>697640</v>
      </c>
      <c r="L211" s="255">
        <f t="shared" si="21"/>
        <v>3.2876712328767124E-4</v>
      </c>
      <c r="M211" s="253">
        <f t="shared" si="22"/>
        <v>229.36109589041098</v>
      </c>
    </row>
    <row r="212" spans="2:13" hidden="1" outlineLevel="1" x14ac:dyDescent="0.25">
      <c r="B212" s="251">
        <f t="shared" si="23"/>
        <v>45579</v>
      </c>
      <c r="C212" s="252" t="str">
        <f t="shared" si="18"/>
        <v>Oct</v>
      </c>
      <c r="D212" s="252" t="str">
        <f t="shared" si="19"/>
        <v>2024</v>
      </c>
      <c r="E212" s="253">
        <v>0</v>
      </c>
      <c r="F212" s="254"/>
      <c r="G212" s="254"/>
      <c r="H212" s="254"/>
      <c r="I212" s="254"/>
      <c r="J212" s="254"/>
      <c r="K212" s="253">
        <f t="shared" si="20"/>
        <v>697640</v>
      </c>
      <c r="L212" s="255">
        <f t="shared" si="21"/>
        <v>3.2876712328767124E-4</v>
      </c>
      <c r="M212" s="253">
        <f t="shared" si="22"/>
        <v>229.36109589041098</v>
      </c>
    </row>
    <row r="213" spans="2:13" hidden="1" outlineLevel="1" x14ac:dyDescent="0.25">
      <c r="B213" s="251">
        <f t="shared" si="23"/>
        <v>45580</v>
      </c>
      <c r="C213" s="252" t="str">
        <f t="shared" si="18"/>
        <v>Oct</v>
      </c>
      <c r="D213" s="252" t="str">
        <f t="shared" si="19"/>
        <v>2024</v>
      </c>
      <c r="E213" s="253">
        <v>0</v>
      </c>
      <c r="F213" s="254"/>
      <c r="G213" s="254"/>
      <c r="H213" s="254"/>
      <c r="I213" s="254"/>
      <c r="J213" s="254"/>
      <c r="K213" s="253">
        <f t="shared" si="20"/>
        <v>697640</v>
      </c>
      <c r="L213" s="255">
        <f t="shared" si="21"/>
        <v>3.2876712328767124E-4</v>
      </c>
      <c r="M213" s="253">
        <f t="shared" si="22"/>
        <v>229.36109589041098</v>
      </c>
    </row>
    <row r="214" spans="2:13" hidden="1" outlineLevel="1" x14ac:dyDescent="0.25">
      <c r="B214" s="251">
        <f t="shared" si="23"/>
        <v>45581</v>
      </c>
      <c r="C214" s="252" t="str">
        <f t="shared" si="18"/>
        <v>Oct</v>
      </c>
      <c r="D214" s="252" t="str">
        <f t="shared" si="19"/>
        <v>2024</v>
      </c>
      <c r="E214" s="253">
        <v>0</v>
      </c>
      <c r="F214" s="254"/>
      <c r="G214" s="254"/>
      <c r="H214" s="254"/>
      <c r="I214" s="254"/>
      <c r="J214" s="254"/>
      <c r="K214" s="253">
        <f t="shared" si="20"/>
        <v>697640</v>
      </c>
      <c r="L214" s="255">
        <f t="shared" si="21"/>
        <v>3.2876712328767124E-4</v>
      </c>
      <c r="M214" s="253">
        <f t="shared" si="22"/>
        <v>229.36109589041098</v>
      </c>
    </row>
    <row r="215" spans="2:13" hidden="1" outlineLevel="1" x14ac:dyDescent="0.25">
      <c r="B215" s="251">
        <f t="shared" si="23"/>
        <v>45582</v>
      </c>
      <c r="C215" s="252" t="str">
        <f t="shared" si="18"/>
        <v>Oct</v>
      </c>
      <c r="D215" s="252" t="str">
        <f t="shared" si="19"/>
        <v>2024</v>
      </c>
      <c r="E215" s="253">
        <v>0</v>
      </c>
      <c r="F215" s="254"/>
      <c r="G215" s="254"/>
      <c r="H215" s="254"/>
      <c r="I215" s="254"/>
      <c r="J215" s="254"/>
      <c r="K215" s="253">
        <f t="shared" si="20"/>
        <v>697640</v>
      </c>
      <c r="L215" s="255">
        <f t="shared" si="21"/>
        <v>3.2876712328767124E-4</v>
      </c>
      <c r="M215" s="253">
        <f t="shared" si="22"/>
        <v>229.36109589041098</v>
      </c>
    </row>
    <row r="216" spans="2:13" hidden="1" outlineLevel="1" x14ac:dyDescent="0.25">
      <c r="B216" s="251">
        <f t="shared" si="23"/>
        <v>45583</v>
      </c>
      <c r="C216" s="252" t="str">
        <f t="shared" si="18"/>
        <v>Oct</v>
      </c>
      <c r="D216" s="252" t="str">
        <f t="shared" si="19"/>
        <v>2024</v>
      </c>
      <c r="E216" s="253">
        <v>0</v>
      </c>
      <c r="F216" s="254"/>
      <c r="G216" s="254"/>
      <c r="H216" s="254"/>
      <c r="I216" s="254"/>
      <c r="J216" s="254"/>
      <c r="K216" s="253">
        <f t="shared" si="20"/>
        <v>697640</v>
      </c>
      <c r="L216" s="255">
        <f t="shared" si="21"/>
        <v>3.2876712328767124E-4</v>
      </c>
      <c r="M216" s="253">
        <f t="shared" si="22"/>
        <v>229.36109589041098</v>
      </c>
    </row>
    <row r="217" spans="2:13" hidden="1" outlineLevel="1" x14ac:dyDescent="0.25">
      <c r="B217" s="251">
        <f t="shared" si="23"/>
        <v>45584</v>
      </c>
      <c r="C217" s="252" t="str">
        <f t="shared" si="18"/>
        <v>Oct</v>
      </c>
      <c r="D217" s="252" t="str">
        <f t="shared" si="19"/>
        <v>2024</v>
      </c>
      <c r="E217" s="253">
        <v>0</v>
      </c>
      <c r="F217" s="254"/>
      <c r="G217" s="254"/>
      <c r="H217" s="254"/>
      <c r="I217" s="254"/>
      <c r="J217" s="254"/>
      <c r="K217" s="253">
        <f t="shared" si="20"/>
        <v>697640</v>
      </c>
      <c r="L217" s="255">
        <f t="shared" si="21"/>
        <v>3.2876712328767124E-4</v>
      </c>
      <c r="M217" s="253">
        <f t="shared" si="22"/>
        <v>229.36109589041098</v>
      </c>
    </row>
    <row r="218" spans="2:13" hidden="1" outlineLevel="1" x14ac:dyDescent="0.25">
      <c r="B218" s="251">
        <f t="shared" si="23"/>
        <v>45585</v>
      </c>
      <c r="C218" s="252" t="str">
        <f t="shared" si="18"/>
        <v>Oct</v>
      </c>
      <c r="D218" s="252" t="str">
        <f t="shared" si="19"/>
        <v>2024</v>
      </c>
      <c r="E218" s="253">
        <v>0</v>
      </c>
      <c r="F218" s="254"/>
      <c r="G218" s="254"/>
      <c r="H218" s="254"/>
      <c r="I218" s="254"/>
      <c r="J218" s="254"/>
      <c r="K218" s="253">
        <f t="shared" si="20"/>
        <v>697640</v>
      </c>
      <c r="L218" s="255">
        <f t="shared" si="21"/>
        <v>3.2876712328767124E-4</v>
      </c>
      <c r="M218" s="253">
        <f t="shared" si="22"/>
        <v>229.36109589041098</v>
      </c>
    </row>
    <row r="219" spans="2:13" hidden="1" outlineLevel="1" x14ac:dyDescent="0.25">
      <c r="B219" s="251">
        <f t="shared" si="23"/>
        <v>45586</v>
      </c>
      <c r="C219" s="252" t="str">
        <f t="shared" si="18"/>
        <v>Oct</v>
      </c>
      <c r="D219" s="252" t="str">
        <f t="shared" si="19"/>
        <v>2024</v>
      </c>
      <c r="E219" s="253">
        <v>0</v>
      </c>
      <c r="F219" s="254"/>
      <c r="G219" s="254"/>
      <c r="H219" s="254"/>
      <c r="I219" s="254"/>
      <c r="J219" s="254"/>
      <c r="K219" s="253">
        <f t="shared" si="20"/>
        <v>697640</v>
      </c>
      <c r="L219" s="255">
        <f t="shared" si="21"/>
        <v>3.2876712328767124E-4</v>
      </c>
      <c r="M219" s="253">
        <f t="shared" si="22"/>
        <v>229.36109589041098</v>
      </c>
    </row>
    <row r="220" spans="2:13" hidden="1" outlineLevel="1" x14ac:dyDescent="0.25">
      <c r="B220" s="251">
        <f t="shared" si="23"/>
        <v>45587</v>
      </c>
      <c r="C220" s="252" t="str">
        <f t="shared" si="18"/>
        <v>Oct</v>
      </c>
      <c r="D220" s="252" t="str">
        <f t="shared" si="19"/>
        <v>2024</v>
      </c>
      <c r="E220" s="253">
        <v>0</v>
      </c>
      <c r="F220" s="254"/>
      <c r="G220" s="254"/>
      <c r="H220" s="254"/>
      <c r="I220" s="254"/>
      <c r="J220" s="254"/>
      <c r="K220" s="253">
        <f t="shared" si="20"/>
        <v>697640</v>
      </c>
      <c r="L220" s="255">
        <f t="shared" si="21"/>
        <v>3.2876712328767124E-4</v>
      </c>
      <c r="M220" s="253">
        <f t="shared" si="22"/>
        <v>229.36109589041098</v>
      </c>
    </row>
    <row r="221" spans="2:13" hidden="1" outlineLevel="1" x14ac:dyDescent="0.25">
      <c r="B221" s="251">
        <f t="shared" si="23"/>
        <v>45588</v>
      </c>
      <c r="C221" s="252" t="str">
        <f t="shared" si="18"/>
        <v>Oct</v>
      </c>
      <c r="D221" s="252" t="str">
        <f t="shared" si="19"/>
        <v>2024</v>
      </c>
      <c r="E221" s="253">
        <v>0</v>
      </c>
      <c r="F221" s="254"/>
      <c r="G221" s="254"/>
      <c r="H221" s="254"/>
      <c r="I221" s="254"/>
      <c r="J221" s="254"/>
      <c r="K221" s="253">
        <f t="shared" si="20"/>
        <v>697640</v>
      </c>
      <c r="L221" s="255">
        <f t="shared" si="21"/>
        <v>3.2876712328767124E-4</v>
      </c>
      <c r="M221" s="253">
        <f t="shared" si="22"/>
        <v>229.36109589041098</v>
      </c>
    </row>
    <row r="222" spans="2:13" hidden="1" outlineLevel="1" x14ac:dyDescent="0.25">
      <c r="B222" s="251">
        <f t="shared" si="23"/>
        <v>45589</v>
      </c>
      <c r="C222" s="252" t="str">
        <f t="shared" si="18"/>
        <v>Oct</v>
      </c>
      <c r="D222" s="252" t="str">
        <f t="shared" si="19"/>
        <v>2024</v>
      </c>
      <c r="E222" s="253">
        <v>0</v>
      </c>
      <c r="F222" s="254"/>
      <c r="G222" s="254"/>
      <c r="H222" s="254"/>
      <c r="I222" s="254"/>
      <c r="J222" s="254"/>
      <c r="K222" s="253">
        <f t="shared" si="20"/>
        <v>697640</v>
      </c>
      <c r="L222" s="255">
        <f t="shared" si="21"/>
        <v>3.2876712328767124E-4</v>
      </c>
      <c r="M222" s="253">
        <f t="shared" si="22"/>
        <v>229.36109589041098</v>
      </c>
    </row>
    <row r="223" spans="2:13" hidden="1" outlineLevel="1" x14ac:dyDescent="0.25">
      <c r="B223" s="251">
        <f t="shared" si="23"/>
        <v>45590</v>
      </c>
      <c r="C223" s="252" t="str">
        <f t="shared" si="18"/>
        <v>Oct</v>
      </c>
      <c r="D223" s="252" t="str">
        <f t="shared" si="19"/>
        <v>2024</v>
      </c>
      <c r="E223" s="253">
        <v>0</v>
      </c>
      <c r="F223" s="254"/>
      <c r="G223" s="254"/>
      <c r="H223" s="254"/>
      <c r="I223" s="254"/>
      <c r="J223" s="254"/>
      <c r="K223" s="253">
        <f t="shared" si="20"/>
        <v>697640</v>
      </c>
      <c r="L223" s="255">
        <f t="shared" si="21"/>
        <v>3.2876712328767124E-4</v>
      </c>
      <c r="M223" s="253">
        <f t="shared" si="22"/>
        <v>229.36109589041098</v>
      </c>
    </row>
    <row r="224" spans="2:13" hidden="1" outlineLevel="1" x14ac:dyDescent="0.25">
      <c r="B224" s="251">
        <f t="shared" si="23"/>
        <v>45591</v>
      </c>
      <c r="C224" s="252" t="str">
        <f t="shared" si="18"/>
        <v>Oct</v>
      </c>
      <c r="D224" s="252" t="str">
        <f t="shared" si="19"/>
        <v>2024</v>
      </c>
      <c r="E224" s="253">
        <v>0</v>
      </c>
      <c r="F224" s="254"/>
      <c r="G224" s="254"/>
      <c r="H224" s="254"/>
      <c r="I224" s="254"/>
      <c r="J224" s="254"/>
      <c r="K224" s="253">
        <f t="shared" si="20"/>
        <v>697640</v>
      </c>
      <c r="L224" s="255">
        <f t="shared" si="21"/>
        <v>3.2876712328767124E-4</v>
      </c>
      <c r="M224" s="253">
        <f t="shared" si="22"/>
        <v>229.36109589041098</v>
      </c>
    </row>
    <row r="225" spans="2:13" hidden="1" outlineLevel="1" x14ac:dyDescent="0.25">
      <c r="B225" s="251">
        <f t="shared" si="23"/>
        <v>45592</v>
      </c>
      <c r="C225" s="252" t="str">
        <f t="shared" si="18"/>
        <v>Oct</v>
      </c>
      <c r="D225" s="252" t="str">
        <f t="shared" si="19"/>
        <v>2024</v>
      </c>
      <c r="E225" s="253">
        <v>0</v>
      </c>
      <c r="F225" s="254"/>
      <c r="G225" s="254"/>
      <c r="H225" s="254"/>
      <c r="I225" s="254"/>
      <c r="J225" s="254"/>
      <c r="K225" s="253">
        <f t="shared" si="20"/>
        <v>697640</v>
      </c>
      <c r="L225" s="255">
        <f t="shared" si="21"/>
        <v>3.2876712328767124E-4</v>
      </c>
      <c r="M225" s="253">
        <f t="shared" si="22"/>
        <v>229.36109589041098</v>
      </c>
    </row>
    <row r="226" spans="2:13" hidden="1" outlineLevel="1" x14ac:dyDescent="0.25">
      <c r="B226" s="251">
        <f t="shared" si="23"/>
        <v>45593</v>
      </c>
      <c r="C226" s="252" t="str">
        <f t="shared" si="18"/>
        <v>Oct</v>
      </c>
      <c r="D226" s="252" t="str">
        <f t="shared" si="19"/>
        <v>2024</v>
      </c>
      <c r="E226" s="253">
        <v>0</v>
      </c>
      <c r="F226" s="254"/>
      <c r="G226" s="254"/>
      <c r="H226" s="254"/>
      <c r="I226" s="254"/>
      <c r="J226" s="254"/>
      <c r="K226" s="253">
        <f t="shared" si="20"/>
        <v>697640</v>
      </c>
      <c r="L226" s="255">
        <f t="shared" si="21"/>
        <v>3.2876712328767124E-4</v>
      </c>
      <c r="M226" s="253">
        <f t="shared" si="22"/>
        <v>229.36109589041098</v>
      </c>
    </row>
    <row r="227" spans="2:13" hidden="1" outlineLevel="1" x14ac:dyDescent="0.25">
      <c r="B227" s="251">
        <f t="shared" si="23"/>
        <v>45594</v>
      </c>
      <c r="C227" s="252" t="str">
        <f t="shared" si="18"/>
        <v>Oct</v>
      </c>
      <c r="D227" s="252" t="str">
        <f t="shared" si="19"/>
        <v>2024</v>
      </c>
      <c r="E227" s="253">
        <v>0</v>
      </c>
      <c r="F227" s="254"/>
      <c r="G227" s="254"/>
      <c r="H227" s="254"/>
      <c r="I227" s="254"/>
      <c r="J227" s="254"/>
      <c r="K227" s="253">
        <f t="shared" si="20"/>
        <v>697640</v>
      </c>
      <c r="L227" s="255">
        <f t="shared" si="21"/>
        <v>3.2876712328767124E-4</v>
      </c>
      <c r="M227" s="253">
        <f t="shared" si="22"/>
        <v>229.36109589041098</v>
      </c>
    </row>
    <row r="228" spans="2:13" hidden="1" outlineLevel="1" x14ac:dyDescent="0.25">
      <c r="B228" s="251">
        <f t="shared" si="23"/>
        <v>45595</v>
      </c>
      <c r="C228" s="252" t="str">
        <f t="shared" si="18"/>
        <v>Oct</v>
      </c>
      <c r="D228" s="252" t="str">
        <f t="shared" si="19"/>
        <v>2024</v>
      </c>
      <c r="E228" s="253">
        <v>0</v>
      </c>
      <c r="F228" s="254"/>
      <c r="G228" s="254"/>
      <c r="H228" s="254"/>
      <c r="I228" s="254"/>
      <c r="J228" s="254"/>
      <c r="K228" s="253">
        <f t="shared" si="20"/>
        <v>697640</v>
      </c>
      <c r="L228" s="255">
        <f t="shared" si="21"/>
        <v>3.2876712328767124E-4</v>
      </c>
      <c r="M228" s="253">
        <f t="shared" si="22"/>
        <v>229.36109589041098</v>
      </c>
    </row>
    <row r="229" spans="2:13" hidden="1" outlineLevel="1" x14ac:dyDescent="0.25">
      <c r="B229" s="251">
        <f t="shared" si="23"/>
        <v>45596</v>
      </c>
      <c r="C229" s="252" t="str">
        <f t="shared" si="18"/>
        <v>Oct</v>
      </c>
      <c r="D229" s="252" t="str">
        <f t="shared" si="19"/>
        <v>2024</v>
      </c>
      <c r="E229" s="253">
        <v>0</v>
      </c>
      <c r="F229" s="254"/>
      <c r="G229" s="254"/>
      <c r="H229" s="254"/>
      <c r="I229" s="254"/>
      <c r="J229" s="254"/>
      <c r="K229" s="253">
        <f t="shared" si="20"/>
        <v>697640</v>
      </c>
      <c r="L229" s="255">
        <f t="shared" si="21"/>
        <v>3.2876712328767124E-4</v>
      </c>
      <c r="M229" s="253">
        <f t="shared" si="22"/>
        <v>229.36109589041098</v>
      </c>
    </row>
    <row r="230" spans="2:13" hidden="1" outlineLevel="1" x14ac:dyDescent="0.25">
      <c r="B230" s="251">
        <f t="shared" si="23"/>
        <v>45597</v>
      </c>
      <c r="C230" s="252" t="str">
        <f t="shared" si="18"/>
        <v>Nov</v>
      </c>
      <c r="D230" s="252" t="str">
        <f t="shared" si="19"/>
        <v>2024</v>
      </c>
      <c r="E230" s="253">
        <v>0</v>
      </c>
      <c r="F230" s="254"/>
      <c r="G230" s="254"/>
      <c r="H230" s="254"/>
      <c r="I230" s="254"/>
      <c r="J230" s="254"/>
      <c r="K230" s="253">
        <f t="shared" si="20"/>
        <v>697640</v>
      </c>
      <c r="L230" s="255">
        <f t="shared" si="21"/>
        <v>3.2876712328767124E-4</v>
      </c>
      <c r="M230" s="253">
        <f t="shared" si="22"/>
        <v>229.36109589041098</v>
      </c>
    </row>
    <row r="231" spans="2:13" hidden="1" outlineLevel="1" x14ac:dyDescent="0.25">
      <c r="B231" s="251">
        <f t="shared" si="23"/>
        <v>45598</v>
      </c>
      <c r="C231" s="252" t="str">
        <f t="shared" si="18"/>
        <v>Nov</v>
      </c>
      <c r="D231" s="252" t="str">
        <f t="shared" si="19"/>
        <v>2024</v>
      </c>
      <c r="E231" s="253">
        <v>0</v>
      </c>
      <c r="F231" s="254"/>
      <c r="G231" s="254"/>
      <c r="H231" s="254"/>
      <c r="I231" s="254"/>
      <c r="J231" s="254"/>
      <c r="K231" s="253">
        <f t="shared" si="20"/>
        <v>697640</v>
      </c>
      <c r="L231" s="255">
        <f t="shared" si="21"/>
        <v>3.2876712328767124E-4</v>
      </c>
      <c r="M231" s="253">
        <f t="shared" si="22"/>
        <v>229.36109589041098</v>
      </c>
    </row>
    <row r="232" spans="2:13" hidden="1" outlineLevel="1" x14ac:dyDescent="0.25">
      <c r="B232" s="251">
        <f t="shared" si="23"/>
        <v>45599</v>
      </c>
      <c r="C232" s="252" t="str">
        <f t="shared" si="18"/>
        <v>Nov</v>
      </c>
      <c r="D232" s="252" t="str">
        <f t="shared" si="19"/>
        <v>2024</v>
      </c>
      <c r="E232" s="253">
        <v>0</v>
      </c>
      <c r="F232" s="254"/>
      <c r="G232" s="254"/>
      <c r="H232" s="254"/>
      <c r="I232" s="254"/>
      <c r="J232" s="254"/>
      <c r="K232" s="253">
        <f t="shared" si="20"/>
        <v>697640</v>
      </c>
      <c r="L232" s="255">
        <f t="shared" si="21"/>
        <v>3.2876712328767124E-4</v>
      </c>
      <c r="M232" s="253">
        <f t="shared" si="22"/>
        <v>229.36109589041098</v>
      </c>
    </row>
    <row r="233" spans="2:13" hidden="1" outlineLevel="1" x14ac:dyDescent="0.25">
      <c r="B233" s="251">
        <f t="shared" si="23"/>
        <v>45600</v>
      </c>
      <c r="C233" s="252" t="str">
        <f t="shared" si="18"/>
        <v>Nov</v>
      </c>
      <c r="D233" s="252" t="str">
        <f t="shared" si="19"/>
        <v>2024</v>
      </c>
      <c r="E233" s="253">
        <v>0</v>
      </c>
      <c r="F233" s="254"/>
      <c r="G233" s="254"/>
      <c r="H233" s="254"/>
      <c r="I233" s="254"/>
      <c r="J233" s="254"/>
      <c r="K233" s="253">
        <f t="shared" si="20"/>
        <v>697640</v>
      </c>
      <c r="L233" s="255">
        <f t="shared" si="21"/>
        <v>3.2876712328767124E-4</v>
      </c>
      <c r="M233" s="253">
        <f t="shared" si="22"/>
        <v>229.36109589041098</v>
      </c>
    </row>
    <row r="234" spans="2:13" hidden="1" outlineLevel="1" x14ac:dyDescent="0.25">
      <c r="B234" s="251">
        <f t="shared" si="23"/>
        <v>45601</v>
      </c>
      <c r="C234" s="252" t="str">
        <f t="shared" si="18"/>
        <v>Nov</v>
      </c>
      <c r="D234" s="252" t="str">
        <f t="shared" si="19"/>
        <v>2024</v>
      </c>
      <c r="E234" s="253">
        <v>0</v>
      </c>
      <c r="F234" s="254"/>
      <c r="G234" s="254"/>
      <c r="H234" s="254"/>
      <c r="I234" s="254"/>
      <c r="J234" s="254"/>
      <c r="K234" s="253">
        <f t="shared" si="20"/>
        <v>697640</v>
      </c>
      <c r="L234" s="255">
        <f t="shared" si="21"/>
        <v>3.2876712328767124E-4</v>
      </c>
      <c r="M234" s="253">
        <f t="shared" si="22"/>
        <v>229.36109589041098</v>
      </c>
    </row>
    <row r="235" spans="2:13" hidden="1" outlineLevel="1" x14ac:dyDescent="0.25">
      <c r="B235" s="251">
        <f t="shared" si="23"/>
        <v>45602</v>
      </c>
      <c r="C235" s="252" t="str">
        <f t="shared" si="18"/>
        <v>Nov</v>
      </c>
      <c r="D235" s="252" t="str">
        <f t="shared" si="19"/>
        <v>2024</v>
      </c>
      <c r="E235" s="253">
        <v>0</v>
      </c>
      <c r="F235" s="254"/>
      <c r="G235" s="254"/>
      <c r="H235" s="254"/>
      <c r="I235" s="254"/>
      <c r="J235" s="254"/>
      <c r="K235" s="253">
        <f t="shared" si="20"/>
        <v>697640</v>
      </c>
      <c r="L235" s="255">
        <f t="shared" si="21"/>
        <v>3.2876712328767124E-4</v>
      </c>
      <c r="M235" s="253">
        <f t="shared" si="22"/>
        <v>229.36109589041098</v>
      </c>
    </row>
    <row r="236" spans="2:13" hidden="1" outlineLevel="1" x14ac:dyDescent="0.25">
      <c r="B236" s="251">
        <f t="shared" si="23"/>
        <v>45603</v>
      </c>
      <c r="C236" s="252" t="str">
        <f t="shared" si="18"/>
        <v>Nov</v>
      </c>
      <c r="D236" s="252" t="str">
        <f t="shared" si="19"/>
        <v>2024</v>
      </c>
      <c r="E236" s="253">
        <v>0</v>
      </c>
      <c r="F236" s="254"/>
      <c r="G236" s="254"/>
      <c r="H236" s="254"/>
      <c r="I236" s="254"/>
      <c r="J236" s="254"/>
      <c r="K236" s="253">
        <f t="shared" si="20"/>
        <v>697640</v>
      </c>
      <c r="L236" s="255">
        <f t="shared" si="21"/>
        <v>3.2876712328767124E-4</v>
      </c>
      <c r="M236" s="253">
        <f t="shared" si="22"/>
        <v>229.36109589041098</v>
      </c>
    </row>
    <row r="237" spans="2:13" hidden="1" outlineLevel="1" x14ac:dyDescent="0.25">
      <c r="B237" s="251">
        <f t="shared" si="23"/>
        <v>45604</v>
      </c>
      <c r="C237" s="252" t="str">
        <f t="shared" si="18"/>
        <v>Nov</v>
      </c>
      <c r="D237" s="252" t="str">
        <f t="shared" si="19"/>
        <v>2024</v>
      </c>
      <c r="E237" s="253">
        <v>0</v>
      </c>
      <c r="F237" s="254"/>
      <c r="G237" s="254"/>
      <c r="H237" s="254"/>
      <c r="I237" s="254"/>
      <c r="J237" s="254"/>
      <c r="K237" s="253">
        <f t="shared" si="20"/>
        <v>697640</v>
      </c>
      <c r="L237" s="255">
        <f t="shared" si="21"/>
        <v>3.2876712328767124E-4</v>
      </c>
      <c r="M237" s="253">
        <f t="shared" si="22"/>
        <v>229.36109589041098</v>
      </c>
    </row>
    <row r="238" spans="2:13" hidden="1" outlineLevel="1" x14ac:dyDescent="0.25">
      <c r="B238" s="251">
        <f t="shared" si="23"/>
        <v>45605</v>
      </c>
      <c r="C238" s="252" t="str">
        <f t="shared" si="18"/>
        <v>Nov</v>
      </c>
      <c r="D238" s="252" t="str">
        <f t="shared" si="19"/>
        <v>2024</v>
      </c>
      <c r="E238" s="253">
        <v>0</v>
      </c>
      <c r="F238" s="254"/>
      <c r="G238" s="254"/>
      <c r="H238" s="254"/>
      <c r="I238" s="254"/>
      <c r="J238" s="254"/>
      <c r="K238" s="253">
        <f t="shared" si="20"/>
        <v>697640</v>
      </c>
      <c r="L238" s="255">
        <f t="shared" si="21"/>
        <v>3.2876712328767124E-4</v>
      </c>
      <c r="M238" s="253">
        <f t="shared" si="22"/>
        <v>229.36109589041098</v>
      </c>
    </row>
    <row r="239" spans="2:13" hidden="1" outlineLevel="1" x14ac:dyDescent="0.25">
      <c r="B239" s="251">
        <f t="shared" si="23"/>
        <v>45606</v>
      </c>
      <c r="C239" s="252" t="str">
        <f t="shared" si="18"/>
        <v>Nov</v>
      </c>
      <c r="D239" s="252" t="str">
        <f t="shared" si="19"/>
        <v>2024</v>
      </c>
      <c r="E239" s="253">
        <v>0</v>
      </c>
      <c r="F239" s="254"/>
      <c r="G239" s="254"/>
      <c r="H239" s="254"/>
      <c r="I239" s="254"/>
      <c r="J239" s="254"/>
      <c r="K239" s="253">
        <f t="shared" si="20"/>
        <v>697640</v>
      </c>
      <c r="L239" s="255">
        <f t="shared" si="21"/>
        <v>3.2876712328767124E-4</v>
      </c>
      <c r="M239" s="253">
        <f t="shared" si="22"/>
        <v>229.36109589041098</v>
      </c>
    </row>
    <row r="240" spans="2:13" hidden="1" outlineLevel="1" x14ac:dyDescent="0.25">
      <c r="B240" s="251">
        <f t="shared" si="23"/>
        <v>45607</v>
      </c>
      <c r="C240" s="252" t="str">
        <f t="shared" si="18"/>
        <v>Nov</v>
      </c>
      <c r="D240" s="252" t="str">
        <f t="shared" si="19"/>
        <v>2024</v>
      </c>
      <c r="E240" s="253">
        <v>0</v>
      </c>
      <c r="F240" s="254"/>
      <c r="G240" s="254"/>
      <c r="H240" s="254"/>
      <c r="I240" s="254"/>
      <c r="J240" s="254"/>
      <c r="K240" s="253">
        <f t="shared" si="20"/>
        <v>697640</v>
      </c>
      <c r="L240" s="255">
        <f t="shared" si="21"/>
        <v>3.2876712328767124E-4</v>
      </c>
      <c r="M240" s="253">
        <f t="shared" si="22"/>
        <v>229.36109589041098</v>
      </c>
    </row>
    <row r="241" spans="2:13" hidden="1" outlineLevel="1" x14ac:dyDescent="0.25">
      <c r="B241" s="251">
        <f t="shared" si="23"/>
        <v>45608</v>
      </c>
      <c r="C241" s="252" t="str">
        <f t="shared" si="18"/>
        <v>Nov</v>
      </c>
      <c r="D241" s="252" t="str">
        <f t="shared" si="19"/>
        <v>2024</v>
      </c>
      <c r="E241" s="253">
        <v>0</v>
      </c>
      <c r="F241" s="254"/>
      <c r="G241" s="254"/>
      <c r="H241" s="254"/>
      <c r="I241" s="254"/>
      <c r="J241" s="254"/>
      <c r="K241" s="253">
        <f t="shared" si="20"/>
        <v>697640</v>
      </c>
      <c r="L241" s="255">
        <f t="shared" si="21"/>
        <v>3.2876712328767124E-4</v>
      </c>
      <c r="M241" s="253">
        <f t="shared" si="22"/>
        <v>229.36109589041098</v>
      </c>
    </row>
    <row r="242" spans="2:13" hidden="1" outlineLevel="1" x14ac:dyDescent="0.25">
      <c r="B242" s="251">
        <f t="shared" si="23"/>
        <v>45609</v>
      </c>
      <c r="C242" s="252" t="str">
        <f t="shared" si="18"/>
        <v>Nov</v>
      </c>
      <c r="D242" s="252" t="str">
        <f t="shared" si="19"/>
        <v>2024</v>
      </c>
      <c r="E242" s="253">
        <v>0</v>
      </c>
      <c r="F242" s="254"/>
      <c r="G242" s="254"/>
      <c r="H242" s="254"/>
      <c r="I242" s="254"/>
      <c r="J242" s="254"/>
      <c r="K242" s="253">
        <f t="shared" si="20"/>
        <v>697640</v>
      </c>
      <c r="L242" s="255">
        <f t="shared" si="21"/>
        <v>3.2876712328767124E-4</v>
      </c>
      <c r="M242" s="253">
        <f t="shared" si="22"/>
        <v>229.36109589041098</v>
      </c>
    </row>
    <row r="243" spans="2:13" hidden="1" outlineLevel="1" x14ac:dyDescent="0.25">
      <c r="B243" s="251">
        <f t="shared" si="23"/>
        <v>45610</v>
      </c>
      <c r="C243" s="252" t="str">
        <f t="shared" si="18"/>
        <v>Nov</v>
      </c>
      <c r="D243" s="252" t="str">
        <f t="shared" si="19"/>
        <v>2024</v>
      </c>
      <c r="E243" s="253">
        <v>0</v>
      </c>
      <c r="F243" s="254"/>
      <c r="G243" s="254"/>
      <c r="H243" s="254"/>
      <c r="I243" s="254"/>
      <c r="J243" s="254"/>
      <c r="K243" s="253">
        <f t="shared" si="20"/>
        <v>697640</v>
      </c>
      <c r="L243" s="255">
        <f t="shared" si="21"/>
        <v>3.2876712328767124E-4</v>
      </c>
      <c r="M243" s="253">
        <f t="shared" si="22"/>
        <v>229.36109589041098</v>
      </c>
    </row>
    <row r="244" spans="2:13" hidden="1" outlineLevel="1" x14ac:dyDescent="0.25">
      <c r="B244" s="251">
        <f t="shared" si="23"/>
        <v>45611</v>
      </c>
      <c r="C244" s="252" t="str">
        <f t="shared" si="18"/>
        <v>Nov</v>
      </c>
      <c r="D244" s="252" t="str">
        <f t="shared" si="19"/>
        <v>2024</v>
      </c>
      <c r="E244" s="253">
        <v>0</v>
      </c>
      <c r="F244" s="254"/>
      <c r="G244" s="254"/>
      <c r="H244" s="254"/>
      <c r="I244" s="254"/>
      <c r="J244" s="254"/>
      <c r="K244" s="253">
        <f t="shared" si="20"/>
        <v>697640</v>
      </c>
      <c r="L244" s="255">
        <f t="shared" si="21"/>
        <v>3.2876712328767124E-4</v>
      </c>
      <c r="M244" s="253">
        <f t="shared" si="22"/>
        <v>229.36109589041098</v>
      </c>
    </row>
    <row r="245" spans="2:13" hidden="1" outlineLevel="1" x14ac:dyDescent="0.25">
      <c r="B245" s="251">
        <f t="shared" si="23"/>
        <v>45612</v>
      </c>
      <c r="C245" s="252" t="str">
        <f t="shared" si="18"/>
        <v>Nov</v>
      </c>
      <c r="D245" s="252" t="str">
        <f t="shared" si="19"/>
        <v>2024</v>
      </c>
      <c r="E245" s="253">
        <v>0</v>
      </c>
      <c r="F245" s="254"/>
      <c r="G245" s="254"/>
      <c r="H245" s="254"/>
      <c r="I245" s="254"/>
      <c r="J245" s="254"/>
      <c r="K245" s="253">
        <f t="shared" si="20"/>
        <v>697640</v>
      </c>
      <c r="L245" s="255">
        <f t="shared" si="21"/>
        <v>3.2876712328767124E-4</v>
      </c>
      <c r="M245" s="253">
        <f t="shared" si="22"/>
        <v>229.36109589041098</v>
      </c>
    </row>
    <row r="246" spans="2:13" hidden="1" outlineLevel="1" x14ac:dyDescent="0.25">
      <c r="B246" s="251">
        <f t="shared" si="23"/>
        <v>45613</v>
      </c>
      <c r="C246" s="252" t="str">
        <f t="shared" si="18"/>
        <v>Nov</v>
      </c>
      <c r="D246" s="252" t="str">
        <f t="shared" si="19"/>
        <v>2024</v>
      </c>
      <c r="E246" s="253">
        <v>0</v>
      </c>
      <c r="F246" s="254"/>
      <c r="G246" s="254"/>
      <c r="H246" s="254"/>
      <c r="I246" s="254"/>
      <c r="J246" s="254"/>
      <c r="K246" s="253">
        <f t="shared" si="20"/>
        <v>697640</v>
      </c>
      <c r="L246" s="255">
        <f t="shared" si="21"/>
        <v>3.2876712328767124E-4</v>
      </c>
      <c r="M246" s="253">
        <f t="shared" si="22"/>
        <v>229.36109589041098</v>
      </c>
    </row>
    <row r="247" spans="2:13" hidden="1" outlineLevel="1" x14ac:dyDescent="0.25">
      <c r="B247" s="251">
        <f t="shared" si="23"/>
        <v>45614</v>
      </c>
      <c r="C247" s="252" t="str">
        <f t="shared" si="18"/>
        <v>Nov</v>
      </c>
      <c r="D247" s="252" t="str">
        <f t="shared" si="19"/>
        <v>2024</v>
      </c>
      <c r="E247" s="253">
        <v>0</v>
      </c>
      <c r="F247" s="254"/>
      <c r="G247" s="254"/>
      <c r="H247" s="254"/>
      <c r="I247" s="254"/>
      <c r="J247" s="254"/>
      <c r="K247" s="253">
        <f t="shared" si="20"/>
        <v>697640</v>
      </c>
      <c r="L247" s="255">
        <f t="shared" si="21"/>
        <v>3.2876712328767124E-4</v>
      </c>
      <c r="M247" s="253">
        <f t="shared" si="22"/>
        <v>229.36109589041098</v>
      </c>
    </row>
    <row r="248" spans="2:13" hidden="1" outlineLevel="1" x14ac:dyDescent="0.25">
      <c r="B248" s="251">
        <f t="shared" si="23"/>
        <v>45615</v>
      </c>
      <c r="C248" s="252" t="str">
        <f t="shared" si="18"/>
        <v>Nov</v>
      </c>
      <c r="D248" s="252" t="str">
        <f t="shared" si="19"/>
        <v>2024</v>
      </c>
      <c r="E248" s="253">
        <v>0</v>
      </c>
      <c r="F248" s="254"/>
      <c r="G248" s="254"/>
      <c r="H248" s="254"/>
      <c r="I248" s="254"/>
      <c r="J248" s="254"/>
      <c r="K248" s="253">
        <f t="shared" si="20"/>
        <v>697640</v>
      </c>
      <c r="L248" s="255">
        <f t="shared" si="21"/>
        <v>3.2876712328767124E-4</v>
      </c>
      <c r="M248" s="253">
        <f t="shared" si="22"/>
        <v>229.36109589041098</v>
      </c>
    </row>
    <row r="249" spans="2:13" hidden="1" outlineLevel="1" x14ac:dyDescent="0.25">
      <c r="B249" s="251">
        <f t="shared" si="23"/>
        <v>45616</v>
      </c>
      <c r="C249" s="252" t="str">
        <f t="shared" si="18"/>
        <v>Nov</v>
      </c>
      <c r="D249" s="252" t="str">
        <f t="shared" si="19"/>
        <v>2024</v>
      </c>
      <c r="E249" s="253">
        <v>0</v>
      </c>
      <c r="F249" s="254"/>
      <c r="G249" s="254"/>
      <c r="H249" s="254"/>
      <c r="I249" s="254"/>
      <c r="J249" s="254"/>
      <c r="K249" s="253">
        <f t="shared" si="20"/>
        <v>697640</v>
      </c>
      <c r="L249" s="255">
        <f t="shared" si="21"/>
        <v>3.2876712328767124E-4</v>
      </c>
      <c r="M249" s="253">
        <f t="shared" si="22"/>
        <v>229.36109589041098</v>
      </c>
    </row>
    <row r="250" spans="2:13" hidden="1" outlineLevel="1" x14ac:dyDescent="0.25">
      <c r="B250" s="251">
        <f t="shared" si="23"/>
        <v>45617</v>
      </c>
      <c r="C250" s="252" t="str">
        <f t="shared" si="18"/>
        <v>Nov</v>
      </c>
      <c r="D250" s="252" t="str">
        <f t="shared" si="19"/>
        <v>2024</v>
      </c>
      <c r="E250" s="253">
        <v>0</v>
      </c>
      <c r="F250" s="254"/>
      <c r="G250" s="254"/>
      <c r="H250" s="254"/>
      <c r="I250" s="254"/>
      <c r="J250" s="254"/>
      <c r="K250" s="253">
        <f t="shared" si="20"/>
        <v>697640</v>
      </c>
      <c r="L250" s="255">
        <f t="shared" si="21"/>
        <v>3.2876712328767124E-4</v>
      </c>
      <c r="M250" s="253">
        <f t="shared" si="22"/>
        <v>229.36109589041098</v>
      </c>
    </row>
    <row r="251" spans="2:13" hidden="1" outlineLevel="1" x14ac:dyDescent="0.25">
      <c r="B251" s="251">
        <f t="shared" si="23"/>
        <v>45618</v>
      </c>
      <c r="C251" s="252" t="str">
        <f t="shared" si="18"/>
        <v>Nov</v>
      </c>
      <c r="D251" s="252" t="str">
        <f t="shared" si="19"/>
        <v>2024</v>
      </c>
      <c r="E251" s="253">
        <v>0</v>
      </c>
      <c r="F251" s="254"/>
      <c r="G251" s="254"/>
      <c r="H251" s="254"/>
      <c r="I251" s="254"/>
      <c r="J251" s="254"/>
      <c r="K251" s="253">
        <f t="shared" si="20"/>
        <v>697640</v>
      </c>
      <c r="L251" s="255">
        <f t="shared" si="21"/>
        <v>3.2876712328767124E-4</v>
      </c>
      <c r="M251" s="253">
        <f t="shared" si="22"/>
        <v>229.36109589041098</v>
      </c>
    </row>
    <row r="252" spans="2:13" hidden="1" outlineLevel="1" x14ac:dyDescent="0.25">
      <c r="B252" s="251">
        <f t="shared" si="23"/>
        <v>45619</v>
      </c>
      <c r="C252" s="252" t="str">
        <f t="shared" si="18"/>
        <v>Nov</v>
      </c>
      <c r="D252" s="252" t="str">
        <f t="shared" si="19"/>
        <v>2024</v>
      </c>
      <c r="E252" s="253">
        <v>0</v>
      </c>
      <c r="F252" s="254"/>
      <c r="G252" s="254"/>
      <c r="H252" s="254"/>
      <c r="I252" s="254"/>
      <c r="J252" s="254"/>
      <c r="K252" s="253">
        <f t="shared" si="20"/>
        <v>697640</v>
      </c>
      <c r="L252" s="255">
        <f t="shared" si="21"/>
        <v>3.2876712328767124E-4</v>
      </c>
      <c r="M252" s="253">
        <f t="shared" si="22"/>
        <v>229.36109589041098</v>
      </c>
    </row>
    <row r="253" spans="2:13" hidden="1" outlineLevel="1" x14ac:dyDescent="0.25">
      <c r="B253" s="251">
        <f t="shared" si="23"/>
        <v>45620</v>
      </c>
      <c r="C253" s="252" t="str">
        <f t="shared" si="18"/>
        <v>Nov</v>
      </c>
      <c r="D253" s="252" t="str">
        <f t="shared" si="19"/>
        <v>2024</v>
      </c>
      <c r="E253" s="253">
        <v>0</v>
      </c>
      <c r="F253" s="254"/>
      <c r="G253" s="254"/>
      <c r="H253" s="254"/>
      <c r="I253" s="254"/>
      <c r="J253" s="254"/>
      <c r="K253" s="253">
        <f t="shared" si="20"/>
        <v>697640</v>
      </c>
      <c r="L253" s="255">
        <f t="shared" si="21"/>
        <v>3.2876712328767124E-4</v>
      </c>
      <c r="M253" s="253">
        <f t="shared" si="22"/>
        <v>229.36109589041098</v>
      </c>
    </row>
    <row r="254" spans="2:13" hidden="1" outlineLevel="1" x14ac:dyDescent="0.25">
      <c r="B254" s="251">
        <f t="shared" si="23"/>
        <v>45621</v>
      </c>
      <c r="C254" s="252" t="str">
        <f t="shared" si="18"/>
        <v>Nov</v>
      </c>
      <c r="D254" s="252" t="str">
        <f t="shared" si="19"/>
        <v>2024</v>
      </c>
      <c r="E254" s="253">
        <v>0</v>
      </c>
      <c r="F254" s="254"/>
      <c r="G254" s="254"/>
      <c r="H254" s="254"/>
      <c r="I254" s="254"/>
      <c r="J254" s="254"/>
      <c r="K254" s="253">
        <f t="shared" si="20"/>
        <v>697640</v>
      </c>
      <c r="L254" s="255">
        <f t="shared" si="21"/>
        <v>3.2876712328767124E-4</v>
      </c>
      <c r="M254" s="253">
        <f t="shared" si="22"/>
        <v>229.36109589041098</v>
      </c>
    </row>
    <row r="255" spans="2:13" hidden="1" outlineLevel="1" x14ac:dyDescent="0.25">
      <c r="B255" s="251">
        <f t="shared" si="23"/>
        <v>45622</v>
      </c>
      <c r="C255" s="252" t="str">
        <f t="shared" si="18"/>
        <v>Nov</v>
      </c>
      <c r="D255" s="252" t="str">
        <f t="shared" si="19"/>
        <v>2024</v>
      </c>
      <c r="E255" s="253">
        <v>0</v>
      </c>
      <c r="F255" s="254"/>
      <c r="G255" s="254"/>
      <c r="H255" s="254"/>
      <c r="I255" s="254"/>
      <c r="J255" s="254"/>
      <c r="K255" s="253">
        <f t="shared" si="20"/>
        <v>697640</v>
      </c>
      <c r="L255" s="255">
        <f t="shared" si="21"/>
        <v>3.2876712328767124E-4</v>
      </c>
      <c r="M255" s="253">
        <f t="shared" si="22"/>
        <v>229.36109589041098</v>
      </c>
    </row>
    <row r="256" spans="2:13" hidden="1" outlineLevel="1" x14ac:dyDescent="0.25">
      <c r="B256" s="251">
        <f t="shared" si="23"/>
        <v>45623</v>
      </c>
      <c r="C256" s="252" t="str">
        <f t="shared" si="18"/>
        <v>Nov</v>
      </c>
      <c r="D256" s="252" t="str">
        <f t="shared" si="19"/>
        <v>2024</v>
      </c>
      <c r="E256" s="253">
        <v>0</v>
      </c>
      <c r="F256" s="254"/>
      <c r="G256" s="254"/>
      <c r="H256" s="254"/>
      <c r="I256" s="254"/>
      <c r="J256" s="254"/>
      <c r="K256" s="253">
        <f t="shared" si="20"/>
        <v>697640</v>
      </c>
      <c r="L256" s="255">
        <f t="shared" si="21"/>
        <v>3.2876712328767124E-4</v>
      </c>
      <c r="M256" s="253">
        <f t="shared" si="22"/>
        <v>229.36109589041098</v>
      </c>
    </row>
    <row r="257" spans="2:13" hidden="1" outlineLevel="1" x14ac:dyDescent="0.25">
      <c r="B257" s="251">
        <f t="shared" si="23"/>
        <v>45624</v>
      </c>
      <c r="C257" s="252" t="str">
        <f t="shared" si="18"/>
        <v>Nov</v>
      </c>
      <c r="D257" s="252" t="str">
        <f t="shared" si="19"/>
        <v>2024</v>
      </c>
      <c r="E257" s="253">
        <v>0</v>
      </c>
      <c r="F257" s="254"/>
      <c r="G257" s="254"/>
      <c r="H257" s="254"/>
      <c r="I257" s="254"/>
      <c r="J257" s="254"/>
      <c r="K257" s="253">
        <f t="shared" si="20"/>
        <v>697640</v>
      </c>
      <c r="L257" s="255">
        <f t="shared" si="21"/>
        <v>3.2876712328767124E-4</v>
      </c>
      <c r="M257" s="253">
        <f t="shared" si="22"/>
        <v>229.36109589041098</v>
      </c>
    </row>
    <row r="258" spans="2:13" hidden="1" outlineLevel="1" x14ac:dyDescent="0.25">
      <c r="B258" s="251">
        <f t="shared" si="23"/>
        <v>45625</v>
      </c>
      <c r="C258" s="252" t="str">
        <f t="shared" si="18"/>
        <v>Nov</v>
      </c>
      <c r="D258" s="252" t="str">
        <f t="shared" si="19"/>
        <v>2024</v>
      </c>
      <c r="E258" s="253">
        <v>0</v>
      </c>
      <c r="F258" s="254"/>
      <c r="G258" s="254"/>
      <c r="H258" s="254"/>
      <c r="I258" s="254"/>
      <c r="J258" s="254"/>
      <c r="K258" s="253">
        <f t="shared" si="20"/>
        <v>697640</v>
      </c>
      <c r="L258" s="255">
        <f t="shared" si="21"/>
        <v>3.2876712328767124E-4</v>
      </c>
      <c r="M258" s="253">
        <f t="shared" si="22"/>
        <v>229.36109589041098</v>
      </c>
    </row>
    <row r="259" spans="2:13" hidden="1" outlineLevel="1" x14ac:dyDescent="0.25">
      <c r="B259" s="251">
        <f t="shared" si="23"/>
        <v>45626</v>
      </c>
      <c r="C259" s="252" t="str">
        <f t="shared" si="18"/>
        <v>Nov</v>
      </c>
      <c r="D259" s="252" t="str">
        <f t="shared" si="19"/>
        <v>2024</v>
      </c>
      <c r="E259" s="253">
        <v>0</v>
      </c>
      <c r="F259" s="254"/>
      <c r="G259" s="254"/>
      <c r="H259" s="254"/>
      <c r="I259" s="254"/>
      <c r="J259" s="254"/>
      <c r="K259" s="253">
        <f t="shared" si="20"/>
        <v>697640</v>
      </c>
      <c r="L259" s="255">
        <f t="shared" si="21"/>
        <v>3.2876712328767124E-4</v>
      </c>
      <c r="M259" s="253">
        <f t="shared" si="22"/>
        <v>229.36109589041098</v>
      </c>
    </row>
    <row r="260" spans="2:13" hidden="1" outlineLevel="1" x14ac:dyDescent="0.25">
      <c r="B260" s="251">
        <f t="shared" si="23"/>
        <v>45627</v>
      </c>
      <c r="C260" s="252" t="str">
        <f t="shared" si="18"/>
        <v>Dec</v>
      </c>
      <c r="D260" s="252" t="str">
        <f t="shared" si="19"/>
        <v>2024</v>
      </c>
      <c r="E260" s="253">
        <v>0</v>
      </c>
      <c r="F260" s="254"/>
      <c r="G260" s="254"/>
      <c r="H260" s="254"/>
      <c r="I260" s="254"/>
      <c r="J260" s="254"/>
      <c r="K260" s="253">
        <f t="shared" si="20"/>
        <v>697640</v>
      </c>
      <c r="L260" s="255">
        <f t="shared" si="21"/>
        <v>3.2876712328767124E-4</v>
      </c>
      <c r="M260" s="253">
        <f t="shared" si="22"/>
        <v>229.36109589041098</v>
      </c>
    </row>
    <row r="261" spans="2:13" hidden="1" outlineLevel="1" x14ac:dyDescent="0.25">
      <c r="B261" s="251">
        <f t="shared" si="23"/>
        <v>45628</v>
      </c>
      <c r="C261" s="252" t="str">
        <f t="shared" si="18"/>
        <v>Dec</v>
      </c>
      <c r="D261" s="252" t="str">
        <f t="shared" si="19"/>
        <v>2024</v>
      </c>
      <c r="E261" s="253">
        <v>0</v>
      </c>
      <c r="F261" s="254"/>
      <c r="G261" s="254"/>
      <c r="H261" s="254"/>
      <c r="I261" s="254"/>
      <c r="J261" s="254"/>
      <c r="K261" s="253">
        <f t="shared" si="20"/>
        <v>697640</v>
      </c>
      <c r="L261" s="255">
        <f t="shared" si="21"/>
        <v>3.2876712328767124E-4</v>
      </c>
      <c r="M261" s="253">
        <f t="shared" si="22"/>
        <v>229.36109589041098</v>
      </c>
    </row>
    <row r="262" spans="2:13" hidden="1" outlineLevel="1" x14ac:dyDescent="0.25">
      <c r="B262" s="251">
        <f t="shared" si="23"/>
        <v>45629</v>
      </c>
      <c r="C262" s="252" t="str">
        <f t="shared" si="18"/>
        <v>Dec</v>
      </c>
      <c r="D262" s="252" t="str">
        <f t="shared" si="19"/>
        <v>2024</v>
      </c>
      <c r="E262" s="253">
        <v>0</v>
      </c>
      <c r="F262" s="254"/>
      <c r="G262" s="254"/>
      <c r="H262" s="254"/>
      <c r="I262" s="254"/>
      <c r="J262" s="254"/>
      <c r="K262" s="253">
        <f t="shared" si="20"/>
        <v>697640</v>
      </c>
      <c r="L262" s="255">
        <f t="shared" si="21"/>
        <v>3.2876712328767124E-4</v>
      </c>
      <c r="M262" s="253">
        <f t="shared" si="22"/>
        <v>229.36109589041098</v>
      </c>
    </row>
    <row r="263" spans="2:13" hidden="1" outlineLevel="1" x14ac:dyDescent="0.25">
      <c r="B263" s="251">
        <f t="shared" si="23"/>
        <v>45630</v>
      </c>
      <c r="C263" s="252" t="str">
        <f t="shared" si="18"/>
        <v>Dec</v>
      </c>
      <c r="D263" s="252" t="str">
        <f t="shared" si="19"/>
        <v>2024</v>
      </c>
      <c r="E263" s="253">
        <v>30000</v>
      </c>
      <c r="F263" s="254" t="s">
        <v>728</v>
      </c>
      <c r="G263" s="254"/>
      <c r="H263" s="254" t="s">
        <v>911</v>
      </c>
      <c r="I263" s="254" t="s">
        <v>919</v>
      </c>
      <c r="J263" s="254" t="s">
        <v>54</v>
      </c>
      <c r="K263" s="253">
        <f t="shared" si="20"/>
        <v>727640</v>
      </c>
      <c r="L263" s="255">
        <f t="shared" si="21"/>
        <v>3.2876712328767124E-4</v>
      </c>
      <c r="M263" s="253">
        <f t="shared" si="22"/>
        <v>239.22410958904109</v>
      </c>
    </row>
    <row r="264" spans="2:13" hidden="1" outlineLevel="1" x14ac:dyDescent="0.25">
      <c r="B264" s="251">
        <f t="shared" si="23"/>
        <v>45631</v>
      </c>
      <c r="C264" s="252" t="str">
        <f t="shared" ref="C264:C327" si="24">TEXT(B264,"mmm")</f>
        <v>Dec</v>
      </c>
      <c r="D264" s="252" t="str">
        <f t="shared" ref="D264:D327" si="25">TEXT(B264,"yyyy")</f>
        <v>2024</v>
      </c>
      <c r="E264" s="253">
        <v>0</v>
      </c>
      <c r="F264" s="254"/>
      <c r="G264" s="254"/>
      <c r="H264" s="254"/>
      <c r="I264" s="254"/>
      <c r="J264" s="254"/>
      <c r="K264" s="253">
        <f t="shared" ref="K264:K327" si="26">K263+E264</f>
        <v>727640</v>
      </c>
      <c r="L264" s="255">
        <f t="shared" ref="L264:L327" si="27">(0.12/365)</f>
        <v>3.2876712328767124E-4</v>
      </c>
      <c r="M264" s="253">
        <f t="shared" ref="M264:M327" si="28">K264*L264</f>
        <v>239.22410958904109</v>
      </c>
    </row>
    <row r="265" spans="2:13" hidden="1" outlineLevel="1" x14ac:dyDescent="0.25">
      <c r="B265" s="251">
        <f t="shared" si="23"/>
        <v>45632</v>
      </c>
      <c r="C265" s="252" t="str">
        <f t="shared" si="24"/>
        <v>Dec</v>
      </c>
      <c r="D265" s="252" t="str">
        <f t="shared" si="25"/>
        <v>2024</v>
      </c>
      <c r="E265" s="253">
        <v>0</v>
      </c>
      <c r="F265" s="254"/>
      <c r="G265" s="254"/>
      <c r="H265" s="254"/>
      <c r="I265" s="254"/>
      <c r="J265" s="254"/>
      <c r="K265" s="253">
        <f t="shared" si="26"/>
        <v>727640</v>
      </c>
      <c r="L265" s="255">
        <f t="shared" si="27"/>
        <v>3.2876712328767124E-4</v>
      </c>
      <c r="M265" s="253">
        <f t="shared" si="28"/>
        <v>239.22410958904109</v>
      </c>
    </row>
    <row r="266" spans="2:13" hidden="1" outlineLevel="1" x14ac:dyDescent="0.25">
      <c r="B266" s="251">
        <f t="shared" si="23"/>
        <v>45633</v>
      </c>
      <c r="C266" s="252" t="str">
        <f t="shared" si="24"/>
        <v>Dec</v>
      </c>
      <c r="D266" s="252" t="str">
        <f t="shared" si="25"/>
        <v>2024</v>
      </c>
      <c r="E266" s="253">
        <v>0</v>
      </c>
      <c r="F266" s="254"/>
      <c r="G266" s="254"/>
      <c r="H266" s="254"/>
      <c r="I266" s="254"/>
      <c r="J266" s="254"/>
      <c r="K266" s="253">
        <f t="shared" si="26"/>
        <v>727640</v>
      </c>
      <c r="L266" s="255">
        <f t="shared" si="27"/>
        <v>3.2876712328767124E-4</v>
      </c>
      <c r="M266" s="253">
        <f t="shared" si="28"/>
        <v>239.22410958904109</v>
      </c>
    </row>
    <row r="267" spans="2:13" hidden="1" outlineLevel="1" x14ac:dyDescent="0.25">
      <c r="B267" s="251">
        <f t="shared" ref="B267:B330" si="29">+B266+1</f>
        <v>45634</v>
      </c>
      <c r="C267" s="252" t="str">
        <f t="shared" si="24"/>
        <v>Dec</v>
      </c>
      <c r="D267" s="252" t="str">
        <f t="shared" si="25"/>
        <v>2024</v>
      </c>
      <c r="E267" s="253">
        <v>0</v>
      </c>
      <c r="F267" s="254"/>
      <c r="G267" s="254"/>
      <c r="H267" s="254"/>
      <c r="I267" s="254"/>
      <c r="J267" s="254"/>
      <c r="K267" s="253">
        <f t="shared" si="26"/>
        <v>727640</v>
      </c>
      <c r="L267" s="255">
        <f t="shared" si="27"/>
        <v>3.2876712328767124E-4</v>
      </c>
      <c r="M267" s="253">
        <f t="shared" si="28"/>
        <v>239.22410958904109</v>
      </c>
    </row>
    <row r="268" spans="2:13" hidden="1" outlineLevel="1" x14ac:dyDescent="0.25">
      <c r="B268" s="251">
        <f t="shared" si="29"/>
        <v>45635</v>
      </c>
      <c r="C268" s="252" t="str">
        <f t="shared" si="24"/>
        <v>Dec</v>
      </c>
      <c r="D268" s="252" t="str">
        <f t="shared" si="25"/>
        <v>2024</v>
      </c>
      <c r="E268" s="253">
        <v>0</v>
      </c>
      <c r="F268" s="254"/>
      <c r="G268" s="254"/>
      <c r="H268" s="254"/>
      <c r="I268" s="254"/>
      <c r="J268" s="254"/>
      <c r="K268" s="253">
        <f t="shared" si="26"/>
        <v>727640</v>
      </c>
      <c r="L268" s="255">
        <f t="shared" si="27"/>
        <v>3.2876712328767124E-4</v>
      </c>
      <c r="M268" s="253">
        <f t="shared" si="28"/>
        <v>239.22410958904109</v>
      </c>
    </row>
    <row r="269" spans="2:13" hidden="1" outlineLevel="1" x14ac:dyDescent="0.25">
      <c r="B269" s="251">
        <f t="shared" si="29"/>
        <v>45636</v>
      </c>
      <c r="C269" s="252" t="str">
        <f t="shared" si="24"/>
        <v>Dec</v>
      </c>
      <c r="D269" s="252" t="str">
        <f t="shared" si="25"/>
        <v>2024</v>
      </c>
      <c r="E269" s="253">
        <v>0</v>
      </c>
      <c r="F269" s="254"/>
      <c r="G269" s="254"/>
      <c r="H269" s="254"/>
      <c r="I269" s="254"/>
      <c r="J269" s="254"/>
      <c r="K269" s="253">
        <f t="shared" si="26"/>
        <v>727640</v>
      </c>
      <c r="L269" s="255">
        <f t="shared" si="27"/>
        <v>3.2876712328767124E-4</v>
      </c>
      <c r="M269" s="253">
        <f t="shared" si="28"/>
        <v>239.22410958904109</v>
      </c>
    </row>
    <row r="270" spans="2:13" hidden="1" outlineLevel="1" x14ac:dyDescent="0.25">
      <c r="B270" s="251">
        <f t="shared" si="29"/>
        <v>45637</v>
      </c>
      <c r="C270" s="252" t="str">
        <f t="shared" si="24"/>
        <v>Dec</v>
      </c>
      <c r="D270" s="252" t="str">
        <f t="shared" si="25"/>
        <v>2024</v>
      </c>
      <c r="E270" s="253">
        <v>0</v>
      </c>
      <c r="F270" s="254"/>
      <c r="G270" s="254"/>
      <c r="H270" s="254"/>
      <c r="I270" s="254"/>
      <c r="J270" s="254"/>
      <c r="K270" s="253">
        <f t="shared" si="26"/>
        <v>727640</v>
      </c>
      <c r="L270" s="255">
        <f t="shared" si="27"/>
        <v>3.2876712328767124E-4</v>
      </c>
      <c r="M270" s="253">
        <f t="shared" si="28"/>
        <v>239.22410958904109</v>
      </c>
    </row>
    <row r="271" spans="2:13" hidden="1" outlineLevel="1" x14ac:dyDescent="0.25">
      <c r="B271" s="251">
        <f t="shared" si="29"/>
        <v>45638</v>
      </c>
      <c r="C271" s="252" t="str">
        <f t="shared" si="24"/>
        <v>Dec</v>
      </c>
      <c r="D271" s="252" t="str">
        <f t="shared" si="25"/>
        <v>2024</v>
      </c>
      <c r="E271" s="253">
        <v>0</v>
      </c>
      <c r="F271" s="254"/>
      <c r="G271" s="254"/>
      <c r="H271" s="254"/>
      <c r="I271" s="254"/>
      <c r="J271" s="254"/>
      <c r="K271" s="253">
        <f t="shared" si="26"/>
        <v>727640</v>
      </c>
      <c r="L271" s="255">
        <f t="shared" si="27"/>
        <v>3.2876712328767124E-4</v>
      </c>
      <c r="M271" s="253">
        <f t="shared" si="28"/>
        <v>239.22410958904109</v>
      </c>
    </row>
    <row r="272" spans="2:13" hidden="1" outlineLevel="1" x14ac:dyDescent="0.25">
      <c r="B272" s="251">
        <f t="shared" si="29"/>
        <v>45639</v>
      </c>
      <c r="C272" s="252" t="str">
        <f t="shared" si="24"/>
        <v>Dec</v>
      </c>
      <c r="D272" s="252" t="str">
        <f t="shared" si="25"/>
        <v>2024</v>
      </c>
      <c r="E272" s="253">
        <v>0</v>
      </c>
      <c r="F272" s="254"/>
      <c r="G272" s="254"/>
      <c r="H272" s="254"/>
      <c r="I272" s="254"/>
      <c r="J272" s="254"/>
      <c r="K272" s="253">
        <f t="shared" si="26"/>
        <v>727640</v>
      </c>
      <c r="L272" s="255">
        <f t="shared" si="27"/>
        <v>3.2876712328767124E-4</v>
      </c>
      <c r="M272" s="253">
        <f t="shared" si="28"/>
        <v>239.22410958904109</v>
      </c>
    </row>
    <row r="273" spans="2:13" hidden="1" outlineLevel="1" x14ac:dyDescent="0.25">
      <c r="B273" s="251">
        <f t="shared" si="29"/>
        <v>45640</v>
      </c>
      <c r="C273" s="252" t="str">
        <f t="shared" si="24"/>
        <v>Dec</v>
      </c>
      <c r="D273" s="252" t="str">
        <f t="shared" si="25"/>
        <v>2024</v>
      </c>
      <c r="E273" s="253">
        <v>0</v>
      </c>
      <c r="F273" s="254"/>
      <c r="G273" s="254"/>
      <c r="H273" s="254"/>
      <c r="I273" s="254"/>
      <c r="J273" s="254"/>
      <c r="K273" s="253">
        <f t="shared" si="26"/>
        <v>727640</v>
      </c>
      <c r="L273" s="255">
        <f t="shared" si="27"/>
        <v>3.2876712328767124E-4</v>
      </c>
      <c r="M273" s="253">
        <f t="shared" si="28"/>
        <v>239.22410958904109</v>
      </c>
    </row>
    <row r="274" spans="2:13" hidden="1" outlineLevel="1" x14ac:dyDescent="0.25">
      <c r="B274" s="251">
        <f t="shared" si="29"/>
        <v>45641</v>
      </c>
      <c r="C274" s="252" t="str">
        <f t="shared" si="24"/>
        <v>Dec</v>
      </c>
      <c r="D274" s="252" t="str">
        <f t="shared" si="25"/>
        <v>2024</v>
      </c>
      <c r="E274" s="253">
        <v>0</v>
      </c>
      <c r="F274" s="254"/>
      <c r="G274" s="254"/>
      <c r="H274" s="254"/>
      <c r="I274" s="254"/>
      <c r="J274" s="254"/>
      <c r="K274" s="253">
        <f t="shared" si="26"/>
        <v>727640</v>
      </c>
      <c r="L274" s="255">
        <f t="shared" si="27"/>
        <v>3.2876712328767124E-4</v>
      </c>
      <c r="M274" s="253">
        <f t="shared" si="28"/>
        <v>239.22410958904109</v>
      </c>
    </row>
    <row r="275" spans="2:13" hidden="1" outlineLevel="1" x14ac:dyDescent="0.25">
      <c r="B275" s="251">
        <f t="shared" si="29"/>
        <v>45642</v>
      </c>
      <c r="C275" s="252" t="str">
        <f t="shared" si="24"/>
        <v>Dec</v>
      </c>
      <c r="D275" s="252" t="str">
        <f t="shared" si="25"/>
        <v>2024</v>
      </c>
      <c r="E275" s="253">
        <v>0</v>
      </c>
      <c r="F275" s="254"/>
      <c r="G275" s="254"/>
      <c r="H275" s="254"/>
      <c r="I275" s="254"/>
      <c r="J275" s="254"/>
      <c r="K275" s="253">
        <f t="shared" si="26"/>
        <v>727640</v>
      </c>
      <c r="L275" s="255">
        <f t="shared" si="27"/>
        <v>3.2876712328767124E-4</v>
      </c>
      <c r="M275" s="253">
        <f t="shared" si="28"/>
        <v>239.22410958904109</v>
      </c>
    </row>
    <row r="276" spans="2:13" hidden="1" outlineLevel="1" x14ac:dyDescent="0.25">
      <c r="B276" s="251">
        <f t="shared" si="29"/>
        <v>45643</v>
      </c>
      <c r="C276" s="252" t="str">
        <f t="shared" si="24"/>
        <v>Dec</v>
      </c>
      <c r="D276" s="252" t="str">
        <f t="shared" si="25"/>
        <v>2024</v>
      </c>
      <c r="E276" s="253">
        <v>30000</v>
      </c>
      <c r="F276" s="254" t="s">
        <v>728</v>
      </c>
      <c r="G276" s="254"/>
      <c r="H276" s="254" t="s">
        <v>911</v>
      </c>
      <c r="I276" s="254" t="s">
        <v>920</v>
      </c>
      <c r="J276" s="254" t="s">
        <v>54</v>
      </c>
      <c r="K276" s="253">
        <f t="shared" si="26"/>
        <v>757640</v>
      </c>
      <c r="L276" s="255">
        <f t="shared" si="27"/>
        <v>3.2876712328767124E-4</v>
      </c>
      <c r="M276" s="253">
        <f t="shared" si="28"/>
        <v>249.08712328767123</v>
      </c>
    </row>
    <row r="277" spans="2:13" hidden="1" outlineLevel="1" x14ac:dyDescent="0.25">
      <c r="B277" s="251">
        <f t="shared" si="29"/>
        <v>45644</v>
      </c>
      <c r="C277" s="252" t="str">
        <f t="shared" si="24"/>
        <v>Dec</v>
      </c>
      <c r="D277" s="252" t="str">
        <f t="shared" si="25"/>
        <v>2024</v>
      </c>
      <c r="E277" s="253">
        <v>0</v>
      </c>
      <c r="F277" s="254"/>
      <c r="G277" s="254"/>
      <c r="H277" s="254"/>
      <c r="I277" s="254"/>
      <c r="J277" s="254"/>
      <c r="K277" s="253">
        <f t="shared" si="26"/>
        <v>757640</v>
      </c>
      <c r="L277" s="255">
        <f t="shared" si="27"/>
        <v>3.2876712328767124E-4</v>
      </c>
      <c r="M277" s="253">
        <f t="shared" si="28"/>
        <v>249.08712328767123</v>
      </c>
    </row>
    <row r="278" spans="2:13" hidden="1" outlineLevel="1" x14ac:dyDescent="0.25">
      <c r="B278" s="251">
        <f t="shared" si="29"/>
        <v>45645</v>
      </c>
      <c r="C278" s="252" t="str">
        <f t="shared" si="24"/>
        <v>Dec</v>
      </c>
      <c r="D278" s="252" t="str">
        <f t="shared" si="25"/>
        <v>2024</v>
      </c>
      <c r="E278" s="253">
        <v>0</v>
      </c>
      <c r="F278" s="254"/>
      <c r="G278" s="254"/>
      <c r="H278" s="254"/>
      <c r="I278" s="254"/>
      <c r="J278" s="254"/>
      <c r="K278" s="253">
        <f t="shared" si="26"/>
        <v>757640</v>
      </c>
      <c r="L278" s="255">
        <f t="shared" si="27"/>
        <v>3.2876712328767124E-4</v>
      </c>
      <c r="M278" s="253">
        <f t="shared" si="28"/>
        <v>249.08712328767123</v>
      </c>
    </row>
    <row r="279" spans="2:13" hidden="1" outlineLevel="1" x14ac:dyDescent="0.25">
      <c r="B279" s="251">
        <f t="shared" si="29"/>
        <v>45646</v>
      </c>
      <c r="C279" s="252" t="str">
        <f t="shared" si="24"/>
        <v>Dec</v>
      </c>
      <c r="D279" s="252" t="str">
        <f t="shared" si="25"/>
        <v>2024</v>
      </c>
      <c r="E279" s="253">
        <v>0</v>
      </c>
      <c r="F279" s="254"/>
      <c r="G279" s="254"/>
      <c r="H279" s="254"/>
      <c r="I279" s="254"/>
      <c r="J279" s="254"/>
      <c r="K279" s="253">
        <f t="shared" si="26"/>
        <v>757640</v>
      </c>
      <c r="L279" s="255">
        <f t="shared" si="27"/>
        <v>3.2876712328767124E-4</v>
      </c>
      <c r="M279" s="253">
        <f t="shared" si="28"/>
        <v>249.08712328767123</v>
      </c>
    </row>
    <row r="280" spans="2:13" hidden="1" outlineLevel="1" x14ac:dyDescent="0.25">
      <c r="B280" s="251">
        <f t="shared" si="29"/>
        <v>45647</v>
      </c>
      <c r="C280" s="252" t="str">
        <f t="shared" si="24"/>
        <v>Dec</v>
      </c>
      <c r="D280" s="252" t="str">
        <f t="shared" si="25"/>
        <v>2024</v>
      </c>
      <c r="E280" s="253">
        <v>0</v>
      </c>
      <c r="F280" s="254"/>
      <c r="G280" s="254"/>
      <c r="H280" s="254"/>
      <c r="I280" s="254"/>
      <c r="J280" s="254"/>
      <c r="K280" s="253">
        <f t="shared" si="26"/>
        <v>757640</v>
      </c>
      <c r="L280" s="255">
        <f t="shared" si="27"/>
        <v>3.2876712328767124E-4</v>
      </c>
      <c r="M280" s="253">
        <f t="shared" si="28"/>
        <v>249.08712328767123</v>
      </c>
    </row>
    <row r="281" spans="2:13" hidden="1" outlineLevel="1" x14ac:dyDescent="0.25">
      <c r="B281" s="251">
        <f t="shared" si="29"/>
        <v>45648</v>
      </c>
      <c r="C281" s="252" t="str">
        <f t="shared" si="24"/>
        <v>Dec</v>
      </c>
      <c r="D281" s="252" t="str">
        <f t="shared" si="25"/>
        <v>2024</v>
      </c>
      <c r="E281" s="253">
        <v>0</v>
      </c>
      <c r="F281" s="254"/>
      <c r="G281" s="254"/>
      <c r="H281" s="254"/>
      <c r="I281" s="254"/>
      <c r="J281" s="254"/>
      <c r="K281" s="253">
        <f t="shared" si="26"/>
        <v>757640</v>
      </c>
      <c r="L281" s="255">
        <f t="shared" si="27"/>
        <v>3.2876712328767124E-4</v>
      </c>
      <c r="M281" s="253">
        <f t="shared" si="28"/>
        <v>249.08712328767123</v>
      </c>
    </row>
    <row r="282" spans="2:13" hidden="1" outlineLevel="1" x14ac:dyDescent="0.25">
      <c r="B282" s="251">
        <f t="shared" si="29"/>
        <v>45649</v>
      </c>
      <c r="C282" s="252" t="str">
        <f t="shared" si="24"/>
        <v>Dec</v>
      </c>
      <c r="D282" s="252" t="str">
        <f t="shared" si="25"/>
        <v>2024</v>
      </c>
      <c r="E282" s="253">
        <v>0</v>
      </c>
      <c r="F282" s="254"/>
      <c r="G282" s="254"/>
      <c r="H282" s="254"/>
      <c r="I282" s="254"/>
      <c r="J282" s="254"/>
      <c r="K282" s="253">
        <f t="shared" si="26"/>
        <v>757640</v>
      </c>
      <c r="L282" s="255">
        <f t="shared" si="27"/>
        <v>3.2876712328767124E-4</v>
      </c>
      <c r="M282" s="253">
        <f t="shared" si="28"/>
        <v>249.08712328767123</v>
      </c>
    </row>
    <row r="283" spans="2:13" hidden="1" outlineLevel="1" x14ac:dyDescent="0.25">
      <c r="B283" s="251">
        <f t="shared" si="29"/>
        <v>45650</v>
      </c>
      <c r="C283" s="252" t="str">
        <f t="shared" si="24"/>
        <v>Dec</v>
      </c>
      <c r="D283" s="252" t="str">
        <f t="shared" si="25"/>
        <v>2024</v>
      </c>
      <c r="E283" s="253">
        <v>0</v>
      </c>
      <c r="F283" s="254"/>
      <c r="G283" s="254"/>
      <c r="H283" s="254"/>
      <c r="I283" s="254"/>
      <c r="J283" s="254"/>
      <c r="K283" s="253">
        <f t="shared" si="26"/>
        <v>757640</v>
      </c>
      <c r="L283" s="255">
        <f t="shared" si="27"/>
        <v>3.2876712328767124E-4</v>
      </c>
      <c r="M283" s="253">
        <f t="shared" si="28"/>
        <v>249.08712328767123</v>
      </c>
    </row>
    <row r="284" spans="2:13" hidden="1" outlineLevel="1" x14ac:dyDescent="0.25">
      <c r="B284" s="251">
        <f t="shared" si="29"/>
        <v>45651</v>
      </c>
      <c r="C284" s="252" t="str">
        <f t="shared" si="24"/>
        <v>Dec</v>
      </c>
      <c r="D284" s="252" t="str">
        <f t="shared" si="25"/>
        <v>2024</v>
      </c>
      <c r="E284" s="253">
        <v>0</v>
      </c>
      <c r="F284" s="254"/>
      <c r="G284" s="254"/>
      <c r="H284" s="254"/>
      <c r="I284" s="254"/>
      <c r="J284" s="254"/>
      <c r="K284" s="253">
        <f t="shared" si="26"/>
        <v>757640</v>
      </c>
      <c r="L284" s="255">
        <f t="shared" si="27"/>
        <v>3.2876712328767124E-4</v>
      </c>
      <c r="M284" s="253">
        <f t="shared" si="28"/>
        <v>249.08712328767123</v>
      </c>
    </row>
    <row r="285" spans="2:13" hidden="1" outlineLevel="1" x14ac:dyDescent="0.25">
      <c r="B285" s="251">
        <f t="shared" si="29"/>
        <v>45652</v>
      </c>
      <c r="C285" s="252" t="str">
        <f t="shared" si="24"/>
        <v>Dec</v>
      </c>
      <c r="D285" s="252" t="str">
        <f t="shared" si="25"/>
        <v>2024</v>
      </c>
      <c r="E285" s="253">
        <v>0</v>
      </c>
      <c r="F285" s="254"/>
      <c r="G285" s="254"/>
      <c r="H285" s="254"/>
      <c r="I285" s="254"/>
      <c r="J285" s="254"/>
      <c r="K285" s="253">
        <f t="shared" si="26"/>
        <v>757640</v>
      </c>
      <c r="L285" s="255">
        <f t="shared" si="27"/>
        <v>3.2876712328767124E-4</v>
      </c>
      <c r="M285" s="253">
        <f t="shared" si="28"/>
        <v>249.08712328767123</v>
      </c>
    </row>
    <row r="286" spans="2:13" hidden="1" outlineLevel="1" x14ac:dyDescent="0.25">
      <c r="B286" s="251">
        <f t="shared" si="29"/>
        <v>45653</v>
      </c>
      <c r="C286" s="252" t="str">
        <f t="shared" si="24"/>
        <v>Dec</v>
      </c>
      <c r="D286" s="252" t="str">
        <f t="shared" si="25"/>
        <v>2024</v>
      </c>
      <c r="E286" s="253">
        <v>0</v>
      </c>
      <c r="F286" s="254"/>
      <c r="G286" s="254"/>
      <c r="H286" s="254"/>
      <c r="I286" s="254"/>
      <c r="J286" s="254"/>
      <c r="K286" s="253">
        <f t="shared" si="26"/>
        <v>757640</v>
      </c>
      <c r="L286" s="255">
        <f t="shared" si="27"/>
        <v>3.2876712328767124E-4</v>
      </c>
      <c r="M286" s="253">
        <f t="shared" si="28"/>
        <v>249.08712328767123</v>
      </c>
    </row>
    <row r="287" spans="2:13" hidden="1" outlineLevel="1" x14ac:dyDescent="0.25">
      <c r="B287" s="251">
        <f t="shared" si="29"/>
        <v>45654</v>
      </c>
      <c r="C287" s="252" t="str">
        <f t="shared" si="24"/>
        <v>Dec</v>
      </c>
      <c r="D287" s="252" t="str">
        <f t="shared" si="25"/>
        <v>2024</v>
      </c>
      <c r="E287" s="253">
        <v>0</v>
      </c>
      <c r="F287" s="254"/>
      <c r="G287" s="254"/>
      <c r="H287" s="254"/>
      <c r="I287" s="254"/>
      <c r="J287" s="254"/>
      <c r="K287" s="253">
        <f t="shared" si="26"/>
        <v>757640</v>
      </c>
      <c r="L287" s="255">
        <f t="shared" si="27"/>
        <v>3.2876712328767124E-4</v>
      </c>
      <c r="M287" s="253">
        <f t="shared" si="28"/>
        <v>249.08712328767123</v>
      </c>
    </row>
    <row r="288" spans="2:13" hidden="1" outlineLevel="1" x14ac:dyDescent="0.25">
      <c r="B288" s="251">
        <f t="shared" si="29"/>
        <v>45655</v>
      </c>
      <c r="C288" s="252" t="str">
        <f t="shared" si="24"/>
        <v>Dec</v>
      </c>
      <c r="D288" s="252" t="str">
        <f t="shared" si="25"/>
        <v>2024</v>
      </c>
      <c r="E288" s="253">
        <v>0</v>
      </c>
      <c r="F288" s="254"/>
      <c r="G288" s="254"/>
      <c r="H288" s="254"/>
      <c r="I288" s="254"/>
      <c r="J288" s="254"/>
      <c r="K288" s="253">
        <f t="shared" si="26"/>
        <v>757640</v>
      </c>
      <c r="L288" s="255">
        <f t="shared" si="27"/>
        <v>3.2876712328767124E-4</v>
      </c>
      <c r="M288" s="253">
        <f t="shared" si="28"/>
        <v>249.08712328767123</v>
      </c>
    </row>
    <row r="289" spans="2:13" hidden="1" outlineLevel="1" x14ac:dyDescent="0.25">
      <c r="B289" s="251">
        <f t="shared" si="29"/>
        <v>45656</v>
      </c>
      <c r="C289" s="252" t="str">
        <f t="shared" si="24"/>
        <v>Dec</v>
      </c>
      <c r="D289" s="252" t="str">
        <f t="shared" si="25"/>
        <v>2024</v>
      </c>
      <c r="E289" s="253">
        <v>0</v>
      </c>
      <c r="F289" s="254"/>
      <c r="G289" s="254"/>
      <c r="H289" s="254"/>
      <c r="I289" s="254"/>
      <c r="J289" s="254"/>
      <c r="K289" s="253">
        <f t="shared" si="26"/>
        <v>757640</v>
      </c>
      <c r="L289" s="255">
        <f t="shared" si="27"/>
        <v>3.2876712328767124E-4</v>
      </c>
      <c r="M289" s="253">
        <f t="shared" si="28"/>
        <v>249.08712328767123</v>
      </c>
    </row>
    <row r="290" spans="2:13" collapsed="1" x14ac:dyDescent="0.25">
      <c r="B290" s="251">
        <f t="shared" si="29"/>
        <v>45657</v>
      </c>
      <c r="C290" s="252" t="str">
        <f t="shared" si="24"/>
        <v>Dec</v>
      </c>
      <c r="D290" s="252" t="str">
        <f t="shared" si="25"/>
        <v>2024</v>
      </c>
      <c r="E290" s="253">
        <v>-1026.79</v>
      </c>
      <c r="F290" s="254" t="s">
        <v>710</v>
      </c>
      <c r="G290" s="254" t="s">
        <v>921</v>
      </c>
      <c r="H290" s="254"/>
      <c r="I290" s="254" t="s">
        <v>922</v>
      </c>
      <c r="J290" s="254" t="s">
        <v>908</v>
      </c>
      <c r="K290" s="253">
        <f t="shared" si="26"/>
        <v>756613.21</v>
      </c>
      <c r="L290" s="255">
        <f t="shared" si="27"/>
        <v>3.2876712328767124E-4</v>
      </c>
      <c r="M290" s="253">
        <f t="shared" si="28"/>
        <v>248.74954849315068</v>
      </c>
    </row>
    <row r="291" spans="2:13" hidden="1" outlineLevel="1" x14ac:dyDescent="0.25">
      <c r="B291" s="251">
        <f t="shared" si="29"/>
        <v>45658</v>
      </c>
      <c r="C291" s="252" t="str">
        <f t="shared" si="24"/>
        <v>Jan</v>
      </c>
      <c r="D291" s="252" t="str">
        <f t="shared" si="25"/>
        <v>2025</v>
      </c>
      <c r="E291" s="253">
        <v>0</v>
      </c>
      <c r="F291" s="254"/>
      <c r="G291" s="254"/>
      <c r="H291" s="254"/>
      <c r="I291" s="254"/>
      <c r="J291" s="254"/>
      <c r="K291" s="253">
        <f t="shared" si="26"/>
        <v>756613.21</v>
      </c>
      <c r="L291" s="255">
        <f t="shared" si="27"/>
        <v>3.2876712328767124E-4</v>
      </c>
      <c r="M291" s="253">
        <f t="shared" si="28"/>
        <v>248.74954849315068</v>
      </c>
    </row>
    <row r="292" spans="2:13" hidden="1" outlineLevel="1" x14ac:dyDescent="0.25">
      <c r="B292" s="251">
        <f t="shared" si="29"/>
        <v>45659</v>
      </c>
      <c r="C292" s="252" t="str">
        <f t="shared" si="24"/>
        <v>Jan</v>
      </c>
      <c r="D292" s="252" t="str">
        <f t="shared" si="25"/>
        <v>2025</v>
      </c>
      <c r="E292" s="253">
        <v>15000</v>
      </c>
      <c r="F292" s="254" t="s">
        <v>728</v>
      </c>
      <c r="G292" s="254"/>
      <c r="H292" s="254" t="s">
        <v>923</v>
      </c>
      <c r="I292" s="254" t="s">
        <v>924</v>
      </c>
      <c r="J292" s="254" t="s">
        <v>54</v>
      </c>
      <c r="K292" s="253">
        <f t="shared" si="26"/>
        <v>771613.21</v>
      </c>
      <c r="L292" s="255">
        <f t="shared" si="27"/>
        <v>3.2876712328767124E-4</v>
      </c>
      <c r="M292" s="253">
        <f t="shared" si="28"/>
        <v>253.68105534246575</v>
      </c>
    </row>
    <row r="293" spans="2:13" hidden="1" outlineLevel="1" x14ac:dyDescent="0.25">
      <c r="B293" s="251">
        <f t="shared" si="29"/>
        <v>45660</v>
      </c>
      <c r="C293" s="252" t="str">
        <f t="shared" si="24"/>
        <v>Jan</v>
      </c>
      <c r="D293" s="252" t="str">
        <f t="shared" si="25"/>
        <v>2025</v>
      </c>
      <c r="E293" s="253">
        <v>0</v>
      </c>
      <c r="F293" s="254"/>
      <c r="G293" s="254"/>
      <c r="H293" s="254"/>
      <c r="I293" s="254"/>
      <c r="J293" s="254"/>
      <c r="K293" s="253">
        <f t="shared" si="26"/>
        <v>771613.21</v>
      </c>
      <c r="L293" s="255">
        <f t="shared" si="27"/>
        <v>3.2876712328767124E-4</v>
      </c>
      <c r="M293" s="253">
        <f t="shared" si="28"/>
        <v>253.68105534246575</v>
      </c>
    </row>
    <row r="294" spans="2:13" hidden="1" outlineLevel="1" x14ac:dyDescent="0.25">
      <c r="B294" s="251">
        <f t="shared" si="29"/>
        <v>45661</v>
      </c>
      <c r="C294" s="252" t="str">
        <f t="shared" si="24"/>
        <v>Jan</v>
      </c>
      <c r="D294" s="252" t="str">
        <f t="shared" si="25"/>
        <v>2025</v>
      </c>
      <c r="E294" s="253">
        <v>0</v>
      </c>
      <c r="F294" s="254"/>
      <c r="G294" s="254"/>
      <c r="H294" s="254"/>
      <c r="I294" s="254"/>
      <c r="J294" s="254"/>
      <c r="K294" s="253">
        <f t="shared" si="26"/>
        <v>771613.21</v>
      </c>
      <c r="L294" s="255">
        <f t="shared" si="27"/>
        <v>3.2876712328767124E-4</v>
      </c>
      <c r="M294" s="253">
        <f t="shared" si="28"/>
        <v>253.68105534246575</v>
      </c>
    </row>
    <row r="295" spans="2:13" hidden="1" outlineLevel="1" x14ac:dyDescent="0.25">
      <c r="B295" s="251">
        <f t="shared" si="29"/>
        <v>45662</v>
      </c>
      <c r="C295" s="252" t="str">
        <f t="shared" si="24"/>
        <v>Jan</v>
      </c>
      <c r="D295" s="252" t="str">
        <f t="shared" si="25"/>
        <v>2025</v>
      </c>
      <c r="E295" s="253">
        <v>0</v>
      </c>
      <c r="F295" s="254"/>
      <c r="G295" s="254"/>
      <c r="H295" s="254"/>
      <c r="I295" s="254"/>
      <c r="J295" s="254"/>
      <c r="K295" s="253">
        <f t="shared" si="26"/>
        <v>771613.21</v>
      </c>
      <c r="L295" s="255">
        <f t="shared" si="27"/>
        <v>3.2876712328767124E-4</v>
      </c>
      <c r="M295" s="253">
        <f t="shared" si="28"/>
        <v>253.68105534246575</v>
      </c>
    </row>
    <row r="296" spans="2:13" hidden="1" outlineLevel="1" x14ac:dyDescent="0.25">
      <c r="B296" s="251">
        <f t="shared" si="29"/>
        <v>45663</v>
      </c>
      <c r="C296" s="252" t="str">
        <f t="shared" si="24"/>
        <v>Jan</v>
      </c>
      <c r="D296" s="252" t="str">
        <f t="shared" si="25"/>
        <v>2025</v>
      </c>
      <c r="E296" s="253">
        <v>0</v>
      </c>
      <c r="F296" s="254"/>
      <c r="G296" s="254"/>
      <c r="H296" s="254"/>
      <c r="I296" s="254"/>
      <c r="J296" s="254"/>
      <c r="K296" s="253">
        <f t="shared" si="26"/>
        <v>771613.21</v>
      </c>
      <c r="L296" s="255">
        <f t="shared" si="27"/>
        <v>3.2876712328767124E-4</v>
      </c>
      <c r="M296" s="253">
        <f t="shared" si="28"/>
        <v>253.68105534246575</v>
      </c>
    </row>
    <row r="297" spans="2:13" hidden="1" outlineLevel="1" x14ac:dyDescent="0.25">
      <c r="B297" s="251">
        <f t="shared" si="29"/>
        <v>45664</v>
      </c>
      <c r="C297" s="252" t="str">
        <f t="shared" si="24"/>
        <v>Jan</v>
      </c>
      <c r="D297" s="252" t="str">
        <f t="shared" si="25"/>
        <v>2025</v>
      </c>
      <c r="E297" s="253">
        <v>0</v>
      </c>
      <c r="F297" s="254"/>
      <c r="G297" s="254"/>
      <c r="H297" s="254"/>
      <c r="I297" s="254"/>
      <c r="J297" s="254"/>
      <c r="K297" s="253">
        <f t="shared" si="26"/>
        <v>771613.21</v>
      </c>
      <c r="L297" s="255">
        <f t="shared" si="27"/>
        <v>3.2876712328767124E-4</v>
      </c>
      <c r="M297" s="253">
        <f t="shared" si="28"/>
        <v>253.68105534246575</v>
      </c>
    </row>
    <row r="298" spans="2:13" hidden="1" outlineLevel="1" x14ac:dyDescent="0.25">
      <c r="B298" s="251">
        <f t="shared" si="29"/>
        <v>45665</v>
      </c>
      <c r="C298" s="252" t="str">
        <f t="shared" si="24"/>
        <v>Jan</v>
      </c>
      <c r="D298" s="252" t="str">
        <f t="shared" si="25"/>
        <v>2025</v>
      </c>
      <c r="E298" s="253">
        <v>0</v>
      </c>
      <c r="F298" s="254"/>
      <c r="G298" s="254"/>
      <c r="H298" s="254"/>
      <c r="I298" s="254"/>
      <c r="J298" s="254"/>
      <c r="K298" s="253">
        <f t="shared" si="26"/>
        <v>771613.21</v>
      </c>
      <c r="L298" s="255">
        <f t="shared" si="27"/>
        <v>3.2876712328767124E-4</v>
      </c>
      <c r="M298" s="253">
        <f t="shared" si="28"/>
        <v>253.68105534246575</v>
      </c>
    </row>
    <row r="299" spans="2:13" hidden="1" outlineLevel="1" x14ac:dyDescent="0.25">
      <c r="B299" s="251">
        <f t="shared" si="29"/>
        <v>45666</v>
      </c>
      <c r="C299" s="252" t="str">
        <f t="shared" si="24"/>
        <v>Jan</v>
      </c>
      <c r="D299" s="252" t="str">
        <f t="shared" si="25"/>
        <v>2025</v>
      </c>
      <c r="E299" s="253">
        <v>0</v>
      </c>
      <c r="F299" s="254"/>
      <c r="G299" s="254"/>
      <c r="H299" s="254"/>
      <c r="I299" s="254"/>
      <c r="J299" s="254"/>
      <c r="K299" s="253">
        <f t="shared" si="26"/>
        <v>771613.21</v>
      </c>
      <c r="L299" s="255">
        <f t="shared" si="27"/>
        <v>3.2876712328767124E-4</v>
      </c>
      <c r="M299" s="253">
        <f t="shared" si="28"/>
        <v>253.68105534246575</v>
      </c>
    </row>
    <row r="300" spans="2:13" hidden="1" outlineLevel="1" x14ac:dyDescent="0.25">
      <c r="B300" s="251">
        <f t="shared" si="29"/>
        <v>45667</v>
      </c>
      <c r="C300" s="252" t="str">
        <f t="shared" si="24"/>
        <v>Jan</v>
      </c>
      <c r="D300" s="252" t="str">
        <f t="shared" si="25"/>
        <v>2025</v>
      </c>
      <c r="E300" s="253">
        <v>0</v>
      </c>
      <c r="F300" s="254"/>
      <c r="G300" s="254"/>
      <c r="H300" s="254"/>
      <c r="I300" s="254"/>
      <c r="J300" s="254"/>
      <c r="K300" s="253">
        <f t="shared" si="26"/>
        <v>771613.21</v>
      </c>
      <c r="L300" s="255">
        <f t="shared" si="27"/>
        <v>3.2876712328767124E-4</v>
      </c>
      <c r="M300" s="253">
        <f t="shared" si="28"/>
        <v>253.68105534246575</v>
      </c>
    </row>
    <row r="301" spans="2:13" hidden="1" outlineLevel="1" x14ac:dyDescent="0.25">
      <c r="B301" s="251">
        <f t="shared" si="29"/>
        <v>45668</v>
      </c>
      <c r="C301" s="252" t="str">
        <f t="shared" si="24"/>
        <v>Jan</v>
      </c>
      <c r="D301" s="252" t="str">
        <f t="shared" si="25"/>
        <v>2025</v>
      </c>
      <c r="E301" s="253">
        <v>0</v>
      </c>
      <c r="F301" s="254"/>
      <c r="G301" s="254"/>
      <c r="H301" s="254"/>
      <c r="I301" s="254"/>
      <c r="J301" s="254"/>
      <c r="K301" s="253">
        <f t="shared" si="26"/>
        <v>771613.21</v>
      </c>
      <c r="L301" s="255">
        <f t="shared" si="27"/>
        <v>3.2876712328767124E-4</v>
      </c>
      <c r="M301" s="253">
        <f t="shared" si="28"/>
        <v>253.68105534246575</v>
      </c>
    </row>
    <row r="302" spans="2:13" hidden="1" outlineLevel="1" x14ac:dyDescent="0.25">
      <c r="B302" s="251">
        <f t="shared" si="29"/>
        <v>45669</v>
      </c>
      <c r="C302" s="252" t="str">
        <f t="shared" si="24"/>
        <v>Jan</v>
      </c>
      <c r="D302" s="252" t="str">
        <f t="shared" si="25"/>
        <v>2025</v>
      </c>
      <c r="E302" s="253">
        <v>0</v>
      </c>
      <c r="F302" s="254"/>
      <c r="G302" s="254"/>
      <c r="H302" s="254"/>
      <c r="I302" s="254"/>
      <c r="J302" s="254"/>
      <c r="K302" s="253">
        <f t="shared" si="26"/>
        <v>771613.21</v>
      </c>
      <c r="L302" s="255">
        <f t="shared" si="27"/>
        <v>3.2876712328767124E-4</v>
      </c>
      <c r="M302" s="253">
        <f t="shared" si="28"/>
        <v>253.68105534246575</v>
      </c>
    </row>
    <row r="303" spans="2:13" hidden="1" outlineLevel="1" x14ac:dyDescent="0.25">
      <c r="B303" s="251">
        <f t="shared" si="29"/>
        <v>45670</v>
      </c>
      <c r="C303" s="252" t="str">
        <f t="shared" si="24"/>
        <v>Jan</v>
      </c>
      <c r="D303" s="252" t="str">
        <f t="shared" si="25"/>
        <v>2025</v>
      </c>
      <c r="E303" s="253">
        <v>0</v>
      </c>
      <c r="F303" s="254"/>
      <c r="G303" s="254"/>
      <c r="H303" s="254"/>
      <c r="I303" s="254"/>
      <c r="J303" s="254"/>
      <c r="K303" s="253">
        <f t="shared" si="26"/>
        <v>771613.21</v>
      </c>
      <c r="L303" s="255">
        <f t="shared" si="27"/>
        <v>3.2876712328767124E-4</v>
      </c>
      <c r="M303" s="253">
        <f t="shared" si="28"/>
        <v>253.68105534246575</v>
      </c>
    </row>
    <row r="304" spans="2:13" hidden="1" outlineLevel="1" x14ac:dyDescent="0.25">
      <c r="B304" s="251">
        <f t="shared" si="29"/>
        <v>45671</v>
      </c>
      <c r="C304" s="252" t="str">
        <f t="shared" si="24"/>
        <v>Jan</v>
      </c>
      <c r="D304" s="252" t="str">
        <f t="shared" si="25"/>
        <v>2025</v>
      </c>
      <c r="E304" s="253">
        <v>0</v>
      </c>
      <c r="F304" s="254"/>
      <c r="G304" s="254"/>
      <c r="H304" s="254"/>
      <c r="I304" s="254"/>
      <c r="J304" s="254"/>
      <c r="K304" s="253">
        <f t="shared" si="26"/>
        <v>771613.21</v>
      </c>
      <c r="L304" s="255">
        <f t="shared" si="27"/>
        <v>3.2876712328767124E-4</v>
      </c>
      <c r="M304" s="253">
        <f t="shared" si="28"/>
        <v>253.68105534246575</v>
      </c>
    </row>
    <row r="305" spans="2:13" hidden="1" outlineLevel="1" x14ac:dyDescent="0.25">
      <c r="B305" s="251">
        <f t="shared" si="29"/>
        <v>45672</v>
      </c>
      <c r="C305" s="252" t="str">
        <f t="shared" si="24"/>
        <v>Jan</v>
      </c>
      <c r="D305" s="252" t="str">
        <f t="shared" si="25"/>
        <v>2025</v>
      </c>
      <c r="E305" s="253">
        <v>0</v>
      </c>
      <c r="F305" s="254"/>
      <c r="G305" s="254"/>
      <c r="H305" s="254"/>
      <c r="I305" s="254"/>
      <c r="J305" s="254"/>
      <c r="K305" s="253">
        <f t="shared" si="26"/>
        <v>771613.21</v>
      </c>
      <c r="L305" s="255">
        <f t="shared" si="27"/>
        <v>3.2876712328767124E-4</v>
      </c>
      <c r="M305" s="253">
        <f t="shared" si="28"/>
        <v>253.68105534246575</v>
      </c>
    </row>
    <row r="306" spans="2:13" hidden="1" outlineLevel="1" x14ac:dyDescent="0.25">
      <c r="B306" s="251">
        <f t="shared" si="29"/>
        <v>45673</v>
      </c>
      <c r="C306" s="252" t="str">
        <f t="shared" si="24"/>
        <v>Jan</v>
      </c>
      <c r="D306" s="252" t="str">
        <f t="shared" si="25"/>
        <v>2025</v>
      </c>
      <c r="E306" s="253">
        <v>0</v>
      </c>
      <c r="F306" s="254"/>
      <c r="G306" s="254"/>
      <c r="H306" s="254"/>
      <c r="I306" s="254"/>
      <c r="J306" s="254"/>
      <c r="K306" s="253">
        <f t="shared" si="26"/>
        <v>771613.21</v>
      </c>
      <c r="L306" s="255">
        <f t="shared" si="27"/>
        <v>3.2876712328767124E-4</v>
      </c>
      <c r="M306" s="253">
        <f t="shared" si="28"/>
        <v>253.68105534246575</v>
      </c>
    </row>
    <row r="307" spans="2:13" hidden="1" outlineLevel="1" x14ac:dyDescent="0.25">
      <c r="B307" s="251">
        <f t="shared" si="29"/>
        <v>45674</v>
      </c>
      <c r="C307" s="252" t="str">
        <f t="shared" si="24"/>
        <v>Jan</v>
      </c>
      <c r="D307" s="252" t="str">
        <f t="shared" si="25"/>
        <v>2025</v>
      </c>
      <c r="E307" s="253">
        <v>0</v>
      </c>
      <c r="F307" s="254"/>
      <c r="G307" s="254"/>
      <c r="H307" s="254"/>
      <c r="I307" s="254"/>
      <c r="J307" s="254"/>
      <c r="K307" s="253">
        <f t="shared" si="26"/>
        <v>771613.21</v>
      </c>
      <c r="L307" s="255">
        <f t="shared" si="27"/>
        <v>3.2876712328767124E-4</v>
      </c>
      <c r="M307" s="253">
        <f t="shared" si="28"/>
        <v>253.68105534246575</v>
      </c>
    </row>
    <row r="308" spans="2:13" hidden="1" outlineLevel="1" x14ac:dyDescent="0.25">
      <c r="B308" s="251">
        <f t="shared" si="29"/>
        <v>45675</v>
      </c>
      <c r="C308" s="252" t="str">
        <f t="shared" si="24"/>
        <v>Jan</v>
      </c>
      <c r="D308" s="252" t="str">
        <f t="shared" si="25"/>
        <v>2025</v>
      </c>
      <c r="E308" s="253">
        <v>0</v>
      </c>
      <c r="F308" s="254"/>
      <c r="G308" s="254"/>
      <c r="H308" s="254"/>
      <c r="I308" s="254"/>
      <c r="J308" s="254"/>
      <c r="K308" s="253">
        <f t="shared" si="26"/>
        <v>771613.21</v>
      </c>
      <c r="L308" s="255">
        <f t="shared" si="27"/>
        <v>3.2876712328767124E-4</v>
      </c>
      <c r="M308" s="253">
        <f t="shared" si="28"/>
        <v>253.68105534246575</v>
      </c>
    </row>
    <row r="309" spans="2:13" hidden="1" outlineLevel="1" x14ac:dyDescent="0.25">
      <c r="B309" s="251">
        <f t="shared" si="29"/>
        <v>45676</v>
      </c>
      <c r="C309" s="252" t="str">
        <f t="shared" si="24"/>
        <v>Jan</v>
      </c>
      <c r="D309" s="252" t="str">
        <f t="shared" si="25"/>
        <v>2025</v>
      </c>
      <c r="E309" s="253">
        <v>0</v>
      </c>
      <c r="F309" s="254"/>
      <c r="G309" s="254"/>
      <c r="H309" s="254"/>
      <c r="I309" s="254"/>
      <c r="J309" s="254"/>
      <c r="K309" s="253">
        <f t="shared" si="26"/>
        <v>771613.21</v>
      </c>
      <c r="L309" s="255">
        <f t="shared" si="27"/>
        <v>3.2876712328767124E-4</v>
      </c>
      <c r="M309" s="253">
        <f t="shared" si="28"/>
        <v>253.68105534246575</v>
      </c>
    </row>
    <row r="310" spans="2:13" hidden="1" outlineLevel="1" x14ac:dyDescent="0.25">
      <c r="B310" s="251">
        <f t="shared" si="29"/>
        <v>45677</v>
      </c>
      <c r="C310" s="252" t="str">
        <f t="shared" si="24"/>
        <v>Jan</v>
      </c>
      <c r="D310" s="252" t="str">
        <f t="shared" si="25"/>
        <v>2025</v>
      </c>
      <c r="E310" s="253">
        <v>0</v>
      </c>
      <c r="F310" s="254"/>
      <c r="G310" s="254"/>
      <c r="H310" s="254"/>
      <c r="I310" s="254"/>
      <c r="J310" s="254"/>
      <c r="K310" s="253">
        <f t="shared" si="26"/>
        <v>771613.21</v>
      </c>
      <c r="L310" s="255">
        <f t="shared" si="27"/>
        <v>3.2876712328767124E-4</v>
      </c>
      <c r="M310" s="253">
        <f t="shared" si="28"/>
        <v>253.68105534246575</v>
      </c>
    </row>
    <row r="311" spans="2:13" hidden="1" outlineLevel="1" x14ac:dyDescent="0.25">
      <c r="B311" s="251">
        <f t="shared" si="29"/>
        <v>45678</v>
      </c>
      <c r="C311" s="252" t="str">
        <f t="shared" si="24"/>
        <v>Jan</v>
      </c>
      <c r="D311" s="252" t="str">
        <f t="shared" si="25"/>
        <v>2025</v>
      </c>
      <c r="E311" s="253">
        <v>0</v>
      </c>
      <c r="F311" s="254"/>
      <c r="G311" s="254"/>
      <c r="H311" s="254"/>
      <c r="I311" s="254"/>
      <c r="J311" s="254"/>
      <c r="K311" s="253">
        <f t="shared" si="26"/>
        <v>771613.21</v>
      </c>
      <c r="L311" s="255">
        <f t="shared" si="27"/>
        <v>3.2876712328767124E-4</v>
      </c>
      <c r="M311" s="253">
        <f t="shared" si="28"/>
        <v>253.68105534246575</v>
      </c>
    </row>
    <row r="312" spans="2:13" hidden="1" outlineLevel="1" x14ac:dyDescent="0.25">
      <c r="B312" s="251">
        <f t="shared" si="29"/>
        <v>45679</v>
      </c>
      <c r="C312" s="252" t="str">
        <f t="shared" si="24"/>
        <v>Jan</v>
      </c>
      <c r="D312" s="252" t="str">
        <f t="shared" si="25"/>
        <v>2025</v>
      </c>
      <c r="E312" s="253">
        <v>0</v>
      </c>
      <c r="F312" s="254"/>
      <c r="G312" s="254"/>
      <c r="H312" s="254"/>
      <c r="I312" s="254"/>
      <c r="J312" s="254"/>
      <c r="K312" s="253">
        <f t="shared" si="26"/>
        <v>771613.21</v>
      </c>
      <c r="L312" s="255">
        <f t="shared" si="27"/>
        <v>3.2876712328767124E-4</v>
      </c>
      <c r="M312" s="253">
        <f t="shared" si="28"/>
        <v>253.68105534246575</v>
      </c>
    </row>
    <row r="313" spans="2:13" hidden="1" outlineLevel="1" x14ac:dyDescent="0.25">
      <c r="B313" s="251">
        <f t="shared" si="29"/>
        <v>45680</v>
      </c>
      <c r="C313" s="252" t="str">
        <f t="shared" si="24"/>
        <v>Jan</v>
      </c>
      <c r="D313" s="252" t="str">
        <f t="shared" si="25"/>
        <v>2025</v>
      </c>
      <c r="E313" s="253">
        <v>0</v>
      </c>
      <c r="F313" s="254"/>
      <c r="G313" s="254"/>
      <c r="H313" s="254"/>
      <c r="I313" s="254"/>
      <c r="J313" s="254"/>
      <c r="K313" s="253">
        <f t="shared" si="26"/>
        <v>771613.21</v>
      </c>
      <c r="L313" s="255">
        <f t="shared" si="27"/>
        <v>3.2876712328767124E-4</v>
      </c>
      <c r="M313" s="253">
        <f t="shared" si="28"/>
        <v>253.68105534246575</v>
      </c>
    </row>
    <row r="314" spans="2:13" hidden="1" outlineLevel="1" x14ac:dyDescent="0.25">
      <c r="B314" s="251">
        <f t="shared" si="29"/>
        <v>45681</v>
      </c>
      <c r="C314" s="252" t="str">
        <f t="shared" si="24"/>
        <v>Jan</v>
      </c>
      <c r="D314" s="252" t="str">
        <f t="shared" si="25"/>
        <v>2025</v>
      </c>
      <c r="E314" s="253">
        <v>0</v>
      </c>
      <c r="F314" s="254"/>
      <c r="G314" s="254"/>
      <c r="H314" s="254"/>
      <c r="I314" s="254"/>
      <c r="J314" s="254"/>
      <c r="K314" s="253">
        <f t="shared" si="26"/>
        <v>771613.21</v>
      </c>
      <c r="L314" s="255">
        <f t="shared" si="27"/>
        <v>3.2876712328767124E-4</v>
      </c>
      <c r="M314" s="253">
        <f t="shared" si="28"/>
        <v>253.68105534246575</v>
      </c>
    </row>
    <row r="315" spans="2:13" hidden="1" outlineLevel="1" x14ac:dyDescent="0.25">
      <c r="B315" s="251">
        <f t="shared" si="29"/>
        <v>45682</v>
      </c>
      <c r="C315" s="252" t="str">
        <f t="shared" si="24"/>
        <v>Jan</v>
      </c>
      <c r="D315" s="252" t="str">
        <f t="shared" si="25"/>
        <v>2025</v>
      </c>
      <c r="E315" s="253">
        <v>0</v>
      </c>
      <c r="F315" s="254"/>
      <c r="G315" s="254"/>
      <c r="H315" s="254"/>
      <c r="I315" s="254"/>
      <c r="J315" s="254"/>
      <c r="K315" s="253">
        <f t="shared" si="26"/>
        <v>771613.21</v>
      </c>
      <c r="L315" s="255">
        <f t="shared" si="27"/>
        <v>3.2876712328767124E-4</v>
      </c>
      <c r="M315" s="253">
        <f t="shared" si="28"/>
        <v>253.68105534246575</v>
      </c>
    </row>
    <row r="316" spans="2:13" hidden="1" outlineLevel="1" x14ac:dyDescent="0.25">
      <c r="B316" s="251">
        <f t="shared" si="29"/>
        <v>45683</v>
      </c>
      <c r="C316" s="252" t="str">
        <f t="shared" si="24"/>
        <v>Jan</v>
      </c>
      <c r="D316" s="252" t="str">
        <f t="shared" si="25"/>
        <v>2025</v>
      </c>
      <c r="E316" s="253">
        <v>0</v>
      </c>
      <c r="F316" s="254"/>
      <c r="G316" s="254"/>
      <c r="H316" s="254"/>
      <c r="I316" s="254"/>
      <c r="J316" s="254"/>
      <c r="K316" s="253">
        <f t="shared" si="26"/>
        <v>771613.21</v>
      </c>
      <c r="L316" s="255">
        <f t="shared" si="27"/>
        <v>3.2876712328767124E-4</v>
      </c>
      <c r="M316" s="253">
        <f t="shared" si="28"/>
        <v>253.68105534246575</v>
      </c>
    </row>
    <row r="317" spans="2:13" hidden="1" outlineLevel="1" x14ac:dyDescent="0.25">
      <c r="B317" s="251">
        <f t="shared" si="29"/>
        <v>45684</v>
      </c>
      <c r="C317" s="252" t="str">
        <f t="shared" si="24"/>
        <v>Jan</v>
      </c>
      <c r="D317" s="252" t="str">
        <f t="shared" si="25"/>
        <v>2025</v>
      </c>
      <c r="E317" s="253">
        <v>0</v>
      </c>
      <c r="F317" s="254"/>
      <c r="G317" s="254"/>
      <c r="H317" s="254"/>
      <c r="I317" s="254"/>
      <c r="J317" s="254"/>
      <c r="K317" s="253">
        <f t="shared" si="26"/>
        <v>771613.21</v>
      </c>
      <c r="L317" s="255">
        <f t="shared" si="27"/>
        <v>3.2876712328767124E-4</v>
      </c>
      <c r="M317" s="253">
        <f t="shared" si="28"/>
        <v>253.68105534246575</v>
      </c>
    </row>
    <row r="318" spans="2:13" hidden="1" outlineLevel="1" x14ac:dyDescent="0.25">
      <c r="B318" s="251">
        <f t="shared" si="29"/>
        <v>45685</v>
      </c>
      <c r="C318" s="252" t="str">
        <f t="shared" si="24"/>
        <v>Jan</v>
      </c>
      <c r="D318" s="252" t="str">
        <f t="shared" si="25"/>
        <v>2025</v>
      </c>
      <c r="E318" s="253">
        <v>0</v>
      </c>
      <c r="F318" s="254"/>
      <c r="G318" s="254"/>
      <c r="H318" s="254"/>
      <c r="I318" s="254"/>
      <c r="J318" s="254"/>
      <c r="K318" s="253">
        <f t="shared" si="26"/>
        <v>771613.21</v>
      </c>
      <c r="L318" s="255">
        <f t="shared" si="27"/>
        <v>3.2876712328767124E-4</v>
      </c>
      <c r="M318" s="253">
        <f t="shared" si="28"/>
        <v>253.68105534246575</v>
      </c>
    </row>
    <row r="319" spans="2:13" hidden="1" outlineLevel="1" x14ac:dyDescent="0.25">
      <c r="B319" s="251">
        <f t="shared" si="29"/>
        <v>45686</v>
      </c>
      <c r="C319" s="252" t="str">
        <f t="shared" si="24"/>
        <v>Jan</v>
      </c>
      <c r="D319" s="252" t="str">
        <f t="shared" si="25"/>
        <v>2025</v>
      </c>
      <c r="E319" s="253">
        <v>0</v>
      </c>
      <c r="F319" s="254"/>
      <c r="G319" s="254"/>
      <c r="H319" s="254"/>
      <c r="I319" s="254"/>
      <c r="J319" s="254"/>
      <c r="K319" s="253">
        <f t="shared" si="26"/>
        <v>771613.21</v>
      </c>
      <c r="L319" s="255">
        <f t="shared" si="27"/>
        <v>3.2876712328767124E-4</v>
      </c>
      <c r="M319" s="253">
        <f t="shared" si="28"/>
        <v>253.68105534246575</v>
      </c>
    </row>
    <row r="320" spans="2:13" hidden="1" outlineLevel="1" x14ac:dyDescent="0.25">
      <c r="B320" s="251">
        <f t="shared" si="29"/>
        <v>45687</v>
      </c>
      <c r="C320" s="252" t="str">
        <f t="shared" si="24"/>
        <v>Jan</v>
      </c>
      <c r="D320" s="252" t="str">
        <f t="shared" si="25"/>
        <v>2025</v>
      </c>
      <c r="E320" s="253">
        <v>0</v>
      </c>
      <c r="F320" s="254"/>
      <c r="G320" s="254"/>
      <c r="H320" s="254"/>
      <c r="I320" s="254"/>
      <c r="J320" s="254"/>
      <c r="K320" s="253">
        <f t="shared" si="26"/>
        <v>771613.21</v>
      </c>
      <c r="L320" s="255">
        <f t="shared" si="27"/>
        <v>3.2876712328767124E-4</v>
      </c>
      <c r="M320" s="253">
        <f t="shared" si="28"/>
        <v>253.68105534246575</v>
      </c>
    </row>
    <row r="321" spans="2:13" collapsed="1" x14ac:dyDescent="0.25">
      <c r="B321" s="251">
        <f t="shared" si="29"/>
        <v>45688</v>
      </c>
      <c r="C321" s="252" t="str">
        <f t="shared" si="24"/>
        <v>Jan</v>
      </c>
      <c r="D321" s="252" t="str">
        <f t="shared" si="25"/>
        <v>2025</v>
      </c>
      <c r="E321" s="253">
        <v>0</v>
      </c>
      <c r="F321" s="254"/>
      <c r="G321" s="254"/>
      <c r="H321" s="254"/>
      <c r="I321" s="254"/>
      <c r="J321" s="254"/>
      <c r="K321" s="253">
        <f t="shared" si="26"/>
        <v>771613.21</v>
      </c>
      <c r="L321" s="255">
        <f t="shared" si="27"/>
        <v>3.2876712328767124E-4</v>
      </c>
      <c r="M321" s="253">
        <f t="shared" si="28"/>
        <v>253.68105534246575</v>
      </c>
    </row>
    <row r="322" spans="2:13" hidden="1" outlineLevel="1" x14ac:dyDescent="0.25">
      <c r="B322" s="251">
        <f t="shared" si="29"/>
        <v>45689</v>
      </c>
      <c r="C322" s="252" t="str">
        <f t="shared" si="24"/>
        <v>Feb</v>
      </c>
      <c r="D322" s="252" t="str">
        <f t="shared" si="25"/>
        <v>2025</v>
      </c>
      <c r="E322" s="253">
        <v>0</v>
      </c>
      <c r="F322" s="254"/>
      <c r="G322" s="254"/>
      <c r="H322" s="254"/>
      <c r="I322" s="254"/>
      <c r="J322" s="254"/>
      <c r="K322" s="253">
        <f t="shared" si="26"/>
        <v>771613.21</v>
      </c>
      <c r="L322" s="255">
        <f t="shared" si="27"/>
        <v>3.2876712328767124E-4</v>
      </c>
      <c r="M322" s="253">
        <f t="shared" si="28"/>
        <v>253.68105534246575</v>
      </c>
    </row>
    <row r="323" spans="2:13" hidden="1" outlineLevel="1" x14ac:dyDescent="0.25">
      <c r="B323" s="251">
        <f t="shared" si="29"/>
        <v>45690</v>
      </c>
      <c r="C323" s="252" t="str">
        <f t="shared" si="24"/>
        <v>Feb</v>
      </c>
      <c r="D323" s="252" t="str">
        <f t="shared" si="25"/>
        <v>2025</v>
      </c>
      <c r="E323" s="253">
        <v>0</v>
      </c>
      <c r="F323" s="254"/>
      <c r="G323" s="254"/>
      <c r="H323" s="254"/>
      <c r="I323" s="254"/>
      <c r="J323" s="254"/>
      <c r="K323" s="253">
        <f t="shared" si="26"/>
        <v>771613.21</v>
      </c>
      <c r="L323" s="255">
        <f t="shared" si="27"/>
        <v>3.2876712328767124E-4</v>
      </c>
      <c r="M323" s="253">
        <f t="shared" si="28"/>
        <v>253.68105534246575</v>
      </c>
    </row>
    <row r="324" spans="2:13" hidden="1" outlineLevel="1" x14ac:dyDescent="0.25">
      <c r="B324" s="251">
        <f t="shared" si="29"/>
        <v>45691</v>
      </c>
      <c r="C324" s="252" t="str">
        <f t="shared" si="24"/>
        <v>Feb</v>
      </c>
      <c r="D324" s="252" t="str">
        <f t="shared" si="25"/>
        <v>2025</v>
      </c>
      <c r="E324" s="253">
        <v>0</v>
      </c>
      <c r="F324" s="254"/>
      <c r="G324" s="254"/>
      <c r="H324" s="254"/>
      <c r="I324" s="254"/>
      <c r="J324" s="254"/>
      <c r="K324" s="253">
        <f t="shared" si="26"/>
        <v>771613.21</v>
      </c>
      <c r="L324" s="255">
        <f t="shared" si="27"/>
        <v>3.2876712328767124E-4</v>
      </c>
      <c r="M324" s="253">
        <f t="shared" si="28"/>
        <v>253.68105534246575</v>
      </c>
    </row>
    <row r="325" spans="2:13" hidden="1" outlineLevel="1" x14ac:dyDescent="0.25">
      <c r="B325" s="251">
        <f t="shared" si="29"/>
        <v>45692</v>
      </c>
      <c r="C325" s="252" t="str">
        <f t="shared" si="24"/>
        <v>Feb</v>
      </c>
      <c r="D325" s="252" t="str">
        <f t="shared" si="25"/>
        <v>2025</v>
      </c>
      <c r="E325" s="253">
        <v>0</v>
      </c>
      <c r="F325" s="254"/>
      <c r="G325" s="254"/>
      <c r="H325" s="254"/>
      <c r="I325" s="254"/>
      <c r="J325" s="254"/>
      <c r="K325" s="253">
        <f t="shared" si="26"/>
        <v>771613.21</v>
      </c>
      <c r="L325" s="255">
        <f t="shared" si="27"/>
        <v>3.2876712328767124E-4</v>
      </c>
      <c r="M325" s="253">
        <f t="shared" si="28"/>
        <v>253.68105534246575</v>
      </c>
    </row>
    <row r="326" spans="2:13" hidden="1" outlineLevel="1" x14ac:dyDescent="0.25">
      <c r="B326" s="251">
        <f t="shared" si="29"/>
        <v>45693</v>
      </c>
      <c r="C326" s="252" t="str">
        <f t="shared" si="24"/>
        <v>Feb</v>
      </c>
      <c r="D326" s="252" t="str">
        <f t="shared" si="25"/>
        <v>2025</v>
      </c>
      <c r="E326" s="253">
        <v>-250</v>
      </c>
      <c r="F326" s="254" t="s">
        <v>486</v>
      </c>
      <c r="G326" s="254" t="s">
        <v>925</v>
      </c>
      <c r="H326" s="254" t="s">
        <v>926</v>
      </c>
      <c r="I326" s="254" t="s">
        <v>927</v>
      </c>
      <c r="J326" s="254" t="s">
        <v>93</v>
      </c>
      <c r="K326" s="253">
        <f t="shared" si="26"/>
        <v>771363.21</v>
      </c>
      <c r="L326" s="255">
        <f t="shared" si="27"/>
        <v>3.2876712328767124E-4</v>
      </c>
      <c r="M326" s="253">
        <f t="shared" si="28"/>
        <v>253.59886356164384</v>
      </c>
    </row>
    <row r="327" spans="2:13" hidden="1" outlineLevel="1" x14ac:dyDescent="0.25">
      <c r="B327" s="251">
        <f t="shared" si="29"/>
        <v>45694</v>
      </c>
      <c r="C327" s="252" t="str">
        <f t="shared" si="24"/>
        <v>Feb</v>
      </c>
      <c r="D327" s="252" t="str">
        <f t="shared" si="25"/>
        <v>2025</v>
      </c>
      <c r="E327" s="253"/>
      <c r="F327" s="254"/>
      <c r="G327" s="254"/>
      <c r="H327" s="254"/>
      <c r="I327" s="254"/>
      <c r="J327" s="254"/>
      <c r="K327" s="253">
        <f t="shared" si="26"/>
        <v>771363.21</v>
      </c>
      <c r="L327" s="255">
        <f t="shared" si="27"/>
        <v>3.2876712328767124E-4</v>
      </c>
      <c r="M327" s="253">
        <f t="shared" si="28"/>
        <v>253.59886356164384</v>
      </c>
    </row>
    <row r="328" spans="2:13" hidden="1" outlineLevel="1" x14ac:dyDescent="0.25">
      <c r="B328" s="251">
        <f t="shared" si="29"/>
        <v>45695</v>
      </c>
      <c r="C328" s="252" t="str">
        <f t="shared" ref="C328:C391" si="30">TEXT(B328,"mmm")</f>
        <v>Feb</v>
      </c>
      <c r="D328" s="252" t="str">
        <f t="shared" ref="D328:D391" si="31">TEXT(B328,"yyyy")</f>
        <v>2025</v>
      </c>
      <c r="E328" s="253"/>
      <c r="F328" s="254"/>
      <c r="G328" s="254"/>
      <c r="H328" s="254"/>
      <c r="I328" s="254"/>
      <c r="J328" s="254"/>
      <c r="K328" s="253">
        <f t="shared" ref="K328:K391" si="32">K327+E328</f>
        <v>771363.21</v>
      </c>
      <c r="L328" s="255">
        <f t="shared" ref="L328:L391" si="33">(0.12/365)</f>
        <v>3.2876712328767124E-4</v>
      </c>
      <c r="M328" s="253">
        <f t="shared" ref="M328:M391" si="34">K328*L328</f>
        <v>253.59886356164384</v>
      </c>
    </row>
    <row r="329" spans="2:13" hidden="1" outlineLevel="1" x14ac:dyDescent="0.25">
      <c r="B329" s="251">
        <f t="shared" si="29"/>
        <v>45696</v>
      </c>
      <c r="C329" s="252" t="str">
        <f t="shared" si="30"/>
        <v>Feb</v>
      </c>
      <c r="D329" s="252" t="str">
        <f t="shared" si="31"/>
        <v>2025</v>
      </c>
      <c r="E329" s="253"/>
      <c r="F329" s="254"/>
      <c r="G329" s="254"/>
      <c r="H329" s="254"/>
      <c r="I329" s="254"/>
      <c r="J329" s="254"/>
      <c r="K329" s="253">
        <f t="shared" si="32"/>
        <v>771363.21</v>
      </c>
      <c r="L329" s="255">
        <f t="shared" si="33"/>
        <v>3.2876712328767124E-4</v>
      </c>
      <c r="M329" s="253">
        <f t="shared" si="34"/>
        <v>253.59886356164384</v>
      </c>
    </row>
    <row r="330" spans="2:13" hidden="1" outlineLevel="1" x14ac:dyDescent="0.25">
      <c r="B330" s="251">
        <f t="shared" si="29"/>
        <v>45697</v>
      </c>
      <c r="C330" s="252" t="str">
        <f t="shared" si="30"/>
        <v>Feb</v>
      </c>
      <c r="D330" s="252" t="str">
        <f t="shared" si="31"/>
        <v>2025</v>
      </c>
      <c r="E330" s="253"/>
      <c r="F330" s="254"/>
      <c r="G330" s="254"/>
      <c r="H330" s="254"/>
      <c r="I330" s="254"/>
      <c r="J330" s="254"/>
      <c r="K330" s="253">
        <f t="shared" si="32"/>
        <v>771363.21</v>
      </c>
      <c r="L330" s="255">
        <f t="shared" si="33"/>
        <v>3.2876712328767124E-4</v>
      </c>
      <c r="M330" s="253">
        <f t="shared" si="34"/>
        <v>253.59886356164384</v>
      </c>
    </row>
    <row r="331" spans="2:13" hidden="1" outlineLevel="1" x14ac:dyDescent="0.25">
      <c r="B331" s="251">
        <f t="shared" ref="B331:B394" si="35">+B330+1</f>
        <v>45698</v>
      </c>
      <c r="C331" s="252" t="str">
        <f t="shared" si="30"/>
        <v>Feb</v>
      </c>
      <c r="D331" s="252" t="str">
        <f t="shared" si="31"/>
        <v>2025</v>
      </c>
      <c r="E331" s="253"/>
      <c r="F331" s="254"/>
      <c r="G331" s="254"/>
      <c r="H331" s="254"/>
      <c r="I331" s="254"/>
      <c r="J331" s="254"/>
      <c r="K331" s="253">
        <f t="shared" si="32"/>
        <v>771363.21</v>
      </c>
      <c r="L331" s="255">
        <f t="shared" si="33"/>
        <v>3.2876712328767124E-4</v>
      </c>
      <c r="M331" s="253">
        <f t="shared" si="34"/>
        <v>253.59886356164384</v>
      </c>
    </row>
    <row r="332" spans="2:13" hidden="1" outlineLevel="1" x14ac:dyDescent="0.25">
      <c r="B332" s="251">
        <f t="shared" si="35"/>
        <v>45699</v>
      </c>
      <c r="C332" s="252" t="str">
        <f t="shared" si="30"/>
        <v>Feb</v>
      </c>
      <c r="D332" s="252" t="str">
        <f t="shared" si="31"/>
        <v>2025</v>
      </c>
      <c r="E332" s="253"/>
      <c r="F332" s="254"/>
      <c r="G332" s="254"/>
      <c r="H332" s="254"/>
      <c r="I332" s="254"/>
      <c r="J332" s="254"/>
      <c r="K332" s="253">
        <f t="shared" si="32"/>
        <v>771363.21</v>
      </c>
      <c r="L332" s="255">
        <f t="shared" si="33"/>
        <v>3.2876712328767124E-4</v>
      </c>
      <c r="M332" s="253">
        <f t="shared" si="34"/>
        <v>253.59886356164384</v>
      </c>
    </row>
    <row r="333" spans="2:13" hidden="1" outlineLevel="1" x14ac:dyDescent="0.25">
      <c r="B333" s="251">
        <f t="shared" si="35"/>
        <v>45700</v>
      </c>
      <c r="C333" s="252" t="str">
        <f t="shared" si="30"/>
        <v>Feb</v>
      </c>
      <c r="D333" s="252" t="str">
        <f t="shared" si="31"/>
        <v>2025</v>
      </c>
      <c r="E333" s="253"/>
      <c r="F333" s="254"/>
      <c r="G333" s="254"/>
      <c r="H333" s="254"/>
      <c r="I333" s="254"/>
      <c r="J333" s="254"/>
      <c r="K333" s="253">
        <f t="shared" si="32"/>
        <v>771363.21</v>
      </c>
      <c r="L333" s="255">
        <f t="shared" si="33"/>
        <v>3.2876712328767124E-4</v>
      </c>
      <c r="M333" s="253">
        <f t="shared" si="34"/>
        <v>253.59886356164384</v>
      </c>
    </row>
    <row r="334" spans="2:13" hidden="1" outlineLevel="1" x14ac:dyDescent="0.25">
      <c r="B334" s="251">
        <f t="shared" si="35"/>
        <v>45701</v>
      </c>
      <c r="C334" s="252" t="str">
        <f t="shared" si="30"/>
        <v>Feb</v>
      </c>
      <c r="D334" s="252" t="str">
        <f t="shared" si="31"/>
        <v>2025</v>
      </c>
      <c r="E334" s="253"/>
      <c r="F334" s="254"/>
      <c r="G334" s="254"/>
      <c r="H334" s="254"/>
      <c r="I334" s="254"/>
      <c r="J334" s="254"/>
      <c r="K334" s="253">
        <f t="shared" si="32"/>
        <v>771363.21</v>
      </c>
      <c r="L334" s="255">
        <f t="shared" si="33"/>
        <v>3.2876712328767124E-4</v>
      </c>
      <c r="M334" s="253">
        <f t="shared" si="34"/>
        <v>253.59886356164384</v>
      </c>
    </row>
    <row r="335" spans="2:13" hidden="1" outlineLevel="1" x14ac:dyDescent="0.25">
      <c r="B335" s="251">
        <f t="shared" si="35"/>
        <v>45702</v>
      </c>
      <c r="C335" s="252" t="str">
        <f t="shared" si="30"/>
        <v>Feb</v>
      </c>
      <c r="D335" s="252" t="str">
        <f t="shared" si="31"/>
        <v>2025</v>
      </c>
      <c r="E335" s="253"/>
      <c r="F335" s="254"/>
      <c r="G335" s="254"/>
      <c r="H335" s="254"/>
      <c r="I335" s="254"/>
      <c r="J335" s="254"/>
      <c r="K335" s="253">
        <f t="shared" si="32"/>
        <v>771363.21</v>
      </c>
      <c r="L335" s="255">
        <f t="shared" si="33"/>
        <v>3.2876712328767124E-4</v>
      </c>
      <c r="M335" s="253">
        <f t="shared" si="34"/>
        <v>253.59886356164384</v>
      </c>
    </row>
    <row r="336" spans="2:13" hidden="1" outlineLevel="1" x14ac:dyDescent="0.25">
      <c r="B336" s="251">
        <f t="shared" si="35"/>
        <v>45703</v>
      </c>
      <c r="C336" s="252" t="str">
        <f t="shared" si="30"/>
        <v>Feb</v>
      </c>
      <c r="D336" s="252" t="str">
        <f t="shared" si="31"/>
        <v>2025</v>
      </c>
      <c r="E336" s="253"/>
      <c r="F336" s="254"/>
      <c r="G336" s="254"/>
      <c r="H336" s="254"/>
      <c r="I336" s="254"/>
      <c r="J336" s="254"/>
      <c r="K336" s="253">
        <f t="shared" si="32"/>
        <v>771363.21</v>
      </c>
      <c r="L336" s="255">
        <f t="shared" si="33"/>
        <v>3.2876712328767124E-4</v>
      </c>
      <c r="M336" s="253">
        <f t="shared" si="34"/>
        <v>253.59886356164384</v>
      </c>
    </row>
    <row r="337" spans="2:13" hidden="1" outlineLevel="1" x14ac:dyDescent="0.25">
      <c r="B337" s="251">
        <f t="shared" si="35"/>
        <v>45704</v>
      </c>
      <c r="C337" s="252" t="str">
        <f t="shared" si="30"/>
        <v>Feb</v>
      </c>
      <c r="D337" s="252" t="str">
        <f t="shared" si="31"/>
        <v>2025</v>
      </c>
      <c r="E337" s="253"/>
      <c r="F337" s="254"/>
      <c r="G337" s="254"/>
      <c r="H337" s="254"/>
      <c r="I337" s="254"/>
      <c r="J337" s="254"/>
      <c r="K337" s="253">
        <f t="shared" si="32"/>
        <v>771363.21</v>
      </c>
      <c r="L337" s="255">
        <f t="shared" si="33"/>
        <v>3.2876712328767124E-4</v>
      </c>
      <c r="M337" s="253">
        <f t="shared" si="34"/>
        <v>253.59886356164384</v>
      </c>
    </row>
    <row r="338" spans="2:13" hidden="1" outlineLevel="1" x14ac:dyDescent="0.25">
      <c r="B338" s="251">
        <f t="shared" si="35"/>
        <v>45705</v>
      </c>
      <c r="C338" s="252" t="str">
        <f t="shared" si="30"/>
        <v>Feb</v>
      </c>
      <c r="D338" s="252" t="str">
        <f t="shared" si="31"/>
        <v>2025</v>
      </c>
      <c r="E338" s="253"/>
      <c r="F338" s="254"/>
      <c r="G338" s="254"/>
      <c r="H338" s="254"/>
      <c r="I338" s="254"/>
      <c r="J338" s="254"/>
      <c r="K338" s="253">
        <f t="shared" si="32"/>
        <v>771363.21</v>
      </c>
      <c r="L338" s="255">
        <f t="shared" si="33"/>
        <v>3.2876712328767124E-4</v>
      </c>
      <c r="M338" s="253">
        <f t="shared" si="34"/>
        <v>253.59886356164384</v>
      </c>
    </row>
    <row r="339" spans="2:13" hidden="1" outlineLevel="1" x14ac:dyDescent="0.25">
      <c r="B339" s="251">
        <f t="shared" si="35"/>
        <v>45706</v>
      </c>
      <c r="C339" s="252" t="str">
        <f t="shared" si="30"/>
        <v>Feb</v>
      </c>
      <c r="D339" s="252" t="str">
        <f t="shared" si="31"/>
        <v>2025</v>
      </c>
      <c r="E339" s="253"/>
      <c r="F339" s="254"/>
      <c r="G339" s="254"/>
      <c r="H339" s="254"/>
      <c r="I339" s="254"/>
      <c r="J339" s="254"/>
      <c r="K339" s="253">
        <f t="shared" si="32"/>
        <v>771363.21</v>
      </c>
      <c r="L339" s="255">
        <f t="shared" si="33"/>
        <v>3.2876712328767124E-4</v>
      </c>
      <c r="M339" s="253">
        <f t="shared" si="34"/>
        <v>253.59886356164384</v>
      </c>
    </row>
    <row r="340" spans="2:13" hidden="1" outlineLevel="1" x14ac:dyDescent="0.25">
      <c r="B340" s="251">
        <f t="shared" si="35"/>
        <v>45707</v>
      </c>
      <c r="C340" s="252" t="str">
        <f t="shared" si="30"/>
        <v>Feb</v>
      </c>
      <c r="D340" s="252" t="str">
        <f t="shared" si="31"/>
        <v>2025</v>
      </c>
      <c r="E340" s="253"/>
      <c r="F340" s="254"/>
      <c r="G340" s="254"/>
      <c r="H340" s="254"/>
      <c r="I340" s="254"/>
      <c r="J340" s="254"/>
      <c r="K340" s="253">
        <f t="shared" si="32"/>
        <v>771363.21</v>
      </c>
      <c r="L340" s="255">
        <f t="shared" si="33"/>
        <v>3.2876712328767124E-4</v>
      </c>
      <c r="M340" s="253">
        <f t="shared" si="34"/>
        <v>253.59886356164384</v>
      </c>
    </row>
    <row r="341" spans="2:13" hidden="1" outlineLevel="1" x14ac:dyDescent="0.25">
      <c r="B341" s="251">
        <f t="shared" si="35"/>
        <v>45708</v>
      </c>
      <c r="C341" s="252" t="str">
        <f t="shared" si="30"/>
        <v>Feb</v>
      </c>
      <c r="D341" s="252" t="str">
        <f t="shared" si="31"/>
        <v>2025</v>
      </c>
      <c r="E341" s="253"/>
      <c r="F341" s="254"/>
      <c r="G341" s="254"/>
      <c r="H341" s="254"/>
      <c r="I341" s="254"/>
      <c r="J341" s="254"/>
      <c r="K341" s="253">
        <f t="shared" si="32"/>
        <v>771363.21</v>
      </c>
      <c r="L341" s="255">
        <f t="shared" si="33"/>
        <v>3.2876712328767124E-4</v>
      </c>
      <c r="M341" s="253">
        <f t="shared" si="34"/>
        <v>253.59886356164384</v>
      </c>
    </row>
    <row r="342" spans="2:13" hidden="1" outlineLevel="1" x14ac:dyDescent="0.25">
      <c r="B342" s="251">
        <f t="shared" si="35"/>
        <v>45709</v>
      </c>
      <c r="C342" s="252" t="str">
        <f t="shared" si="30"/>
        <v>Feb</v>
      </c>
      <c r="D342" s="252" t="str">
        <f t="shared" si="31"/>
        <v>2025</v>
      </c>
      <c r="E342" s="253"/>
      <c r="F342" s="254"/>
      <c r="G342" s="254"/>
      <c r="H342" s="254"/>
      <c r="I342" s="254"/>
      <c r="J342" s="254"/>
      <c r="K342" s="253">
        <f t="shared" si="32"/>
        <v>771363.21</v>
      </c>
      <c r="L342" s="255">
        <f t="shared" si="33"/>
        <v>3.2876712328767124E-4</v>
      </c>
      <c r="M342" s="253">
        <f t="shared" si="34"/>
        <v>253.59886356164384</v>
      </c>
    </row>
    <row r="343" spans="2:13" hidden="1" outlineLevel="1" x14ac:dyDescent="0.25">
      <c r="B343" s="251">
        <f t="shared" si="35"/>
        <v>45710</v>
      </c>
      <c r="C343" s="252" t="str">
        <f t="shared" si="30"/>
        <v>Feb</v>
      </c>
      <c r="D343" s="252" t="str">
        <f t="shared" si="31"/>
        <v>2025</v>
      </c>
      <c r="E343" s="253"/>
      <c r="F343" s="254"/>
      <c r="G343" s="254"/>
      <c r="H343" s="254"/>
      <c r="I343" s="254"/>
      <c r="J343" s="254"/>
      <c r="K343" s="253">
        <f t="shared" si="32"/>
        <v>771363.21</v>
      </c>
      <c r="L343" s="255">
        <f t="shared" si="33"/>
        <v>3.2876712328767124E-4</v>
      </c>
      <c r="M343" s="253">
        <f t="shared" si="34"/>
        <v>253.59886356164384</v>
      </c>
    </row>
    <row r="344" spans="2:13" hidden="1" outlineLevel="1" x14ac:dyDescent="0.25">
      <c r="B344" s="251">
        <f t="shared" si="35"/>
        <v>45711</v>
      </c>
      <c r="C344" s="252" t="str">
        <f t="shared" si="30"/>
        <v>Feb</v>
      </c>
      <c r="D344" s="252" t="str">
        <f t="shared" si="31"/>
        <v>2025</v>
      </c>
      <c r="E344" s="253"/>
      <c r="F344" s="254"/>
      <c r="G344" s="254"/>
      <c r="H344" s="254"/>
      <c r="I344" s="254"/>
      <c r="J344" s="254"/>
      <c r="K344" s="253">
        <f t="shared" si="32"/>
        <v>771363.21</v>
      </c>
      <c r="L344" s="255">
        <f t="shared" si="33"/>
        <v>3.2876712328767124E-4</v>
      </c>
      <c r="M344" s="253">
        <f t="shared" si="34"/>
        <v>253.59886356164384</v>
      </c>
    </row>
    <row r="345" spans="2:13" hidden="1" outlineLevel="1" x14ac:dyDescent="0.25">
      <c r="B345" s="251">
        <f t="shared" si="35"/>
        <v>45712</v>
      </c>
      <c r="C345" s="252" t="str">
        <f t="shared" si="30"/>
        <v>Feb</v>
      </c>
      <c r="D345" s="252" t="str">
        <f t="shared" si="31"/>
        <v>2025</v>
      </c>
      <c r="E345" s="253"/>
      <c r="F345" s="254"/>
      <c r="G345" s="254"/>
      <c r="H345" s="254"/>
      <c r="I345" s="254"/>
      <c r="J345" s="254"/>
      <c r="K345" s="253">
        <f t="shared" si="32"/>
        <v>771363.21</v>
      </c>
      <c r="L345" s="255">
        <f t="shared" si="33"/>
        <v>3.2876712328767124E-4</v>
      </c>
      <c r="M345" s="253">
        <f t="shared" si="34"/>
        <v>253.59886356164384</v>
      </c>
    </row>
    <row r="346" spans="2:13" hidden="1" outlineLevel="1" x14ac:dyDescent="0.25">
      <c r="B346" s="251">
        <f t="shared" si="35"/>
        <v>45713</v>
      </c>
      <c r="C346" s="252" t="str">
        <f t="shared" si="30"/>
        <v>Feb</v>
      </c>
      <c r="D346" s="252" t="str">
        <f t="shared" si="31"/>
        <v>2025</v>
      </c>
      <c r="E346" s="253"/>
      <c r="F346" s="254"/>
      <c r="G346" s="254"/>
      <c r="H346" s="254"/>
      <c r="I346" s="254"/>
      <c r="J346" s="254"/>
      <c r="K346" s="253">
        <f t="shared" si="32"/>
        <v>771363.21</v>
      </c>
      <c r="L346" s="255">
        <f t="shared" si="33"/>
        <v>3.2876712328767124E-4</v>
      </c>
      <c r="M346" s="253">
        <f t="shared" si="34"/>
        <v>253.59886356164384</v>
      </c>
    </row>
    <row r="347" spans="2:13" hidden="1" outlineLevel="1" x14ac:dyDescent="0.25">
      <c r="B347" s="251">
        <f t="shared" si="35"/>
        <v>45714</v>
      </c>
      <c r="C347" s="252" t="str">
        <f t="shared" si="30"/>
        <v>Feb</v>
      </c>
      <c r="D347" s="252" t="str">
        <f t="shared" si="31"/>
        <v>2025</v>
      </c>
      <c r="E347" s="253"/>
      <c r="F347" s="254"/>
      <c r="G347" s="254"/>
      <c r="H347" s="254"/>
      <c r="I347" s="254"/>
      <c r="J347" s="254"/>
      <c r="K347" s="253">
        <f t="shared" si="32"/>
        <v>771363.21</v>
      </c>
      <c r="L347" s="255">
        <f t="shared" si="33"/>
        <v>3.2876712328767124E-4</v>
      </c>
      <c r="M347" s="253">
        <f t="shared" si="34"/>
        <v>253.59886356164384</v>
      </c>
    </row>
    <row r="348" spans="2:13" hidden="1" outlineLevel="1" x14ac:dyDescent="0.25">
      <c r="B348" s="251">
        <f t="shared" si="35"/>
        <v>45715</v>
      </c>
      <c r="C348" s="252" t="str">
        <f t="shared" si="30"/>
        <v>Feb</v>
      </c>
      <c r="D348" s="252" t="str">
        <f t="shared" si="31"/>
        <v>2025</v>
      </c>
      <c r="E348" s="253"/>
      <c r="F348" s="254"/>
      <c r="G348" s="254"/>
      <c r="H348" s="254"/>
      <c r="I348" s="254"/>
      <c r="J348" s="254"/>
      <c r="K348" s="253">
        <f t="shared" si="32"/>
        <v>771363.21</v>
      </c>
      <c r="L348" s="255">
        <f t="shared" si="33"/>
        <v>3.2876712328767124E-4</v>
      </c>
      <c r="M348" s="253">
        <f t="shared" si="34"/>
        <v>253.59886356164384</v>
      </c>
    </row>
    <row r="349" spans="2:13" collapsed="1" x14ac:dyDescent="0.25">
      <c r="B349" s="251">
        <f t="shared" si="35"/>
        <v>45716</v>
      </c>
      <c r="C349" s="252" t="str">
        <f t="shared" si="30"/>
        <v>Feb</v>
      </c>
      <c r="D349" s="252" t="str">
        <f t="shared" si="31"/>
        <v>2025</v>
      </c>
      <c r="E349" s="253"/>
      <c r="F349" s="254"/>
      <c r="G349" s="254"/>
      <c r="H349" s="254"/>
      <c r="I349" s="254"/>
      <c r="J349" s="254"/>
      <c r="K349" s="253">
        <f t="shared" si="32"/>
        <v>771363.21</v>
      </c>
      <c r="L349" s="255">
        <f t="shared" si="33"/>
        <v>3.2876712328767124E-4</v>
      </c>
      <c r="M349" s="253">
        <f t="shared" si="34"/>
        <v>253.59886356164384</v>
      </c>
    </row>
    <row r="350" spans="2:13" hidden="1" outlineLevel="1" x14ac:dyDescent="0.25">
      <c r="B350" s="251">
        <f t="shared" si="35"/>
        <v>45717</v>
      </c>
      <c r="C350" s="252" t="str">
        <f t="shared" si="30"/>
        <v>Mar</v>
      </c>
      <c r="D350" s="252" t="str">
        <f t="shared" si="31"/>
        <v>2025</v>
      </c>
      <c r="E350" s="253"/>
      <c r="F350" s="254"/>
      <c r="G350" s="254"/>
      <c r="H350" s="254"/>
      <c r="I350" s="254"/>
      <c r="J350" s="254"/>
      <c r="K350" s="253">
        <f t="shared" si="32"/>
        <v>771363.21</v>
      </c>
      <c r="L350" s="255">
        <f t="shared" si="33"/>
        <v>3.2876712328767124E-4</v>
      </c>
      <c r="M350" s="253">
        <f t="shared" si="34"/>
        <v>253.59886356164384</v>
      </c>
    </row>
    <row r="351" spans="2:13" hidden="1" outlineLevel="1" x14ac:dyDescent="0.25">
      <c r="B351" s="251">
        <f t="shared" si="35"/>
        <v>45718</v>
      </c>
      <c r="C351" s="252" t="str">
        <f t="shared" si="30"/>
        <v>Mar</v>
      </c>
      <c r="D351" s="252" t="str">
        <f t="shared" si="31"/>
        <v>2025</v>
      </c>
      <c r="E351" s="253"/>
      <c r="F351" s="254"/>
      <c r="G351" s="254"/>
      <c r="H351" s="254"/>
      <c r="I351" s="254"/>
      <c r="J351" s="254"/>
      <c r="K351" s="253">
        <f t="shared" si="32"/>
        <v>771363.21</v>
      </c>
      <c r="L351" s="255">
        <f t="shared" si="33"/>
        <v>3.2876712328767124E-4</v>
      </c>
      <c r="M351" s="253">
        <f t="shared" si="34"/>
        <v>253.59886356164384</v>
      </c>
    </row>
    <row r="352" spans="2:13" hidden="1" outlineLevel="1" x14ac:dyDescent="0.25">
      <c r="B352" s="251">
        <f t="shared" si="35"/>
        <v>45719</v>
      </c>
      <c r="C352" s="252" t="str">
        <f t="shared" si="30"/>
        <v>Mar</v>
      </c>
      <c r="D352" s="252" t="str">
        <f t="shared" si="31"/>
        <v>2025</v>
      </c>
      <c r="E352" s="253"/>
      <c r="F352" s="254"/>
      <c r="G352" s="254"/>
      <c r="H352" s="254"/>
      <c r="I352" s="254"/>
      <c r="J352" s="254"/>
      <c r="K352" s="253">
        <f t="shared" si="32"/>
        <v>771363.21</v>
      </c>
      <c r="L352" s="255">
        <f t="shared" si="33"/>
        <v>3.2876712328767124E-4</v>
      </c>
      <c r="M352" s="253">
        <f t="shared" si="34"/>
        <v>253.59886356164384</v>
      </c>
    </row>
    <row r="353" spans="2:13" hidden="1" outlineLevel="1" x14ac:dyDescent="0.25">
      <c r="B353" s="251">
        <f t="shared" si="35"/>
        <v>45720</v>
      </c>
      <c r="C353" s="252" t="str">
        <f t="shared" si="30"/>
        <v>Mar</v>
      </c>
      <c r="D353" s="252" t="str">
        <f t="shared" si="31"/>
        <v>2025</v>
      </c>
      <c r="E353" s="253"/>
      <c r="F353" s="254"/>
      <c r="G353" s="254"/>
      <c r="H353" s="254"/>
      <c r="I353" s="254"/>
      <c r="J353" s="254"/>
      <c r="K353" s="253">
        <f t="shared" si="32"/>
        <v>771363.21</v>
      </c>
      <c r="L353" s="255">
        <f t="shared" si="33"/>
        <v>3.2876712328767124E-4</v>
      </c>
      <c r="M353" s="253">
        <f t="shared" si="34"/>
        <v>253.59886356164384</v>
      </c>
    </row>
    <row r="354" spans="2:13" hidden="1" outlineLevel="1" x14ac:dyDescent="0.25">
      <c r="B354" s="251">
        <f t="shared" si="35"/>
        <v>45721</v>
      </c>
      <c r="C354" s="252" t="str">
        <f t="shared" si="30"/>
        <v>Mar</v>
      </c>
      <c r="D354" s="252" t="str">
        <f t="shared" si="31"/>
        <v>2025</v>
      </c>
      <c r="E354" s="253"/>
      <c r="F354" s="254"/>
      <c r="G354" s="254"/>
      <c r="H354" s="254"/>
      <c r="I354" s="254"/>
      <c r="J354" s="254"/>
      <c r="K354" s="253">
        <f t="shared" si="32"/>
        <v>771363.21</v>
      </c>
      <c r="L354" s="255">
        <f t="shared" si="33"/>
        <v>3.2876712328767124E-4</v>
      </c>
      <c r="M354" s="253">
        <f t="shared" si="34"/>
        <v>253.59886356164384</v>
      </c>
    </row>
    <row r="355" spans="2:13" hidden="1" outlineLevel="1" x14ac:dyDescent="0.25">
      <c r="B355" s="251">
        <f t="shared" si="35"/>
        <v>45722</v>
      </c>
      <c r="C355" s="252" t="str">
        <f t="shared" si="30"/>
        <v>Mar</v>
      </c>
      <c r="D355" s="252" t="str">
        <f t="shared" si="31"/>
        <v>2025</v>
      </c>
      <c r="E355" s="253"/>
      <c r="F355" s="254"/>
      <c r="G355" s="254"/>
      <c r="H355" s="254"/>
      <c r="I355" s="254"/>
      <c r="J355" s="254"/>
      <c r="K355" s="253">
        <f t="shared" si="32"/>
        <v>771363.21</v>
      </c>
      <c r="L355" s="255">
        <f t="shared" si="33"/>
        <v>3.2876712328767124E-4</v>
      </c>
      <c r="M355" s="253">
        <f t="shared" si="34"/>
        <v>253.59886356164384</v>
      </c>
    </row>
    <row r="356" spans="2:13" hidden="1" outlineLevel="1" x14ac:dyDescent="0.25">
      <c r="B356" s="251">
        <f t="shared" si="35"/>
        <v>45723</v>
      </c>
      <c r="C356" s="252" t="str">
        <f t="shared" si="30"/>
        <v>Mar</v>
      </c>
      <c r="D356" s="252" t="str">
        <f t="shared" si="31"/>
        <v>2025</v>
      </c>
      <c r="E356" s="253"/>
      <c r="F356" s="254"/>
      <c r="G356" s="254"/>
      <c r="H356" s="254"/>
      <c r="I356" s="254"/>
      <c r="J356" s="254"/>
      <c r="K356" s="253">
        <f t="shared" si="32"/>
        <v>771363.21</v>
      </c>
      <c r="L356" s="255">
        <f t="shared" si="33"/>
        <v>3.2876712328767124E-4</v>
      </c>
      <c r="M356" s="253">
        <f t="shared" si="34"/>
        <v>253.59886356164384</v>
      </c>
    </row>
    <row r="357" spans="2:13" hidden="1" outlineLevel="1" x14ac:dyDescent="0.25">
      <c r="B357" s="251">
        <f t="shared" si="35"/>
        <v>45724</v>
      </c>
      <c r="C357" s="252" t="str">
        <f t="shared" si="30"/>
        <v>Mar</v>
      </c>
      <c r="D357" s="252" t="str">
        <f t="shared" si="31"/>
        <v>2025</v>
      </c>
      <c r="E357" s="253"/>
      <c r="F357" s="254"/>
      <c r="G357" s="254"/>
      <c r="H357" s="254"/>
      <c r="I357" s="254"/>
      <c r="J357" s="254"/>
      <c r="K357" s="253">
        <f t="shared" si="32"/>
        <v>771363.21</v>
      </c>
      <c r="L357" s="255">
        <f t="shared" si="33"/>
        <v>3.2876712328767124E-4</v>
      </c>
      <c r="M357" s="253">
        <f t="shared" si="34"/>
        <v>253.59886356164384</v>
      </c>
    </row>
    <row r="358" spans="2:13" hidden="1" outlineLevel="1" x14ac:dyDescent="0.25">
      <c r="B358" s="251">
        <f t="shared" si="35"/>
        <v>45725</v>
      </c>
      <c r="C358" s="252" t="str">
        <f t="shared" si="30"/>
        <v>Mar</v>
      </c>
      <c r="D358" s="252" t="str">
        <f t="shared" si="31"/>
        <v>2025</v>
      </c>
      <c r="E358" s="253"/>
      <c r="F358" s="254"/>
      <c r="G358" s="254"/>
      <c r="H358" s="254"/>
      <c r="I358" s="254"/>
      <c r="J358" s="254"/>
      <c r="K358" s="253">
        <f t="shared" si="32"/>
        <v>771363.21</v>
      </c>
      <c r="L358" s="255">
        <f t="shared" si="33"/>
        <v>3.2876712328767124E-4</v>
      </c>
      <c r="M358" s="253">
        <f t="shared" si="34"/>
        <v>253.59886356164384</v>
      </c>
    </row>
    <row r="359" spans="2:13" hidden="1" outlineLevel="1" x14ac:dyDescent="0.25">
      <c r="B359" s="251">
        <f t="shared" si="35"/>
        <v>45726</v>
      </c>
      <c r="C359" s="252" t="str">
        <f t="shared" si="30"/>
        <v>Mar</v>
      </c>
      <c r="D359" s="252" t="str">
        <f t="shared" si="31"/>
        <v>2025</v>
      </c>
      <c r="E359" s="253"/>
      <c r="F359" s="254"/>
      <c r="G359" s="254"/>
      <c r="H359" s="254"/>
      <c r="I359" s="254"/>
      <c r="J359" s="254"/>
      <c r="K359" s="253">
        <f t="shared" si="32"/>
        <v>771363.21</v>
      </c>
      <c r="L359" s="255">
        <f t="shared" si="33"/>
        <v>3.2876712328767124E-4</v>
      </c>
      <c r="M359" s="253">
        <f t="shared" si="34"/>
        <v>253.59886356164384</v>
      </c>
    </row>
    <row r="360" spans="2:13" hidden="1" outlineLevel="1" x14ac:dyDescent="0.25">
      <c r="B360" s="251">
        <f t="shared" si="35"/>
        <v>45727</v>
      </c>
      <c r="C360" s="252" t="str">
        <f t="shared" si="30"/>
        <v>Mar</v>
      </c>
      <c r="D360" s="252" t="str">
        <f t="shared" si="31"/>
        <v>2025</v>
      </c>
      <c r="E360" s="253"/>
      <c r="F360" s="254"/>
      <c r="G360" s="254"/>
      <c r="H360" s="254"/>
      <c r="I360" s="254"/>
      <c r="J360" s="254"/>
      <c r="K360" s="253">
        <f t="shared" si="32"/>
        <v>771363.21</v>
      </c>
      <c r="L360" s="255">
        <f t="shared" si="33"/>
        <v>3.2876712328767124E-4</v>
      </c>
      <c r="M360" s="253">
        <f t="shared" si="34"/>
        <v>253.59886356164384</v>
      </c>
    </row>
    <row r="361" spans="2:13" hidden="1" outlineLevel="1" x14ac:dyDescent="0.25">
      <c r="B361" s="251">
        <f t="shared" si="35"/>
        <v>45728</v>
      </c>
      <c r="C361" s="252" t="str">
        <f t="shared" si="30"/>
        <v>Mar</v>
      </c>
      <c r="D361" s="252" t="str">
        <f t="shared" si="31"/>
        <v>2025</v>
      </c>
      <c r="E361" s="253"/>
      <c r="F361" s="254"/>
      <c r="G361" s="254"/>
      <c r="H361" s="254"/>
      <c r="I361" s="254"/>
      <c r="J361" s="254"/>
      <c r="K361" s="253">
        <f t="shared" si="32"/>
        <v>771363.21</v>
      </c>
      <c r="L361" s="255">
        <f t="shared" si="33"/>
        <v>3.2876712328767124E-4</v>
      </c>
      <c r="M361" s="253">
        <f t="shared" si="34"/>
        <v>253.59886356164384</v>
      </c>
    </row>
    <row r="362" spans="2:13" hidden="1" outlineLevel="1" x14ac:dyDescent="0.25">
      <c r="B362" s="251">
        <f t="shared" si="35"/>
        <v>45729</v>
      </c>
      <c r="C362" s="252" t="str">
        <f t="shared" si="30"/>
        <v>Mar</v>
      </c>
      <c r="D362" s="252" t="str">
        <f t="shared" si="31"/>
        <v>2025</v>
      </c>
      <c r="E362" s="253"/>
      <c r="F362" s="254"/>
      <c r="G362" s="254"/>
      <c r="H362" s="254"/>
      <c r="I362" s="254"/>
      <c r="J362" s="254"/>
      <c r="K362" s="253">
        <f t="shared" si="32"/>
        <v>771363.21</v>
      </c>
      <c r="L362" s="255">
        <f t="shared" si="33"/>
        <v>3.2876712328767124E-4</v>
      </c>
      <c r="M362" s="253">
        <f t="shared" si="34"/>
        <v>253.59886356164384</v>
      </c>
    </row>
    <row r="363" spans="2:13" hidden="1" outlineLevel="1" x14ac:dyDescent="0.25">
      <c r="B363" s="251">
        <f t="shared" si="35"/>
        <v>45730</v>
      </c>
      <c r="C363" s="252" t="str">
        <f t="shared" si="30"/>
        <v>Mar</v>
      </c>
      <c r="D363" s="252" t="str">
        <f t="shared" si="31"/>
        <v>2025</v>
      </c>
      <c r="E363" s="253"/>
      <c r="F363" s="254"/>
      <c r="G363" s="254"/>
      <c r="H363" s="254"/>
      <c r="I363" s="254"/>
      <c r="J363" s="254"/>
      <c r="K363" s="253">
        <f t="shared" si="32"/>
        <v>771363.21</v>
      </c>
      <c r="L363" s="255">
        <f t="shared" si="33"/>
        <v>3.2876712328767124E-4</v>
      </c>
      <c r="M363" s="253">
        <f t="shared" si="34"/>
        <v>253.59886356164384</v>
      </c>
    </row>
    <row r="364" spans="2:13" hidden="1" outlineLevel="1" x14ac:dyDescent="0.25">
      <c r="B364" s="251">
        <f t="shared" si="35"/>
        <v>45731</v>
      </c>
      <c r="C364" s="252" t="str">
        <f t="shared" si="30"/>
        <v>Mar</v>
      </c>
      <c r="D364" s="252" t="str">
        <f t="shared" si="31"/>
        <v>2025</v>
      </c>
      <c r="E364" s="253"/>
      <c r="F364" s="254"/>
      <c r="G364" s="254"/>
      <c r="H364" s="254"/>
      <c r="I364" s="254"/>
      <c r="J364" s="254"/>
      <c r="K364" s="253">
        <f t="shared" si="32"/>
        <v>771363.21</v>
      </c>
      <c r="L364" s="255">
        <f t="shared" si="33"/>
        <v>3.2876712328767124E-4</v>
      </c>
      <c r="M364" s="253">
        <f t="shared" si="34"/>
        <v>253.59886356164384</v>
      </c>
    </row>
    <row r="365" spans="2:13" hidden="1" outlineLevel="1" x14ac:dyDescent="0.25">
      <c r="B365" s="251">
        <f t="shared" si="35"/>
        <v>45732</v>
      </c>
      <c r="C365" s="252" t="str">
        <f t="shared" si="30"/>
        <v>Mar</v>
      </c>
      <c r="D365" s="252" t="str">
        <f t="shared" si="31"/>
        <v>2025</v>
      </c>
      <c r="E365" s="253"/>
      <c r="F365" s="254"/>
      <c r="G365" s="254"/>
      <c r="H365" s="254"/>
      <c r="I365" s="254"/>
      <c r="J365" s="254"/>
      <c r="K365" s="253">
        <f t="shared" si="32"/>
        <v>771363.21</v>
      </c>
      <c r="L365" s="255">
        <f t="shared" si="33"/>
        <v>3.2876712328767124E-4</v>
      </c>
      <c r="M365" s="253">
        <f t="shared" si="34"/>
        <v>253.59886356164384</v>
      </c>
    </row>
    <row r="366" spans="2:13" hidden="1" outlineLevel="1" x14ac:dyDescent="0.25">
      <c r="B366" s="251">
        <f t="shared" si="35"/>
        <v>45733</v>
      </c>
      <c r="C366" s="252" t="str">
        <f t="shared" si="30"/>
        <v>Mar</v>
      </c>
      <c r="D366" s="252" t="str">
        <f t="shared" si="31"/>
        <v>2025</v>
      </c>
      <c r="E366" s="253"/>
      <c r="F366" s="254"/>
      <c r="G366" s="254"/>
      <c r="H366" s="254"/>
      <c r="I366" s="254"/>
      <c r="J366" s="254"/>
      <c r="K366" s="253">
        <f t="shared" si="32"/>
        <v>771363.21</v>
      </c>
      <c r="L366" s="255">
        <f t="shared" si="33"/>
        <v>3.2876712328767124E-4</v>
      </c>
      <c r="M366" s="253">
        <f t="shared" si="34"/>
        <v>253.59886356164384</v>
      </c>
    </row>
    <row r="367" spans="2:13" hidden="1" outlineLevel="1" x14ac:dyDescent="0.25">
      <c r="B367" s="251">
        <f t="shared" si="35"/>
        <v>45734</v>
      </c>
      <c r="C367" s="252" t="str">
        <f t="shared" si="30"/>
        <v>Mar</v>
      </c>
      <c r="D367" s="252" t="str">
        <f t="shared" si="31"/>
        <v>2025</v>
      </c>
      <c r="E367" s="253"/>
      <c r="F367" s="254"/>
      <c r="G367" s="254"/>
      <c r="H367" s="254"/>
      <c r="I367" s="254"/>
      <c r="J367" s="254"/>
      <c r="K367" s="253">
        <f t="shared" si="32"/>
        <v>771363.21</v>
      </c>
      <c r="L367" s="255">
        <f t="shared" si="33"/>
        <v>3.2876712328767124E-4</v>
      </c>
      <c r="M367" s="253">
        <f t="shared" si="34"/>
        <v>253.59886356164384</v>
      </c>
    </row>
    <row r="368" spans="2:13" hidden="1" outlineLevel="1" x14ac:dyDescent="0.25">
      <c r="B368" s="251">
        <f t="shared" si="35"/>
        <v>45735</v>
      </c>
      <c r="C368" s="252" t="str">
        <f t="shared" si="30"/>
        <v>Mar</v>
      </c>
      <c r="D368" s="252" t="str">
        <f t="shared" si="31"/>
        <v>2025</v>
      </c>
      <c r="E368" s="253"/>
      <c r="F368" s="254"/>
      <c r="G368" s="254"/>
      <c r="H368" s="254"/>
      <c r="I368" s="254"/>
      <c r="J368" s="254"/>
      <c r="K368" s="253">
        <f t="shared" si="32"/>
        <v>771363.21</v>
      </c>
      <c r="L368" s="255">
        <f t="shared" si="33"/>
        <v>3.2876712328767124E-4</v>
      </c>
      <c r="M368" s="253">
        <f t="shared" si="34"/>
        <v>253.59886356164384</v>
      </c>
    </row>
    <row r="369" spans="2:13" hidden="1" outlineLevel="1" x14ac:dyDescent="0.25">
      <c r="B369" s="251">
        <f t="shared" si="35"/>
        <v>45736</v>
      </c>
      <c r="C369" s="252" t="str">
        <f t="shared" si="30"/>
        <v>Mar</v>
      </c>
      <c r="D369" s="252" t="str">
        <f t="shared" si="31"/>
        <v>2025</v>
      </c>
      <c r="E369" s="253"/>
      <c r="F369" s="254"/>
      <c r="G369" s="254"/>
      <c r="H369" s="254"/>
      <c r="I369" s="254"/>
      <c r="J369" s="254"/>
      <c r="K369" s="253">
        <f t="shared" si="32"/>
        <v>771363.21</v>
      </c>
      <c r="L369" s="255">
        <f t="shared" si="33"/>
        <v>3.2876712328767124E-4</v>
      </c>
      <c r="M369" s="253">
        <f t="shared" si="34"/>
        <v>253.59886356164384</v>
      </c>
    </row>
    <row r="370" spans="2:13" hidden="1" outlineLevel="1" x14ac:dyDescent="0.25">
      <c r="B370" s="251">
        <f t="shared" si="35"/>
        <v>45737</v>
      </c>
      <c r="C370" s="252" t="str">
        <f t="shared" si="30"/>
        <v>Mar</v>
      </c>
      <c r="D370" s="252" t="str">
        <f t="shared" si="31"/>
        <v>2025</v>
      </c>
      <c r="E370" s="253"/>
      <c r="F370" s="254"/>
      <c r="G370" s="254"/>
      <c r="H370" s="254"/>
      <c r="I370" s="254"/>
      <c r="J370" s="254"/>
      <c r="K370" s="253">
        <f t="shared" si="32"/>
        <v>771363.21</v>
      </c>
      <c r="L370" s="255">
        <f t="shared" si="33"/>
        <v>3.2876712328767124E-4</v>
      </c>
      <c r="M370" s="253">
        <f t="shared" si="34"/>
        <v>253.59886356164384</v>
      </c>
    </row>
    <row r="371" spans="2:13" hidden="1" outlineLevel="1" x14ac:dyDescent="0.25">
      <c r="B371" s="251">
        <f t="shared" si="35"/>
        <v>45738</v>
      </c>
      <c r="C371" s="252" t="str">
        <f t="shared" si="30"/>
        <v>Mar</v>
      </c>
      <c r="D371" s="252" t="str">
        <f t="shared" si="31"/>
        <v>2025</v>
      </c>
      <c r="E371" s="253"/>
      <c r="F371" s="254"/>
      <c r="G371" s="254"/>
      <c r="H371" s="254"/>
      <c r="I371" s="254"/>
      <c r="J371" s="254"/>
      <c r="K371" s="253">
        <f t="shared" si="32"/>
        <v>771363.21</v>
      </c>
      <c r="L371" s="255">
        <f t="shared" si="33"/>
        <v>3.2876712328767124E-4</v>
      </c>
      <c r="M371" s="253">
        <f t="shared" si="34"/>
        <v>253.59886356164384</v>
      </c>
    </row>
    <row r="372" spans="2:13" hidden="1" outlineLevel="1" x14ac:dyDescent="0.25">
      <c r="B372" s="251">
        <f t="shared" si="35"/>
        <v>45739</v>
      </c>
      <c r="C372" s="252" t="str">
        <f t="shared" si="30"/>
        <v>Mar</v>
      </c>
      <c r="D372" s="252" t="str">
        <f t="shared" si="31"/>
        <v>2025</v>
      </c>
      <c r="E372" s="253"/>
      <c r="F372" s="254"/>
      <c r="G372" s="254"/>
      <c r="H372" s="254"/>
      <c r="I372" s="254"/>
      <c r="J372" s="254"/>
      <c r="K372" s="253">
        <f t="shared" si="32"/>
        <v>771363.21</v>
      </c>
      <c r="L372" s="255">
        <f t="shared" si="33"/>
        <v>3.2876712328767124E-4</v>
      </c>
      <c r="M372" s="253">
        <f t="shared" si="34"/>
        <v>253.59886356164384</v>
      </c>
    </row>
    <row r="373" spans="2:13" hidden="1" outlineLevel="1" x14ac:dyDescent="0.25">
      <c r="B373" s="251">
        <f t="shared" si="35"/>
        <v>45740</v>
      </c>
      <c r="C373" s="252" t="str">
        <f t="shared" si="30"/>
        <v>Mar</v>
      </c>
      <c r="D373" s="252" t="str">
        <f t="shared" si="31"/>
        <v>2025</v>
      </c>
      <c r="E373" s="253"/>
      <c r="F373" s="254"/>
      <c r="G373" s="254"/>
      <c r="H373" s="254"/>
      <c r="I373" s="254"/>
      <c r="J373" s="254"/>
      <c r="K373" s="253">
        <f t="shared" si="32"/>
        <v>771363.21</v>
      </c>
      <c r="L373" s="255">
        <f t="shared" si="33"/>
        <v>3.2876712328767124E-4</v>
      </c>
      <c r="M373" s="253">
        <f t="shared" si="34"/>
        <v>253.59886356164384</v>
      </c>
    </row>
    <row r="374" spans="2:13" hidden="1" outlineLevel="1" x14ac:dyDescent="0.25">
      <c r="B374" s="251">
        <f t="shared" si="35"/>
        <v>45741</v>
      </c>
      <c r="C374" s="252" t="str">
        <f t="shared" si="30"/>
        <v>Mar</v>
      </c>
      <c r="D374" s="252" t="str">
        <f t="shared" si="31"/>
        <v>2025</v>
      </c>
      <c r="E374" s="253"/>
      <c r="F374" s="254"/>
      <c r="G374" s="254"/>
      <c r="H374" s="254"/>
      <c r="I374" s="254"/>
      <c r="J374" s="254"/>
      <c r="K374" s="253">
        <f t="shared" si="32"/>
        <v>771363.21</v>
      </c>
      <c r="L374" s="255">
        <f t="shared" si="33"/>
        <v>3.2876712328767124E-4</v>
      </c>
      <c r="M374" s="253">
        <f t="shared" si="34"/>
        <v>253.59886356164384</v>
      </c>
    </row>
    <row r="375" spans="2:13" hidden="1" outlineLevel="1" x14ac:dyDescent="0.25">
      <c r="B375" s="251">
        <f t="shared" si="35"/>
        <v>45742</v>
      </c>
      <c r="C375" s="252" t="str">
        <f t="shared" si="30"/>
        <v>Mar</v>
      </c>
      <c r="D375" s="252" t="str">
        <f t="shared" si="31"/>
        <v>2025</v>
      </c>
      <c r="E375" s="253"/>
      <c r="F375" s="254"/>
      <c r="G375" s="254"/>
      <c r="H375" s="254"/>
      <c r="I375" s="254"/>
      <c r="J375" s="254"/>
      <c r="K375" s="253">
        <f t="shared" si="32"/>
        <v>771363.21</v>
      </c>
      <c r="L375" s="255">
        <f t="shared" si="33"/>
        <v>3.2876712328767124E-4</v>
      </c>
      <c r="M375" s="253">
        <f t="shared" si="34"/>
        <v>253.59886356164384</v>
      </c>
    </row>
    <row r="376" spans="2:13" hidden="1" outlineLevel="1" x14ac:dyDescent="0.25">
      <c r="B376" s="251">
        <f t="shared" si="35"/>
        <v>45743</v>
      </c>
      <c r="C376" s="252" t="str">
        <f t="shared" si="30"/>
        <v>Mar</v>
      </c>
      <c r="D376" s="252" t="str">
        <f t="shared" si="31"/>
        <v>2025</v>
      </c>
      <c r="E376" s="253"/>
      <c r="F376" s="254"/>
      <c r="G376" s="254"/>
      <c r="H376" s="254"/>
      <c r="I376" s="254"/>
      <c r="J376" s="254"/>
      <c r="K376" s="253">
        <f t="shared" si="32"/>
        <v>771363.21</v>
      </c>
      <c r="L376" s="255">
        <f t="shared" si="33"/>
        <v>3.2876712328767124E-4</v>
      </c>
      <c r="M376" s="253">
        <f t="shared" si="34"/>
        <v>253.59886356164384</v>
      </c>
    </row>
    <row r="377" spans="2:13" hidden="1" outlineLevel="1" x14ac:dyDescent="0.25">
      <c r="B377" s="251">
        <f t="shared" si="35"/>
        <v>45744</v>
      </c>
      <c r="C377" s="252" t="str">
        <f t="shared" si="30"/>
        <v>Mar</v>
      </c>
      <c r="D377" s="252" t="str">
        <f t="shared" si="31"/>
        <v>2025</v>
      </c>
      <c r="E377" s="253"/>
      <c r="F377" s="254"/>
      <c r="G377" s="254"/>
      <c r="H377" s="254"/>
      <c r="I377" s="254"/>
      <c r="J377" s="254"/>
      <c r="K377" s="253">
        <f t="shared" si="32"/>
        <v>771363.21</v>
      </c>
      <c r="L377" s="255">
        <f t="shared" si="33"/>
        <v>3.2876712328767124E-4</v>
      </c>
      <c r="M377" s="253">
        <f t="shared" si="34"/>
        <v>253.59886356164384</v>
      </c>
    </row>
    <row r="378" spans="2:13" hidden="1" outlineLevel="1" x14ac:dyDescent="0.25">
      <c r="B378" s="251">
        <f t="shared" si="35"/>
        <v>45745</v>
      </c>
      <c r="C378" s="252" t="str">
        <f t="shared" si="30"/>
        <v>Mar</v>
      </c>
      <c r="D378" s="252" t="str">
        <f t="shared" si="31"/>
        <v>2025</v>
      </c>
      <c r="E378" s="253"/>
      <c r="F378" s="254"/>
      <c r="G378" s="254"/>
      <c r="H378" s="254"/>
      <c r="I378" s="254"/>
      <c r="J378" s="254"/>
      <c r="K378" s="253">
        <f t="shared" si="32"/>
        <v>771363.21</v>
      </c>
      <c r="L378" s="255">
        <f t="shared" si="33"/>
        <v>3.2876712328767124E-4</v>
      </c>
      <c r="M378" s="253">
        <f t="shared" si="34"/>
        <v>253.59886356164384</v>
      </c>
    </row>
    <row r="379" spans="2:13" hidden="1" outlineLevel="1" x14ac:dyDescent="0.25">
      <c r="B379" s="251">
        <f t="shared" si="35"/>
        <v>45746</v>
      </c>
      <c r="C379" s="252" t="str">
        <f t="shared" si="30"/>
        <v>Mar</v>
      </c>
      <c r="D379" s="252" t="str">
        <f t="shared" si="31"/>
        <v>2025</v>
      </c>
      <c r="E379" s="253"/>
      <c r="F379" s="254"/>
      <c r="G379" s="254"/>
      <c r="H379" s="254"/>
      <c r="I379" s="254"/>
      <c r="J379" s="254"/>
      <c r="K379" s="253">
        <f t="shared" si="32"/>
        <v>771363.21</v>
      </c>
      <c r="L379" s="255">
        <f t="shared" si="33"/>
        <v>3.2876712328767124E-4</v>
      </c>
      <c r="M379" s="253">
        <f t="shared" si="34"/>
        <v>253.59886356164384</v>
      </c>
    </row>
    <row r="380" spans="2:13" collapsed="1" x14ac:dyDescent="0.25">
      <c r="B380" s="251">
        <f t="shared" si="35"/>
        <v>45747</v>
      </c>
      <c r="C380" s="252" t="str">
        <f t="shared" si="30"/>
        <v>Mar</v>
      </c>
      <c r="D380" s="252" t="str">
        <f t="shared" si="31"/>
        <v>2025</v>
      </c>
      <c r="E380" s="253"/>
      <c r="F380" s="254"/>
      <c r="G380" s="254"/>
      <c r="H380" s="254"/>
      <c r="I380" s="254"/>
      <c r="J380" s="254"/>
      <c r="K380" s="253">
        <f t="shared" si="32"/>
        <v>771363.21</v>
      </c>
      <c r="L380" s="255">
        <f t="shared" si="33"/>
        <v>3.2876712328767124E-4</v>
      </c>
      <c r="M380" s="253">
        <f t="shared" si="34"/>
        <v>253.59886356164384</v>
      </c>
    </row>
    <row r="381" spans="2:13" hidden="1" outlineLevel="1" x14ac:dyDescent="0.25">
      <c r="B381" s="251">
        <f t="shared" si="35"/>
        <v>45748</v>
      </c>
      <c r="C381" s="252" t="str">
        <f t="shared" si="30"/>
        <v>Apr</v>
      </c>
      <c r="D381" s="252" t="str">
        <f t="shared" si="31"/>
        <v>2025</v>
      </c>
      <c r="E381" s="253"/>
      <c r="F381" s="254"/>
      <c r="G381" s="254"/>
      <c r="H381" s="254"/>
      <c r="I381" s="254"/>
      <c r="J381" s="254"/>
      <c r="K381" s="253">
        <f t="shared" si="32"/>
        <v>771363.21</v>
      </c>
      <c r="L381" s="255">
        <f t="shared" si="33"/>
        <v>3.2876712328767124E-4</v>
      </c>
      <c r="M381" s="253">
        <f t="shared" si="34"/>
        <v>253.59886356164384</v>
      </c>
    </row>
    <row r="382" spans="2:13" hidden="1" outlineLevel="1" x14ac:dyDescent="0.25">
      <c r="B382" s="251">
        <f t="shared" si="35"/>
        <v>45749</v>
      </c>
      <c r="C382" s="252" t="str">
        <f t="shared" si="30"/>
        <v>Apr</v>
      </c>
      <c r="D382" s="252" t="str">
        <f t="shared" si="31"/>
        <v>2025</v>
      </c>
      <c r="E382" s="253"/>
      <c r="F382" s="254"/>
      <c r="G382" s="254"/>
      <c r="H382" s="254"/>
      <c r="I382" s="254"/>
      <c r="J382" s="254"/>
      <c r="K382" s="253">
        <f t="shared" si="32"/>
        <v>771363.21</v>
      </c>
      <c r="L382" s="255">
        <f t="shared" si="33"/>
        <v>3.2876712328767124E-4</v>
      </c>
      <c r="M382" s="253">
        <f t="shared" si="34"/>
        <v>253.59886356164384</v>
      </c>
    </row>
    <row r="383" spans="2:13" hidden="1" outlineLevel="1" x14ac:dyDescent="0.25">
      <c r="B383" s="251">
        <f t="shared" si="35"/>
        <v>45750</v>
      </c>
      <c r="C383" s="252" t="str">
        <f t="shared" si="30"/>
        <v>Apr</v>
      </c>
      <c r="D383" s="252" t="str">
        <f t="shared" si="31"/>
        <v>2025</v>
      </c>
      <c r="E383" s="253">
        <v>77.819999999999993</v>
      </c>
      <c r="F383" s="254" t="s">
        <v>503</v>
      </c>
      <c r="G383" s="254"/>
      <c r="H383" s="254" t="s">
        <v>923</v>
      </c>
      <c r="I383" s="254" t="s">
        <v>928</v>
      </c>
      <c r="J383" s="254" t="s">
        <v>99</v>
      </c>
      <c r="K383" s="253">
        <f t="shared" si="32"/>
        <v>771441.02999999991</v>
      </c>
      <c r="L383" s="255">
        <f t="shared" si="33"/>
        <v>3.2876712328767124E-4</v>
      </c>
      <c r="M383" s="253">
        <f t="shared" si="34"/>
        <v>253.62444821917805</v>
      </c>
    </row>
    <row r="384" spans="2:13" hidden="1" outlineLevel="1" x14ac:dyDescent="0.25">
      <c r="B384" s="251">
        <f t="shared" si="35"/>
        <v>45751</v>
      </c>
      <c r="C384" s="252" t="str">
        <f t="shared" si="30"/>
        <v>Apr</v>
      </c>
      <c r="D384" s="252" t="str">
        <f t="shared" si="31"/>
        <v>2025</v>
      </c>
      <c r="E384" s="253"/>
      <c r="F384" s="254"/>
      <c r="G384" s="254"/>
      <c r="H384" s="254"/>
      <c r="I384" s="254"/>
      <c r="J384" s="254"/>
      <c r="K384" s="253">
        <f t="shared" si="32"/>
        <v>771441.02999999991</v>
      </c>
      <c r="L384" s="255">
        <f t="shared" si="33"/>
        <v>3.2876712328767124E-4</v>
      </c>
      <c r="M384" s="253">
        <f t="shared" si="34"/>
        <v>253.62444821917805</v>
      </c>
    </row>
    <row r="385" spans="2:13" hidden="1" outlineLevel="1" x14ac:dyDescent="0.25">
      <c r="B385" s="251">
        <f t="shared" si="35"/>
        <v>45752</v>
      </c>
      <c r="C385" s="252" t="str">
        <f t="shared" si="30"/>
        <v>Apr</v>
      </c>
      <c r="D385" s="252" t="str">
        <f t="shared" si="31"/>
        <v>2025</v>
      </c>
      <c r="E385" s="253"/>
      <c r="F385" s="254"/>
      <c r="G385" s="254"/>
      <c r="H385" s="254"/>
      <c r="I385" s="254"/>
      <c r="J385" s="254"/>
      <c r="K385" s="253">
        <f t="shared" si="32"/>
        <v>771441.02999999991</v>
      </c>
      <c r="L385" s="255">
        <f t="shared" si="33"/>
        <v>3.2876712328767124E-4</v>
      </c>
      <c r="M385" s="253">
        <f t="shared" si="34"/>
        <v>253.62444821917805</v>
      </c>
    </row>
    <row r="386" spans="2:13" hidden="1" outlineLevel="1" x14ac:dyDescent="0.25">
      <c r="B386" s="251">
        <f t="shared" si="35"/>
        <v>45753</v>
      </c>
      <c r="C386" s="252" t="str">
        <f t="shared" si="30"/>
        <v>Apr</v>
      </c>
      <c r="D386" s="252" t="str">
        <f t="shared" si="31"/>
        <v>2025</v>
      </c>
      <c r="E386" s="253"/>
      <c r="F386" s="254"/>
      <c r="G386" s="254"/>
      <c r="H386" s="254"/>
      <c r="I386" s="254"/>
      <c r="J386" s="254"/>
      <c r="K386" s="253">
        <f t="shared" si="32"/>
        <v>771441.02999999991</v>
      </c>
      <c r="L386" s="255">
        <f t="shared" si="33"/>
        <v>3.2876712328767124E-4</v>
      </c>
      <c r="M386" s="253">
        <f t="shared" si="34"/>
        <v>253.62444821917805</v>
      </c>
    </row>
    <row r="387" spans="2:13" hidden="1" outlineLevel="1" x14ac:dyDescent="0.25">
      <c r="B387" s="251">
        <f t="shared" si="35"/>
        <v>45754</v>
      </c>
      <c r="C387" s="252" t="str">
        <f t="shared" si="30"/>
        <v>Apr</v>
      </c>
      <c r="D387" s="252" t="str">
        <f t="shared" si="31"/>
        <v>2025</v>
      </c>
      <c r="E387" s="253"/>
      <c r="F387" s="254"/>
      <c r="G387" s="254"/>
      <c r="H387" s="254"/>
      <c r="I387" s="254"/>
      <c r="J387" s="254"/>
      <c r="K387" s="253">
        <f t="shared" si="32"/>
        <v>771441.02999999991</v>
      </c>
      <c r="L387" s="255">
        <f t="shared" si="33"/>
        <v>3.2876712328767124E-4</v>
      </c>
      <c r="M387" s="253">
        <f t="shared" si="34"/>
        <v>253.62444821917805</v>
      </c>
    </row>
    <row r="388" spans="2:13" hidden="1" outlineLevel="1" x14ac:dyDescent="0.25">
      <c r="B388" s="251">
        <f t="shared" si="35"/>
        <v>45755</v>
      </c>
      <c r="C388" s="252" t="str">
        <f t="shared" si="30"/>
        <v>Apr</v>
      </c>
      <c r="D388" s="252" t="str">
        <f t="shared" si="31"/>
        <v>2025</v>
      </c>
      <c r="E388" s="253"/>
      <c r="F388" s="254"/>
      <c r="G388" s="254"/>
      <c r="H388" s="254"/>
      <c r="I388" s="254"/>
      <c r="J388" s="254"/>
      <c r="K388" s="253">
        <f t="shared" si="32"/>
        <v>771441.02999999991</v>
      </c>
      <c r="L388" s="255">
        <f t="shared" si="33"/>
        <v>3.2876712328767124E-4</v>
      </c>
      <c r="M388" s="253">
        <f t="shared" si="34"/>
        <v>253.62444821917805</v>
      </c>
    </row>
    <row r="389" spans="2:13" hidden="1" outlineLevel="1" x14ac:dyDescent="0.25">
      <c r="B389" s="251">
        <f t="shared" si="35"/>
        <v>45756</v>
      </c>
      <c r="C389" s="252" t="str">
        <f t="shared" si="30"/>
        <v>Apr</v>
      </c>
      <c r="D389" s="252" t="str">
        <f t="shared" si="31"/>
        <v>2025</v>
      </c>
      <c r="E389" s="253"/>
      <c r="F389" s="254"/>
      <c r="G389" s="254"/>
      <c r="H389" s="254"/>
      <c r="I389" s="254"/>
      <c r="J389" s="254"/>
      <c r="K389" s="253">
        <f t="shared" si="32"/>
        <v>771441.02999999991</v>
      </c>
      <c r="L389" s="255">
        <f t="shared" si="33"/>
        <v>3.2876712328767124E-4</v>
      </c>
      <c r="M389" s="253">
        <f t="shared" si="34"/>
        <v>253.62444821917805</v>
      </c>
    </row>
    <row r="390" spans="2:13" hidden="1" outlineLevel="1" x14ac:dyDescent="0.25">
      <c r="B390" s="251">
        <f t="shared" si="35"/>
        <v>45757</v>
      </c>
      <c r="C390" s="252" t="str">
        <f t="shared" si="30"/>
        <v>Apr</v>
      </c>
      <c r="D390" s="252" t="str">
        <f t="shared" si="31"/>
        <v>2025</v>
      </c>
      <c r="E390" s="253"/>
      <c r="F390" s="254"/>
      <c r="G390" s="254"/>
      <c r="H390" s="254"/>
      <c r="I390" s="254"/>
      <c r="J390" s="254"/>
      <c r="K390" s="253">
        <f t="shared" si="32"/>
        <v>771441.02999999991</v>
      </c>
      <c r="L390" s="255">
        <f t="shared" si="33"/>
        <v>3.2876712328767124E-4</v>
      </c>
      <c r="M390" s="253">
        <f t="shared" si="34"/>
        <v>253.62444821917805</v>
      </c>
    </row>
    <row r="391" spans="2:13" hidden="1" outlineLevel="1" x14ac:dyDescent="0.25">
      <c r="B391" s="251">
        <f t="shared" si="35"/>
        <v>45758</v>
      </c>
      <c r="C391" s="252" t="str">
        <f t="shared" si="30"/>
        <v>Apr</v>
      </c>
      <c r="D391" s="252" t="str">
        <f t="shared" si="31"/>
        <v>2025</v>
      </c>
      <c r="E391" s="253"/>
      <c r="F391" s="254"/>
      <c r="G391" s="254"/>
      <c r="H391" s="254"/>
      <c r="I391" s="254"/>
      <c r="J391" s="254"/>
      <c r="K391" s="253">
        <f t="shared" si="32"/>
        <v>771441.02999999991</v>
      </c>
      <c r="L391" s="255">
        <f t="shared" si="33"/>
        <v>3.2876712328767124E-4</v>
      </c>
      <c r="M391" s="253">
        <f t="shared" si="34"/>
        <v>253.62444821917805</v>
      </c>
    </row>
    <row r="392" spans="2:13" hidden="1" outlineLevel="1" x14ac:dyDescent="0.25">
      <c r="B392" s="251">
        <f t="shared" si="35"/>
        <v>45759</v>
      </c>
      <c r="C392" s="252" t="str">
        <f t="shared" ref="C392:C455" si="36">TEXT(B392,"mmm")</f>
        <v>Apr</v>
      </c>
      <c r="D392" s="252" t="str">
        <f t="shared" ref="D392:D455" si="37">TEXT(B392,"yyyy")</f>
        <v>2025</v>
      </c>
      <c r="E392" s="253"/>
      <c r="F392" s="254"/>
      <c r="G392" s="254"/>
      <c r="H392" s="254"/>
      <c r="I392" s="254"/>
      <c r="J392" s="254"/>
      <c r="K392" s="253">
        <f t="shared" ref="K392:K455" si="38">K391+E392</f>
        <v>771441.02999999991</v>
      </c>
      <c r="L392" s="255">
        <f t="shared" ref="L392:L455" si="39">(0.12/365)</f>
        <v>3.2876712328767124E-4</v>
      </c>
      <c r="M392" s="253">
        <f t="shared" ref="M392:M455" si="40">K392*L392</f>
        <v>253.62444821917805</v>
      </c>
    </row>
    <row r="393" spans="2:13" hidden="1" outlineLevel="1" x14ac:dyDescent="0.25">
      <c r="B393" s="251">
        <f t="shared" si="35"/>
        <v>45760</v>
      </c>
      <c r="C393" s="252" t="str">
        <f t="shared" si="36"/>
        <v>Apr</v>
      </c>
      <c r="D393" s="252" t="str">
        <f t="shared" si="37"/>
        <v>2025</v>
      </c>
      <c r="E393" s="253"/>
      <c r="F393" s="254"/>
      <c r="G393" s="254"/>
      <c r="H393" s="254"/>
      <c r="I393" s="254"/>
      <c r="J393" s="254"/>
      <c r="K393" s="253">
        <f t="shared" si="38"/>
        <v>771441.02999999991</v>
      </c>
      <c r="L393" s="255">
        <f t="shared" si="39"/>
        <v>3.2876712328767124E-4</v>
      </c>
      <c r="M393" s="253">
        <f t="shared" si="40"/>
        <v>253.62444821917805</v>
      </c>
    </row>
    <row r="394" spans="2:13" hidden="1" outlineLevel="1" x14ac:dyDescent="0.25">
      <c r="B394" s="251">
        <f t="shared" si="35"/>
        <v>45761</v>
      </c>
      <c r="C394" s="252" t="str">
        <f t="shared" si="36"/>
        <v>Apr</v>
      </c>
      <c r="D394" s="252" t="str">
        <f t="shared" si="37"/>
        <v>2025</v>
      </c>
      <c r="E394" s="253"/>
      <c r="F394" s="254"/>
      <c r="G394" s="254"/>
      <c r="H394" s="254"/>
      <c r="I394" s="254"/>
      <c r="J394" s="254"/>
      <c r="K394" s="253">
        <f t="shared" si="38"/>
        <v>771441.02999999991</v>
      </c>
      <c r="L394" s="255">
        <f t="shared" si="39"/>
        <v>3.2876712328767124E-4</v>
      </c>
      <c r="M394" s="253">
        <f t="shared" si="40"/>
        <v>253.62444821917805</v>
      </c>
    </row>
    <row r="395" spans="2:13" hidden="1" outlineLevel="1" x14ac:dyDescent="0.25">
      <c r="B395" s="251">
        <f t="shared" ref="B395:B458" si="41">+B394+1</f>
        <v>45762</v>
      </c>
      <c r="C395" s="252" t="str">
        <f t="shared" si="36"/>
        <v>Apr</v>
      </c>
      <c r="D395" s="252" t="str">
        <f t="shared" si="37"/>
        <v>2025</v>
      </c>
      <c r="E395" s="253"/>
      <c r="F395" s="254"/>
      <c r="G395" s="254"/>
      <c r="H395" s="254"/>
      <c r="I395" s="254"/>
      <c r="J395" s="254"/>
      <c r="K395" s="253">
        <f t="shared" si="38"/>
        <v>771441.02999999991</v>
      </c>
      <c r="L395" s="255">
        <f t="shared" si="39"/>
        <v>3.2876712328767124E-4</v>
      </c>
      <c r="M395" s="253">
        <f t="shared" si="40"/>
        <v>253.62444821917805</v>
      </c>
    </row>
    <row r="396" spans="2:13" hidden="1" outlineLevel="1" x14ac:dyDescent="0.25">
      <c r="B396" s="251">
        <f t="shared" si="41"/>
        <v>45763</v>
      </c>
      <c r="C396" s="252" t="str">
        <f t="shared" si="36"/>
        <v>Apr</v>
      </c>
      <c r="D396" s="252" t="str">
        <f t="shared" si="37"/>
        <v>2025</v>
      </c>
      <c r="E396" s="253"/>
      <c r="F396" s="254"/>
      <c r="G396" s="254"/>
      <c r="H396" s="254"/>
      <c r="I396" s="254"/>
      <c r="J396" s="254"/>
      <c r="K396" s="253">
        <f t="shared" si="38"/>
        <v>771441.02999999991</v>
      </c>
      <c r="L396" s="255">
        <f t="shared" si="39"/>
        <v>3.2876712328767124E-4</v>
      </c>
      <c r="M396" s="253">
        <f t="shared" si="40"/>
        <v>253.62444821917805</v>
      </c>
    </row>
    <row r="397" spans="2:13" hidden="1" outlineLevel="1" x14ac:dyDescent="0.25">
      <c r="B397" s="251">
        <f t="shared" si="41"/>
        <v>45764</v>
      </c>
      <c r="C397" s="252" t="str">
        <f t="shared" si="36"/>
        <v>Apr</v>
      </c>
      <c r="D397" s="252" t="str">
        <f t="shared" si="37"/>
        <v>2025</v>
      </c>
      <c r="E397" s="253"/>
      <c r="F397" s="254"/>
      <c r="G397" s="254"/>
      <c r="H397" s="254"/>
      <c r="I397" s="254"/>
      <c r="J397" s="254"/>
      <c r="K397" s="253">
        <f t="shared" si="38"/>
        <v>771441.02999999991</v>
      </c>
      <c r="L397" s="255">
        <f t="shared" si="39"/>
        <v>3.2876712328767124E-4</v>
      </c>
      <c r="M397" s="253">
        <f t="shared" si="40"/>
        <v>253.62444821917805</v>
      </c>
    </row>
    <row r="398" spans="2:13" hidden="1" outlineLevel="1" x14ac:dyDescent="0.25">
      <c r="B398" s="251">
        <f t="shared" si="41"/>
        <v>45765</v>
      </c>
      <c r="C398" s="252" t="str">
        <f t="shared" si="36"/>
        <v>Apr</v>
      </c>
      <c r="D398" s="252" t="str">
        <f t="shared" si="37"/>
        <v>2025</v>
      </c>
      <c r="E398" s="253"/>
      <c r="F398" s="254"/>
      <c r="G398" s="254"/>
      <c r="H398" s="254"/>
      <c r="I398" s="254"/>
      <c r="J398" s="254"/>
      <c r="K398" s="253">
        <f t="shared" si="38"/>
        <v>771441.02999999991</v>
      </c>
      <c r="L398" s="255">
        <f t="shared" si="39"/>
        <v>3.2876712328767124E-4</v>
      </c>
      <c r="M398" s="253">
        <f t="shared" si="40"/>
        <v>253.62444821917805</v>
      </c>
    </row>
    <row r="399" spans="2:13" hidden="1" outlineLevel="1" x14ac:dyDescent="0.25">
      <c r="B399" s="251">
        <f t="shared" si="41"/>
        <v>45766</v>
      </c>
      <c r="C399" s="252" t="str">
        <f t="shared" si="36"/>
        <v>Apr</v>
      </c>
      <c r="D399" s="252" t="str">
        <f t="shared" si="37"/>
        <v>2025</v>
      </c>
      <c r="E399" s="253"/>
      <c r="F399" s="254"/>
      <c r="G399" s="254"/>
      <c r="H399" s="254"/>
      <c r="I399" s="254"/>
      <c r="J399" s="254"/>
      <c r="K399" s="253">
        <f t="shared" si="38"/>
        <v>771441.02999999991</v>
      </c>
      <c r="L399" s="255">
        <f t="shared" si="39"/>
        <v>3.2876712328767124E-4</v>
      </c>
      <c r="M399" s="253">
        <f t="shared" si="40"/>
        <v>253.62444821917805</v>
      </c>
    </row>
    <row r="400" spans="2:13" hidden="1" outlineLevel="1" x14ac:dyDescent="0.25">
      <c r="B400" s="251">
        <f t="shared" si="41"/>
        <v>45767</v>
      </c>
      <c r="C400" s="252" t="str">
        <f t="shared" si="36"/>
        <v>Apr</v>
      </c>
      <c r="D400" s="252" t="str">
        <f t="shared" si="37"/>
        <v>2025</v>
      </c>
      <c r="E400" s="253"/>
      <c r="F400" s="254"/>
      <c r="G400" s="254"/>
      <c r="H400" s="254"/>
      <c r="I400" s="254"/>
      <c r="J400" s="254"/>
      <c r="K400" s="253">
        <f t="shared" si="38"/>
        <v>771441.02999999991</v>
      </c>
      <c r="L400" s="255">
        <f t="shared" si="39"/>
        <v>3.2876712328767124E-4</v>
      </c>
      <c r="M400" s="253">
        <f t="shared" si="40"/>
        <v>253.62444821917805</v>
      </c>
    </row>
    <row r="401" spans="2:13" hidden="1" outlineLevel="1" x14ac:dyDescent="0.25">
      <c r="B401" s="251">
        <f t="shared" si="41"/>
        <v>45768</v>
      </c>
      <c r="C401" s="252" t="str">
        <f t="shared" si="36"/>
        <v>Apr</v>
      </c>
      <c r="D401" s="252" t="str">
        <f t="shared" si="37"/>
        <v>2025</v>
      </c>
      <c r="E401" s="253"/>
      <c r="F401" s="254"/>
      <c r="G401" s="254"/>
      <c r="H401" s="254"/>
      <c r="I401" s="254"/>
      <c r="J401" s="254"/>
      <c r="K401" s="253">
        <f t="shared" si="38"/>
        <v>771441.02999999991</v>
      </c>
      <c r="L401" s="255">
        <f t="shared" si="39"/>
        <v>3.2876712328767124E-4</v>
      </c>
      <c r="M401" s="253">
        <f t="shared" si="40"/>
        <v>253.62444821917805</v>
      </c>
    </row>
    <row r="402" spans="2:13" hidden="1" outlineLevel="1" x14ac:dyDescent="0.25">
      <c r="B402" s="251">
        <f t="shared" si="41"/>
        <v>45769</v>
      </c>
      <c r="C402" s="252" t="str">
        <f t="shared" si="36"/>
        <v>Apr</v>
      </c>
      <c r="D402" s="252" t="str">
        <f t="shared" si="37"/>
        <v>2025</v>
      </c>
      <c r="E402" s="253"/>
      <c r="F402" s="254"/>
      <c r="G402" s="254"/>
      <c r="H402" s="254"/>
      <c r="I402" s="254"/>
      <c r="J402" s="254"/>
      <c r="K402" s="253">
        <f t="shared" si="38"/>
        <v>771441.02999999991</v>
      </c>
      <c r="L402" s="255">
        <f t="shared" si="39"/>
        <v>3.2876712328767124E-4</v>
      </c>
      <c r="M402" s="253">
        <f t="shared" si="40"/>
        <v>253.62444821917805</v>
      </c>
    </row>
    <row r="403" spans="2:13" hidden="1" outlineLevel="1" x14ac:dyDescent="0.25">
      <c r="B403" s="251">
        <f t="shared" si="41"/>
        <v>45770</v>
      </c>
      <c r="C403" s="252" t="str">
        <f t="shared" si="36"/>
        <v>Apr</v>
      </c>
      <c r="D403" s="252" t="str">
        <f t="shared" si="37"/>
        <v>2025</v>
      </c>
      <c r="E403" s="253"/>
      <c r="F403" s="254"/>
      <c r="G403" s="254"/>
      <c r="H403" s="254"/>
      <c r="I403" s="254"/>
      <c r="J403" s="254"/>
      <c r="K403" s="253">
        <f t="shared" si="38"/>
        <v>771441.02999999991</v>
      </c>
      <c r="L403" s="255">
        <f t="shared" si="39"/>
        <v>3.2876712328767124E-4</v>
      </c>
      <c r="M403" s="253">
        <f t="shared" si="40"/>
        <v>253.62444821917805</v>
      </c>
    </row>
    <row r="404" spans="2:13" hidden="1" outlineLevel="1" x14ac:dyDescent="0.25">
      <c r="B404" s="251">
        <f t="shared" si="41"/>
        <v>45771</v>
      </c>
      <c r="C404" s="252" t="str">
        <f t="shared" si="36"/>
        <v>Apr</v>
      </c>
      <c r="D404" s="252" t="str">
        <f t="shared" si="37"/>
        <v>2025</v>
      </c>
      <c r="E404" s="253"/>
      <c r="F404" s="254"/>
      <c r="G404" s="254"/>
      <c r="H404" s="254"/>
      <c r="I404" s="254"/>
      <c r="J404" s="254"/>
      <c r="K404" s="253">
        <f t="shared" si="38"/>
        <v>771441.02999999991</v>
      </c>
      <c r="L404" s="255">
        <f t="shared" si="39"/>
        <v>3.2876712328767124E-4</v>
      </c>
      <c r="M404" s="253">
        <f t="shared" si="40"/>
        <v>253.62444821917805</v>
      </c>
    </row>
    <row r="405" spans="2:13" hidden="1" outlineLevel="1" x14ac:dyDescent="0.25">
      <c r="B405" s="251">
        <f t="shared" si="41"/>
        <v>45772</v>
      </c>
      <c r="C405" s="252" t="str">
        <f t="shared" si="36"/>
        <v>Apr</v>
      </c>
      <c r="D405" s="252" t="str">
        <f t="shared" si="37"/>
        <v>2025</v>
      </c>
      <c r="E405" s="253"/>
      <c r="F405" s="254"/>
      <c r="G405" s="254"/>
      <c r="H405" s="254"/>
      <c r="I405" s="254"/>
      <c r="J405" s="254"/>
      <c r="K405" s="253">
        <f t="shared" si="38"/>
        <v>771441.02999999991</v>
      </c>
      <c r="L405" s="255">
        <f t="shared" si="39"/>
        <v>3.2876712328767124E-4</v>
      </c>
      <c r="M405" s="253">
        <f t="shared" si="40"/>
        <v>253.62444821917805</v>
      </c>
    </row>
    <row r="406" spans="2:13" hidden="1" outlineLevel="1" x14ac:dyDescent="0.25">
      <c r="B406" s="251">
        <f t="shared" si="41"/>
        <v>45773</v>
      </c>
      <c r="C406" s="252" t="str">
        <f t="shared" si="36"/>
        <v>Apr</v>
      </c>
      <c r="D406" s="252" t="str">
        <f t="shared" si="37"/>
        <v>2025</v>
      </c>
      <c r="E406" s="253"/>
      <c r="F406" s="254"/>
      <c r="G406" s="254"/>
      <c r="H406" s="254"/>
      <c r="I406" s="254"/>
      <c r="J406" s="254"/>
      <c r="K406" s="253">
        <f t="shared" si="38"/>
        <v>771441.02999999991</v>
      </c>
      <c r="L406" s="255">
        <f t="shared" si="39"/>
        <v>3.2876712328767124E-4</v>
      </c>
      <c r="M406" s="253">
        <f t="shared" si="40"/>
        <v>253.62444821917805</v>
      </c>
    </row>
    <row r="407" spans="2:13" hidden="1" outlineLevel="1" x14ac:dyDescent="0.25">
      <c r="B407" s="251">
        <f t="shared" si="41"/>
        <v>45774</v>
      </c>
      <c r="C407" s="252" t="str">
        <f t="shared" si="36"/>
        <v>Apr</v>
      </c>
      <c r="D407" s="252" t="str">
        <f t="shared" si="37"/>
        <v>2025</v>
      </c>
      <c r="E407" s="253"/>
      <c r="F407" s="254"/>
      <c r="G407" s="254"/>
      <c r="H407" s="254"/>
      <c r="I407" s="254"/>
      <c r="J407" s="254"/>
      <c r="K407" s="253">
        <f t="shared" si="38"/>
        <v>771441.02999999991</v>
      </c>
      <c r="L407" s="255">
        <f t="shared" si="39"/>
        <v>3.2876712328767124E-4</v>
      </c>
      <c r="M407" s="253">
        <f t="shared" si="40"/>
        <v>253.62444821917805</v>
      </c>
    </row>
    <row r="408" spans="2:13" hidden="1" outlineLevel="1" x14ac:dyDescent="0.25">
      <c r="B408" s="251">
        <f t="shared" si="41"/>
        <v>45775</v>
      </c>
      <c r="C408" s="252" t="str">
        <f t="shared" si="36"/>
        <v>Apr</v>
      </c>
      <c r="D408" s="252" t="str">
        <f t="shared" si="37"/>
        <v>2025</v>
      </c>
      <c r="E408" s="253"/>
      <c r="F408" s="254"/>
      <c r="G408" s="254"/>
      <c r="H408" s="254"/>
      <c r="I408" s="254"/>
      <c r="J408" s="254"/>
      <c r="K408" s="253">
        <f t="shared" si="38"/>
        <v>771441.02999999991</v>
      </c>
      <c r="L408" s="255">
        <f t="shared" si="39"/>
        <v>3.2876712328767124E-4</v>
      </c>
      <c r="M408" s="253">
        <f t="shared" si="40"/>
        <v>253.62444821917805</v>
      </c>
    </row>
    <row r="409" spans="2:13" hidden="1" outlineLevel="1" x14ac:dyDescent="0.25">
      <c r="B409" s="251">
        <f t="shared" si="41"/>
        <v>45776</v>
      </c>
      <c r="C409" s="252" t="str">
        <f t="shared" si="36"/>
        <v>Apr</v>
      </c>
      <c r="D409" s="252" t="str">
        <f t="shared" si="37"/>
        <v>2025</v>
      </c>
      <c r="E409" s="253"/>
      <c r="F409" s="254"/>
      <c r="G409" s="254"/>
      <c r="H409" s="254"/>
      <c r="I409" s="254"/>
      <c r="J409" s="254"/>
      <c r="K409" s="253">
        <f t="shared" si="38"/>
        <v>771441.02999999991</v>
      </c>
      <c r="L409" s="255">
        <f t="shared" si="39"/>
        <v>3.2876712328767124E-4</v>
      </c>
      <c r="M409" s="253">
        <f t="shared" si="40"/>
        <v>253.62444821917805</v>
      </c>
    </row>
    <row r="410" spans="2:13" collapsed="1" x14ac:dyDescent="0.25">
      <c r="B410" s="251">
        <f t="shared" si="41"/>
        <v>45777</v>
      </c>
      <c r="C410" s="252" t="str">
        <f t="shared" si="36"/>
        <v>Apr</v>
      </c>
      <c r="D410" s="252" t="str">
        <f t="shared" si="37"/>
        <v>2025</v>
      </c>
      <c r="E410" s="253"/>
      <c r="F410" s="254"/>
      <c r="G410" s="254"/>
      <c r="H410" s="254"/>
      <c r="I410" s="254"/>
      <c r="J410" s="254"/>
      <c r="K410" s="253">
        <f t="shared" si="38"/>
        <v>771441.02999999991</v>
      </c>
      <c r="L410" s="255">
        <f t="shared" si="39"/>
        <v>3.2876712328767124E-4</v>
      </c>
      <c r="M410" s="253">
        <f t="shared" si="40"/>
        <v>253.62444821917805</v>
      </c>
    </row>
    <row r="411" spans="2:13" hidden="1" outlineLevel="1" x14ac:dyDescent="0.25">
      <c r="B411" s="251">
        <f t="shared" si="41"/>
        <v>45778</v>
      </c>
      <c r="C411" s="252" t="str">
        <f t="shared" si="36"/>
        <v>May</v>
      </c>
      <c r="D411" s="252" t="str">
        <f t="shared" si="37"/>
        <v>2025</v>
      </c>
      <c r="E411" s="253"/>
      <c r="F411" s="254"/>
      <c r="G411" s="254"/>
      <c r="H411" s="254"/>
      <c r="I411" s="254"/>
      <c r="J411" s="254"/>
      <c r="K411" s="253">
        <f t="shared" si="38"/>
        <v>771441.02999999991</v>
      </c>
      <c r="L411" s="255">
        <f t="shared" si="39"/>
        <v>3.2876712328767124E-4</v>
      </c>
      <c r="M411" s="253">
        <f t="shared" si="40"/>
        <v>253.62444821917805</v>
      </c>
    </row>
    <row r="412" spans="2:13" hidden="1" outlineLevel="1" x14ac:dyDescent="0.25">
      <c r="B412" s="251">
        <f t="shared" si="41"/>
        <v>45779</v>
      </c>
      <c r="C412" s="252" t="str">
        <f t="shared" si="36"/>
        <v>May</v>
      </c>
      <c r="D412" s="252" t="str">
        <f t="shared" si="37"/>
        <v>2025</v>
      </c>
      <c r="E412" s="253"/>
      <c r="F412" s="254"/>
      <c r="G412" s="254"/>
      <c r="H412" s="254"/>
      <c r="I412" s="254"/>
      <c r="J412" s="254"/>
      <c r="K412" s="253">
        <f t="shared" si="38"/>
        <v>771441.02999999991</v>
      </c>
      <c r="L412" s="255">
        <f t="shared" si="39"/>
        <v>3.2876712328767124E-4</v>
      </c>
      <c r="M412" s="253">
        <f t="shared" si="40"/>
        <v>253.62444821917805</v>
      </c>
    </row>
    <row r="413" spans="2:13" hidden="1" outlineLevel="1" x14ac:dyDescent="0.25">
      <c r="B413" s="251">
        <f t="shared" si="41"/>
        <v>45780</v>
      </c>
      <c r="C413" s="252" t="str">
        <f t="shared" si="36"/>
        <v>May</v>
      </c>
      <c r="D413" s="252" t="str">
        <f t="shared" si="37"/>
        <v>2025</v>
      </c>
      <c r="E413" s="253"/>
      <c r="F413" s="254"/>
      <c r="G413" s="254"/>
      <c r="H413" s="254"/>
      <c r="I413" s="254"/>
      <c r="J413" s="254"/>
      <c r="K413" s="253">
        <f t="shared" si="38"/>
        <v>771441.02999999991</v>
      </c>
      <c r="L413" s="255">
        <f t="shared" si="39"/>
        <v>3.2876712328767124E-4</v>
      </c>
      <c r="M413" s="253">
        <f t="shared" si="40"/>
        <v>253.62444821917805</v>
      </c>
    </row>
    <row r="414" spans="2:13" hidden="1" outlineLevel="1" x14ac:dyDescent="0.25">
      <c r="B414" s="251">
        <f t="shared" si="41"/>
        <v>45781</v>
      </c>
      <c r="C414" s="252" t="str">
        <f t="shared" si="36"/>
        <v>May</v>
      </c>
      <c r="D414" s="252" t="str">
        <f t="shared" si="37"/>
        <v>2025</v>
      </c>
      <c r="E414" s="253"/>
      <c r="F414" s="254"/>
      <c r="G414" s="254"/>
      <c r="H414" s="254"/>
      <c r="I414" s="254"/>
      <c r="J414" s="254"/>
      <c r="K414" s="253">
        <f t="shared" si="38"/>
        <v>771441.02999999991</v>
      </c>
      <c r="L414" s="255">
        <f t="shared" si="39"/>
        <v>3.2876712328767124E-4</v>
      </c>
      <c r="M414" s="253">
        <f t="shared" si="40"/>
        <v>253.62444821917805</v>
      </c>
    </row>
    <row r="415" spans="2:13" hidden="1" outlineLevel="1" x14ac:dyDescent="0.25">
      <c r="B415" s="251">
        <f t="shared" si="41"/>
        <v>45782</v>
      </c>
      <c r="C415" s="252" t="str">
        <f t="shared" si="36"/>
        <v>May</v>
      </c>
      <c r="D415" s="252" t="str">
        <f t="shared" si="37"/>
        <v>2025</v>
      </c>
      <c r="E415" s="253"/>
      <c r="F415" s="254"/>
      <c r="G415" s="254"/>
      <c r="H415" s="254"/>
      <c r="I415" s="254"/>
      <c r="J415" s="254"/>
      <c r="K415" s="253">
        <f t="shared" si="38"/>
        <v>771441.02999999991</v>
      </c>
      <c r="L415" s="255">
        <f t="shared" si="39"/>
        <v>3.2876712328767124E-4</v>
      </c>
      <c r="M415" s="253">
        <f t="shared" si="40"/>
        <v>253.62444821917805</v>
      </c>
    </row>
    <row r="416" spans="2:13" hidden="1" outlineLevel="1" x14ac:dyDescent="0.25">
      <c r="B416" s="251">
        <f t="shared" si="41"/>
        <v>45783</v>
      </c>
      <c r="C416" s="252" t="str">
        <f t="shared" si="36"/>
        <v>May</v>
      </c>
      <c r="D416" s="252" t="str">
        <f t="shared" si="37"/>
        <v>2025</v>
      </c>
      <c r="E416" s="253"/>
      <c r="F416" s="254"/>
      <c r="G416" s="254"/>
      <c r="H416" s="254"/>
      <c r="I416" s="254"/>
      <c r="J416" s="254"/>
      <c r="K416" s="253">
        <f t="shared" si="38"/>
        <v>771441.02999999991</v>
      </c>
      <c r="L416" s="255">
        <f t="shared" si="39"/>
        <v>3.2876712328767124E-4</v>
      </c>
      <c r="M416" s="253">
        <f t="shared" si="40"/>
        <v>253.62444821917805</v>
      </c>
    </row>
    <row r="417" spans="2:13" hidden="1" outlineLevel="1" x14ac:dyDescent="0.25">
      <c r="B417" s="251">
        <f t="shared" si="41"/>
        <v>45784</v>
      </c>
      <c r="C417" s="252" t="str">
        <f t="shared" si="36"/>
        <v>May</v>
      </c>
      <c r="D417" s="252" t="str">
        <f t="shared" si="37"/>
        <v>2025</v>
      </c>
      <c r="E417" s="253">
        <v>-12500</v>
      </c>
      <c r="F417" s="254" t="s">
        <v>480</v>
      </c>
      <c r="G417" s="254"/>
      <c r="H417" s="254" t="s">
        <v>911</v>
      </c>
      <c r="I417" s="254" t="s">
        <v>929</v>
      </c>
      <c r="J417" s="254" t="s">
        <v>54</v>
      </c>
      <c r="K417" s="253">
        <f t="shared" si="38"/>
        <v>758941.02999999991</v>
      </c>
      <c r="L417" s="255">
        <f t="shared" si="39"/>
        <v>3.2876712328767124E-4</v>
      </c>
      <c r="M417" s="253">
        <f t="shared" si="40"/>
        <v>249.51485917808216</v>
      </c>
    </row>
    <row r="418" spans="2:13" hidden="1" outlineLevel="1" x14ac:dyDescent="0.25">
      <c r="B418" s="251">
        <f t="shared" si="41"/>
        <v>45785</v>
      </c>
      <c r="C418" s="252" t="str">
        <f t="shared" si="36"/>
        <v>May</v>
      </c>
      <c r="D418" s="252" t="str">
        <f t="shared" si="37"/>
        <v>2025</v>
      </c>
      <c r="E418" s="253"/>
      <c r="F418" s="254"/>
      <c r="G418" s="254"/>
      <c r="H418" s="254"/>
      <c r="I418" s="254"/>
      <c r="J418" s="254"/>
      <c r="K418" s="253">
        <f t="shared" si="38"/>
        <v>758941.02999999991</v>
      </c>
      <c r="L418" s="255">
        <f t="shared" si="39"/>
        <v>3.2876712328767124E-4</v>
      </c>
      <c r="M418" s="253">
        <f t="shared" si="40"/>
        <v>249.51485917808216</v>
      </c>
    </row>
    <row r="419" spans="2:13" hidden="1" outlineLevel="1" x14ac:dyDescent="0.25">
      <c r="B419" s="251">
        <f t="shared" si="41"/>
        <v>45786</v>
      </c>
      <c r="C419" s="252" t="str">
        <f t="shared" si="36"/>
        <v>May</v>
      </c>
      <c r="D419" s="252" t="str">
        <f t="shared" si="37"/>
        <v>2025</v>
      </c>
      <c r="E419" s="253"/>
      <c r="F419" s="254"/>
      <c r="G419" s="254"/>
      <c r="H419" s="254"/>
      <c r="I419" s="254"/>
      <c r="J419" s="254"/>
      <c r="K419" s="253">
        <f t="shared" si="38"/>
        <v>758941.02999999991</v>
      </c>
      <c r="L419" s="255">
        <f t="shared" si="39"/>
        <v>3.2876712328767124E-4</v>
      </c>
      <c r="M419" s="253">
        <f t="shared" si="40"/>
        <v>249.51485917808216</v>
      </c>
    </row>
    <row r="420" spans="2:13" hidden="1" outlineLevel="1" x14ac:dyDescent="0.25">
      <c r="B420" s="251">
        <f t="shared" si="41"/>
        <v>45787</v>
      </c>
      <c r="C420" s="252" t="str">
        <f t="shared" si="36"/>
        <v>May</v>
      </c>
      <c r="D420" s="252" t="str">
        <f t="shared" si="37"/>
        <v>2025</v>
      </c>
      <c r="E420" s="253"/>
      <c r="F420" s="254"/>
      <c r="G420" s="254"/>
      <c r="H420" s="254"/>
      <c r="I420" s="254"/>
      <c r="J420" s="254"/>
      <c r="K420" s="253">
        <f t="shared" si="38"/>
        <v>758941.02999999991</v>
      </c>
      <c r="L420" s="255">
        <f t="shared" si="39"/>
        <v>3.2876712328767124E-4</v>
      </c>
      <c r="M420" s="253">
        <f t="shared" si="40"/>
        <v>249.51485917808216</v>
      </c>
    </row>
    <row r="421" spans="2:13" hidden="1" outlineLevel="1" x14ac:dyDescent="0.25">
      <c r="B421" s="251">
        <f t="shared" si="41"/>
        <v>45788</v>
      </c>
      <c r="C421" s="252" t="str">
        <f t="shared" si="36"/>
        <v>May</v>
      </c>
      <c r="D421" s="252" t="str">
        <f t="shared" si="37"/>
        <v>2025</v>
      </c>
      <c r="E421" s="253"/>
      <c r="F421" s="254"/>
      <c r="G421" s="254"/>
      <c r="H421" s="254"/>
      <c r="I421" s="254"/>
      <c r="J421" s="254"/>
      <c r="K421" s="253">
        <f t="shared" si="38"/>
        <v>758941.02999999991</v>
      </c>
      <c r="L421" s="255">
        <f t="shared" si="39"/>
        <v>3.2876712328767124E-4</v>
      </c>
      <c r="M421" s="253">
        <f t="shared" si="40"/>
        <v>249.51485917808216</v>
      </c>
    </row>
    <row r="422" spans="2:13" hidden="1" outlineLevel="1" x14ac:dyDescent="0.25">
      <c r="B422" s="251">
        <f t="shared" si="41"/>
        <v>45789</v>
      </c>
      <c r="C422" s="252" t="str">
        <f t="shared" si="36"/>
        <v>May</v>
      </c>
      <c r="D422" s="252" t="str">
        <f t="shared" si="37"/>
        <v>2025</v>
      </c>
      <c r="E422" s="253"/>
      <c r="F422" s="254"/>
      <c r="G422" s="254"/>
      <c r="H422" s="254"/>
      <c r="I422" s="254"/>
      <c r="J422" s="254"/>
      <c r="K422" s="253">
        <f t="shared" si="38"/>
        <v>758941.02999999991</v>
      </c>
      <c r="L422" s="255">
        <f t="shared" si="39"/>
        <v>3.2876712328767124E-4</v>
      </c>
      <c r="M422" s="253">
        <f t="shared" si="40"/>
        <v>249.51485917808216</v>
      </c>
    </row>
    <row r="423" spans="2:13" hidden="1" outlineLevel="1" x14ac:dyDescent="0.25">
      <c r="B423" s="251">
        <f t="shared" si="41"/>
        <v>45790</v>
      </c>
      <c r="C423" s="252" t="str">
        <f t="shared" si="36"/>
        <v>May</v>
      </c>
      <c r="D423" s="252" t="str">
        <f t="shared" si="37"/>
        <v>2025</v>
      </c>
      <c r="E423" s="253"/>
      <c r="F423" s="254"/>
      <c r="G423" s="254"/>
      <c r="H423" s="254"/>
      <c r="I423" s="254"/>
      <c r="J423" s="254"/>
      <c r="K423" s="253">
        <f t="shared" si="38"/>
        <v>758941.02999999991</v>
      </c>
      <c r="L423" s="255">
        <f t="shared" si="39"/>
        <v>3.2876712328767124E-4</v>
      </c>
      <c r="M423" s="253">
        <f t="shared" si="40"/>
        <v>249.51485917808216</v>
      </c>
    </row>
    <row r="424" spans="2:13" hidden="1" outlineLevel="1" x14ac:dyDescent="0.25">
      <c r="B424" s="251">
        <f t="shared" si="41"/>
        <v>45791</v>
      </c>
      <c r="C424" s="252" t="str">
        <f t="shared" si="36"/>
        <v>May</v>
      </c>
      <c r="D424" s="252" t="str">
        <f t="shared" si="37"/>
        <v>2025</v>
      </c>
      <c r="E424" s="253"/>
      <c r="F424" s="254"/>
      <c r="G424" s="254"/>
      <c r="H424" s="254"/>
      <c r="I424" s="254"/>
      <c r="J424" s="254"/>
      <c r="K424" s="253">
        <f t="shared" si="38"/>
        <v>758941.02999999991</v>
      </c>
      <c r="L424" s="255">
        <f t="shared" si="39"/>
        <v>3.2876712328767124E-4</v>
      </c>
      <c r="M424" s="253">
        <f t="shared" si="40"/>
        <v>249.51485917808216</v>
      </c>
    </row>
    <row r="425" spans="2:13" hidden="1" outlineLevel="1" x14ac:dyDescent="0.25">
      <c r="B425" s="251">
        <f t="shared" si="41"/>
        <v>45792</v>
      </c>
      <c r="C425" s="252" t="str">
        <f t="shared" si="36"/>
        <v>May</v>
      </c>
      <c r="D425" s="252" t="str">
        <f t="shared" si="37"/>
        <v>2025</v>
      </c>
      <c r="E425" s="253"/>
      <c r="F425" s="254"/>
      <c r="G425" s="254"/>
      <c r="H425" s="254"/>
      <c r="I425" s="254"/>
      <c r="J425" s="254"/>
      <c r="K425" s="253">
        <f t="shared" si="38"/>
        <v>758941.02999999991</v>
      </c>
      <c r="L425" s="255">
        <f t="shared" si="39"/>
        <v>3.2876712328767124E-4</v>
      </c>
      <c r="M425" s="253">
        <f t="shared" si="40"/>
        <v>249.51485917808216</v>
      </c>
    </row>
    <row r="426" spans="2:13" hidden="1" outlineLevel="1" x14ac:dyDescent="0.25">
      <c r="B426" s="251">
        <f t="shared" si="41"/>
        <v>45793</v>
      </c>
      <c r="C426" s="252" t="str">
        <f t="shared" si="36"/>
        <v>May</v>
      </c>
      <c r="D426" s="252" t="str">
        <f t="shared" si="37"/>
        <v>2025</v>
      </c>
      <c r="E426" s="253"/>
      <c r="F426" s="254"/>
      <c r="G426" s="254"/>
      <c r="H426" s="254"/>
      <c r="I426" s="254"/>
      <c r="J426" s="254"/>
      <c r="K426" s="253">
        <f t="shared" si="38"/>
        <v>758941.02999999991</v>
      </c>
      <c r="L426" s="255">
        <f t="shared" si="39"/>
        <v>3.2876712328767124E-4</v>
      </c>
      <c r="M426" s="253">
        <f t="shared" si="40"/>
        <v>249.51485917808216</v>
      </c>
    </row>
    <row r="427" spans="2:13" hidden="1" outlineLevel="1" x14ac:dyDescent="0.25">
      <c r="B427" s="251">
        <f t="shared" si="41"/>
        <v>45794</v>
      </c>
      <c r="C427" s="252" t="str">
        <f t="shared" si="36"/>
        <v>May</v>
      </c>
      <c r="D427" s="252" t="str">
        <f t="shared" si="37"/>
        <v>2025</v>
      </c>
      <c r="E427" s="253"/>
      <c r="F427" s="254"/>
      <c r="G427" s="254"/>
      <c r="H427" s="254"/>
      <c r="I427" s="254"/>
      <c r="J427" s="254"/>
      <c r="K427" s="253">
        <f t="shared" si="38"/>
        <v>758941.02999999991</v>
      </c>
      <c r="L427" s="255">
        <f t="shared" si="39"/>
        <v>3.2876712328767124E-4</v>
      </c>
      <c r="M427" s="253">
        <f t="shared" si="40"/>
        <v>249.51485917808216</v>
      </c>
    </row>
    <row r="428" spans="2:13" hidden="1" outlineLevel="1" x14ac:dyDescent="0.25">
      <c r="B428" s="251">
        <f t="shared" si="41"/>
        <v>45795</v>
      </c>
      <c r="C428" s="252" t="str">
        <f t="shared" si="36"/>
        <v>May</v>
      </c>
      <c r="D428" s="252" t="str">
        <f t="shared" si="37"/>
        <v>2025</v>
      </c>
      <c r="E428" s="253"/>
      <c r="F428" s="254"/>
      <c r="G428" s="254"/>
      <c r="H428" s="254"/>
      <c r="I428" s="254"/>
      <c r="J428" s="254"/>
      <c r="K428" s="253">
        <f t="shared" si="38"/>
        <v>758941.02999999991</v>
      </c>
      <c r="L428" s="255">
        <f t="shared" si="39"/>
        <v>3.2876712328767124E-4</v>
      </c>
      <c r="M428" s="253">
        <f t="shared" si="40"/>
        <v>249.51485917808216</v>
      </c>
    </row>
    <row r="429" spans="2:13" hidden="1" outlineLevel="1" x14ac:dyDescent="0.25">
      <c r="B429" s="251">
        <f t="shared" si="41"/>
        <v>45796</v>
      </c>
      <c r="C429" s="252" t="str">
        <f t="shared" si="36"/>
        <v>May</v>
      </c>
      <c r="D429" s="252" t="str">
        <f t="shared" si="37"/>
        <v>2025</v>
      </c>
      <c r="E429" s="253"/>
      <c r="F429" s="254"/>
      <c r="G429" s="254"/>
      <c r="H429" s="254"/>
      <c r="I429" s="254"/>
      <c r="J429" s="254"/>
      <c r="K429" s="253">
        <f t="shared" si="38"/>
        <v>758941.02999999991</v>
      </c>
      <c r="L429" s="255">
        <f t="shared" si="39"/>
        <v>3.2876712328767124E-4</v>
      </c>
      <c r="M429" s="253">
        <f t="shared" si="40"/>
        <v>249.51485917808216</v>
      </c>
    </row>
    <row r="430" spans="2:13" hidden="1" outlineLevel="1" x14ac:dyDescent="0.25">
      <c r="B430" s="251">
        <f t="shared" si="41"/>
        <v>45797</v>
      </c>
      <c r="C430" s="252" t="str">
        <f t="shared" si="36"/>
        <v>May</v>
      </c>
      <c r="D430" s="252" t="str">
        <f t="shared" si="37"/>
        <v>2025</v>
      </c>
      <c r="E430" s="253"/>
      <c r="F430" s="254"/>
      <c r="G430" s="254"/>
      <c r="H430" s="254"/>
      <c r="I430" s="254"/>
      <c r="J430" s="254"/>
      <c r="K430" s="253">
        <f t="shared" si="38"/>
        <v>758941.02999999991</v>
      </c>
      <c r="L430" s="255">
        <f t="shared" si="39"/>
        <v>3.2876712328767124E-4</v>
      </c>
      <c r="M430" s="253">
        <f t="shared" si="40"/>
        <v>249.51485917808216</v>
      </c>
    </row>
    <row r="431" spans="2:13" hidden="1" outlineLevel="1" x14ac:dyDescent="0.25">
      <c r="B431" s="251">
        <f t="shared" si="41"/>
        <v>45798</v>
      </c>
      <c r="C431" s="252" t="str">
        <f t="shared" si="36"/>
        <v>May</v>
      </c>
      <c r="D431" s="252" t="str">
        <f t="shared" si="37"/>
        <v>2025</v>
      </c>
      <c r="E431" s="253">
        <v>-12500</v>
      </c>
      <c r="F431" s="254" t="s">
        <v>480</v>
      </c>
      <c r="G431" s="254"/>
      <c r="H431" s="254" t="s">
        <v>911</v>
      </c>
      <c r="I431" s="254" t="s">
        <v>929</v>
      </c>
      <c r="J431" s="254" t="s">
        <v>54</v>
      </c>
      <c r="K431" s="253">
        <f t="shared" si="38"/>
        <v>746441.02999999991</v>
      </c>
      <c r="L431" s="255">
        <f t="shared" si="39"/>
        <v>3.2876712328767124E-4</v>
      </c>
      <c r="M431" s="253">
        <f t="shared" si="40"/>
        <v>245.40527013698627</v>
      </c>
    </row>
    <row r="432" spans="2:13" hidden="1" outlineLevel="1" x14ac:dyDescent="0.25">
      <c r="B432" s="251">
        <f t="shared" si="41"/>
        <v>45799</v>
      </c>
      <c r="C432" s="252" t="str">
        <f t="shared" si="36"/>
        <v>May</v>
      </c>
      <c r="D432" s="252" t="str">
        <f t="shared" si="37"/>
        <v>2025</v>
      </c>
      <c r="E432" s="253"/>
      <c r="F432" s="254"/>
      <c r="G432" s="254"/>
      <c r="H432" s="254"/>
      <c r="I432" s="254"/>
      <c r="J432" s="254"/>
      <c r="K432" s="253">
        <f t="shared" si="38"/>
        <v>746441.02999999991</v>
      </c>
      <c r="L432" s="255">
        <f t="shared" si="39"/>
        <v>3.2876712328767124E-4</v>
      </c>
      <c r="M432" s="253">
        <f t="shared" si="40"/>
        <v>245.40527013698627</v>
      </c>
    </row>
    <row r="433" spans="2:13" hidden="1" outlineLevel="1" x14ac:dyDescent="0.25">
      <c r="B433" s="251">
        <f t="shared" si="41"/>
        <v>45800</v>
      </c>
      <c r="C433" s="252" t="str">
        <f t="shared" si="36"/>
        <v>May</v>
      </c>
      <c r="D433" s="252" t="str">
        <f t="shared" si="37"/>
        <v>2025</v>
      </c>
      <c r="E433" s="253"/>
      <c r="F433" s="254"/>
      <c r="G433" s="254"/>
      <c r="H433" s="254"/>
      <c r="I433" s="254"/>
      <c r="J433" s="254"/>
      <c r="K433" s="253">
        <f t="shared" si="38"/>
        <v>746441.02999999991</v>
      </c>
      <c r="L433" s="255">
        <f t="shared" si="39"/>
        <v>3.2876712328767124E-4</v>
      </c>
      <c r="M433" s="253">
        <f t="shared" si="40"/>
        <v>245.40527013698627</v>
      </c>
    </row>
    <row r="434" spans="2:13" hidden="1" outlineLevel="1" x14ac:dyDescent="0.25">
      <c r="B434" s="251">
        <f t="shared" si="41"/>
        <v>45801</v>
      </c>
      <c r="C434" s="252" t="str">
        <f t="shared" si="36"/>
        <v>May</v>
      </c>
      <c r="D434" s="252" t="str">
        <f t="shared" si="37"/>
        <v>2025</v>
      </c>
      <c r="E434" s="253"/>
      <c r="F434" s="254"/>
      <c r="G434" s="254"/>
      <c r="H434" s="254"/>
      <c r="I434" s="254"/>
      <c r="J434" s="254"/>
      <c r="K434" s="253">
        <f t="shared" si="38"/>
        <v>746441.02999999991</v>
      </c>
      <c r="L434" s="255">
        <f t="shared" si="39"/>
        <v>3.2876712328767124E-4</v>
      </c>
      <c r="M434" s="253">
        <f t="shared" si="40"/>
        <v>245.40527013698627</v>
      </c>
    </row>
    <row r="435" spans="2:13" hidden="1" outlineLevel="1" x14ac:dyDescent="0.25">
      <c r="B435" s="251">
        <f t="shared" si="41"/>
        <v>45802</v>
      </c>
      <c r="C435" s="252" t="str">
        <f t="shared" si="36"/>
        <v>May</v>
      </c>
      <c r="D435" s="252" t="str">
        <f t="shared" si="37"/>
        <v>2025</v>
      </c>
      <c r="E435" s="253"/>
      <c r="F435" s="254"/>
      <c r="G435" s="254"/>
      <c r="H435" s="254"/>
      <c r="I435" s="254"/>
      <c r="J435" s="254"/>
      <c r="K435" s="253">
        <f t="shared" si="38"/>
        <v>746441.02999999991</v>
      </c>
      <c r="L435" s="255">
        <f t="shared" si="39"/>
        <v>3.2876712328767124E-4</v>
      </c>
      <c r="M435" s="253">
        <f t="shared" si="40"/>
        <v>245.40527013698627</v>
      </c>
    </row>
    <row r="436" spans="2:13" hidden="1" outlineLevel="1" x14ac:dyDescent="0.25">
      <c r="B436" s="251">
        <f t="shared" si="41"/>
        <v>45803</v>
      </c>
      <c r="C436" s="252" t="str">
        <f t="shared" si="36"/>
        <v>May</v>
      </c>
      <c r="D436" s="252" t="str">
        <f t="shared" si="37"/>
        <v>2025</v>
      </c>
      <c r="E436" s="253"/>
      <c r="F436" s="254"/>
      <c r="G436" s="254"/>
      <c r="H436" s="254"/>
      <c r="I436" s="254"/>
      <c r="J436" s="254"/>
      <c r="K436" s="253">
        <f t="shared" si="38"/>
        <v>746441.02999999991</v>
      </c>
      <c r="L436" s="255">
        <f t="shared" si="39"/>
        <v>3.2876712328767124E-4</v>
      </c>
      <c r="M436" s="253">
        <f t="shared" si="40"/>
        <v>245.40527013698627</v>
      </c>
    </row>
    <row r="437" spans="2:13" hidden="1" outlineLevel="1" x14ac:dyDescent="0.25">
      <c r="B437" s="251">
        <f t="shared" si="41"/>
        <v>45804</v>
      </c>
      <c r="C437" s="252" t="str">
        <f t="shared" si="36"/>
        <v>May</v>
      </c>
      <c r="D437" s="252" t="str">
        <f t="shared" si="37"/>
        <v>2025</v>
      </c>
      <c r="E437" s="253"/>
      <c r="F437" s="254"/>
      <c r="G437" s="254"/>
      <c r="H437" s="254"/>
      <c r="I437" s="254"/>
      <c r="J437" s="254"/>
      <c r="K437" s="253">
        <f t="shared" si="38"/>
        <v>746441.02999999991</v>
      </c>
      <c r="L437" s="255">
        <f t="shared" si="39"/>
        <v>3.2876712328767124E-4</v>
      </c>
      <c r="M437" s="253">
        <f t="shared" si="40"/>
        <v>245.40527013698627</v>
      </c>
    </row>
    <row r="438" spans="2:13" hidden="1" outlineLevel="1" x14ac:dyDescent="0.25">
      <c r="B438" s="251">
        <f t="shared" si="41"/>
        <v>45805</v>
      </c>
      <c r="C438" s="252" t="str">
        <f t="shared" si="36"/>
        <v>May</v>
      </c>
      <c r="D438" s="252" t="str">
        <f t="shared" si="37"/>
        <v>2025</v>
      </c>
      <c r="E438" s="253"/>
      <c r="F438" s="254"/>
      <c r="G438" s="254"/>
      <c r="H438" s="254"/>
      <c r="I438" s="254"/>
      <c r="J438" s="254"/>
      <c r="K438" s="253">
        <f t="shared" si="38"/>
        <v>746441.02999999991</v>
      </c>
      <c r="L438" s="255">
        <f t="shared" si="39"/>
        <v>3.2876712328767124E-4</v>
      </c>
      <c r="M438" s="253">
        <f t="shared" si="40"/>
        <v>245.40527013698627</v>
      </c>
    </row>
    <row r="439" spans="2:13" hidden="1" outlineLevel="1" x14ac:dyDescent="0.25">
      <c r="B439" s="251">
        <f t="shared" si="41"/>
        <v>45806</v>
      </c>
      <c r="C439" s="252" t="str">
        <f t="shared" si="36"/>
        <v>May</v>
      </c>
      <c r="D439" s="252" t="str">
        <f t="shared" si="37"/>
        <v>2025</v>
      </c>
      <c r="E439" s="253"/>
      <c r="F439" s="254"/>
      <c r="G439" s="254"/>
      <c r="H439" s="254"/>
      <c r="I439" s="254"/>
      <c r="J439" s="254"/>
      <c r="K439" s="253">
        <f t="shared" si="38"/>
        <v>746441.02999999991</v>
      </c>
      <c r="L439" s="255">
        <f t="shared" si="39"/>
        <v>3.2876712328767124E-4</v>
      </c>
      <c r="M439" s="253">
        <f t="shared" si="40"/>
        <v>245.40527013698627</v>
      </c>
    </row>
    <row r="440" spans="2:13" hidden="1" outlineLevel="1" x14ac:dyDescent="0.25">
      <c r="B440" s="251">
        <f t="shared" si="41"/>
        <v>45807</v>
      </c>
      <c r="C440" s="252" t="str">
        <f t="shared" si="36"/>
        <v>May</v>
      </c>
      <c r="D440" s="252" t="str">
        <f t="shared" si="37"/>
        <v>2025</v>
      </c>
      <c r="E440" s="253"/>
      <c r="F440" s="254"/>
      <c r="G440" s="254"/>
      <c r="H440" s="254"/>
      <c r="I440" s="254"/>
      <c r="J440" s="254"/>
      <c r="K440" s="253">
        <f t="shared" si="38"/>
        <v>746441.02999999991</v>
      </c>
      <c r="L440" s="255">
        <f t="shared" si="39"/>
        <v>3.2876712328767124E-4</v>
      </c>
      <c r="M440" s="253">
        <f t="shared" si="40"/>
        <v>245.40527013698627</v>
      </c>
    </row>
    <row r="441" spans="2:13" collapsed="1" x14ac:dyDescent="0.25">
      <c r="B441" s="251">
        <f t="shared" si="41"/>
        <v>45808</v>
      </c>
      <c r="C441" s="252" t="str">
        <f t="shared" si="36"/>
        <v>May</v>
      </c>
      <c r="D441" s="252" t="str">
        <f t="shared" si="37"/>
        <v>2025</v>
      </c>
      <c r="E441" s="253"/>
      <c r="F441" s="254"/>
      <c r="G441" s="254"/>
      <c r="H441" s="254"/>
      <c r="I441" s="254"/>
      <c r="J441" s="254"/>
      <c r="K441" s="253">
        <f t="shared" si="38"/>
        <v>746441.02999999991</v>
      </c>
      <c r="L441" s="255">
        <f t="shared" si="39"/>
        <v>3.2876712328767124E-4</v>
      </c>
      <c r="M441" s="253">
        <f t="shared" si="40"/>
        <v>245.40527013698627</v>
      </c>
    </row>
    <row r="442" spans="2:13" hidden="1" outlineLevel="1" x14ac:dyDescent="0.25">
      <c r="B442" s="251">
        <f t="shared" si="41"/>
        <v>45809</v>
      </c>
      <c r="C442" s="252" t="str">
        <f t="shared" si="36"/>
        <v>Jun</v>
      </c>
      <c r="D442" s="252" t="str">
        <f t="shared" si="37"/>
        <v>2025</v>
      </c>
      <c r="E442" s="253"/>
      <c r="F442" s="254"/>
      <c r="G442" s="254"/>
      <c r="H442" s="254"/>
      <c r="I442" s="254"/>
      <c r="J442" s="254"/>
      <c r="K442" s="253">
        <f t="shared" si="38"/>
        <v>746441.02999999991</v>
      </c>
      <c r="L442" s="255">
        <f t="shared" si="39"/>
        <v>3.2876712328767124E-4</v>
      </c>
      <c r="M442" s="253">
        <f t="shared" si="40"/>
        <v>245.40527013698627</v>
      </c>
    </row>
    <row r="443" spans="2:13" hidden="1" outlineLevel="1" x14ac:dyDescent="0.25">
      <c r="B443" s="251">
        <f t="shared" si="41"/>
        <v>45810</v>
      </c>
      <c r="C443" s="252" t="str">
        <f t="shared" si="36"/>
        <v>Jun</v>
      </c>
      <c r="D443" s="252" t="str">
        <f t="shared" si="37"/>
        <v>2025</v>
      </c>
      <c r="E443" s="253"/>
      <c r="F443" s="254"/>
      <c r="G443" s="254"/>
      <c r="H443" s="254"/>
      <c r="I443" s="254"/>
      <c r="J443" s="254"/>
      <c r="K443" s="253">
        <f t="shared" si="38"/>
        <v>746441.02999999991</v>
      </c>
      <c r="L443" s="255">
        <f t="shared" si="39"/>
        <v>3.2876712328767124E-4</v>
      </c>
      <c r="M443" s="253">
        <f t="shared" si="40"/>
        <v>245.40527013698627</v>
      </c>
    </row>
    <row r="444" spans="2:13" hidden="1" outlineLevel="1" x14ac:dyDescent="0.25">
      <c r="B444" s="251">
        <f t="shared" si="41"/>
        <v>45811</v>
      </c>
      <c r="C444" s="252" t="str">
        <f t="shared" si="36"/>
        <v>Jun</v>
      </c>
      <c r="D444" s="252" t="str">
        <f t="shared" si="37"/>
        <v>2025</v>
      </c>
      <c r="E444" s="253"/>
      <c r="F444" s="254"/>
      <c r="G444" s="254"/>
      <c r="H444" s="254"/>
      <c r="I444" s="254"/>
      <c r="J444" s="254"/>
      <c r="K444" s="253">
        <f t="shared" si="38"/>
        <v>746441.02999999991</v>
      </c>
      <c r="L444" s="255">
        <f t="shared" si="39"/>
        <v>3.2876712328767124E-4</v>
      </c>
      <c r="M444" s="253">
        <f t="shared" si="40"/>
        <v>245.40527013698627</v>
      </c>
    </row>
    <row r="445" spans="2:13" hidden="1" outlineLevel="1" x14ac:dyDescent="0.25">
      <c r="B445" s="251">
        <f t="shared" si="41"/>
        <v>45812</v>
      </c>
      <c r="C445" s="252" t="str">
        <f t="shared" si="36"/>
        <v>Jun</v>
      </c>
      <c r="D445" s="252" t="str">
        <f t="shared" si="37"/>
        <v>2025</v>
      </c>
      <c r="E445" s="253">
        <v>-12500</v>
      </c>
      <c r="F445" s="254" t="s">
        <v>480</v>
      </c>
      <c r="G445" s="254"/>
      <c r="H445" s="254" t="s">
        <v>911</v>
      </c>
      <c r="I445" s="254" t="s">
        <v>929</v>
      </c>
      <c r="J445" s="254" t="s">
        <v>54</v>
      </c>
      <c r="K445" s="253">
        <f t="shared" si="38"/>
        <v>733941.02999999991</v>
      </c>
      <c r="L445" s="255">
        <f t="shared" si="39"/>
        <v>3.2876712328767124E-4</v>
      </c>
      <c r="M445" s="253">
        <f t="shared" si="40"/>
        <v>241.29568109589039</v>
      </c>
    </row>
    <row r="446" spans="2:13" hidden="1" outlineLevel="1" x14ac:dyDescent="0.25">
      <c r="B446" s="251">
        <f t="shared" si="41"/>
        <v>45813</v>
      </c>
      <c r="C446" s="252" t="str">
        <f t="shared" si="36"/>
        <v>Jun</v>
      </c>
      <c r="D446" s="252" t="str">
        <f t="shared" si="37"/>
        <v>2025</v>
      </c>
      <c r="E446" s="253"/>
      <c r="F446" s="254"/>
      <c r="G446" s="254"/>
      <c r="H446" s="254"/>
      <c r="I446" s="254"/>
      <c r="J446" s="254"/>
      <c r="K446" s="253">
        <f t="shared" si="38"/>
        <v>733941.02999999991</v>
      </c>
      <c r="L446" s="255">
        <f t="shared" si="39"/>
        <v>3.2876712328767124E-4</v>
      </c>
      <c r="M446" s="253">
        <f t="shared" si="40"/>
        <v>241.29568109589039</v>
      </c>
    </row>
    <row r="447" spans="2:13" hidden="1" outlineLevel="1" x14ac:dyDescent="0.25">
      <c r="B447" s="251">
        <f t="shared" si="41"/>
        <v>45814</v>
      </c>
      <c r="C447" s="252" t="str">
        <f t="shared" si="36"/>
        <v>Jun</v>
      </c>
      <c r="D447" s="252" t="str">
        <f t="shared" si="37"/>
        <v>2025</v>
      </c>
      <c r="E447" s="253"/>
      <c r="F447" s="254"/>
      <c r="G447" s="254"/>
      <c r="H447" s="254"/>
      <c r="I447" s="254"/>
      <c r="J447" s="254"/>
      <c r="K447" s="253">
        <f t="shared" si="38"/>
        <v>733941.02999999991</v>
      </c>
      <c r="L447" s="255">
        <f t="shared" si="39"/>
        <v>3.2876712328767124E-4</v>
      </c>
      <c r="M447" s="253">
        <f t="shared" si="40"/>
        <v>241.29568109589039</v>
      </c>
    </row>
    <row r="448" spans="2:13" hidden="1" outlineLevel="1" x14ac:dyDescent="0.25">
      <c r="B448" s="251">
        <f t="shared" si="41"/>
        <v>45815</v>
      </c>
      <c r="C448" s="252" t="str">
        <f t="shared" si="36"/>
        <v>Jun</v>
      </c>
      <c r="D448" s="252" t="str">
        <f t="shared" si="37"/>
        <v>2025</v>
      </c>
      <c r="E448" s="253"/>
      <c r="F448" s="254"/>
      <c r="G448" s="254"/>
      <c r="H448" s="254"/>
      <c r="I448" s="254"/>
      <c r="J448" s="254"/>
      <c r="K448" s="253">
        <f t="shared" si="38"/>
        <v>733941.02999999991</v>
      </c>
      <c r="L448" s="255">
        <f t="shared" si="39"/>
        <v>3.2876712328767124E-4</v>
      </c>
      <c r="M448" s="253">
        <f t="shared" si="40"/>
        <v>241.29568109589039</v>
      </c>
    </row>
    <row r="449" spans="2:13" hidden="1" outlineLevel="1" x14ac:dyDescent="0.25">
      <c r="B449" s="251">
        <f t="shared" si="41"/>
        <v>45816</v>
      </c>
      <c r="C449" s="252" t="str">
        <f t="shared" si="36"/>
        <v>Jun</v>
      </c>
      <c r="D449" s="252" t="str">
        <f t="shared" si="37"/>
        <v>2025</v>
      </c>
      <c r="E449" s="253"/>
      <c r="F449" s="254"/>
      <c r="G449" s="254"/>
      <c r="H449" s="254"/>
      <c r="I449" s="254"/>
      <c r="J449" s="254"/>
      <c r="K449" s="253">
        <f t="shared" si="38"/>
        <v>733941.02999999991</v>
      </c>
      <c r="L449" s="255">
        <f t="shared" si="39"/>
        <v>3.2876712328767124E-4</v>
      </c>
      <c r="M449" s="253">
        <f t="shared" si="40"/>
        <v>241.29568109589039</v>
      </c>
    </row>
    <row r="450" spans="2:13" hidden="1" outlineLevel="1" x14ac:dyDescent="0.25">
      <c r="B450" s="251">
        <f t="shared" si="41"/>
        <v>45817</v>
      </c>
      <c r="C450" s="252" t="str">
        <f t="shared" si="36"/>
        <v>Jun</v>
      </c>
      <c r="D450" s="252" t="str">
        <f t="shared" si="37"/>
        <v>2025</v>
      </c>
      <c r="E450" s="253"/>
      <c r="F450" s="254"/>
      <c r="G450" s="254"/>
      <c r="H450" s="254"/>
      <c r="I450" s="254"/>
      <c r="J450" s="254"/>
      <c r="K450" s="253">
        <f t="shared" si="38"/>
        <v>733941.02999999991</v>
      </c>
      <c r="L450" s="255">
        <f t="shared" si="39"/>
        <v>3.2876712328767124E-4</v>
      </c>
      <c r="M450" s="253">
        <f t="shared" si="40"/>
        <v>241.29568109589039</v>
      </c>
    </row>
    <row r="451" spans="2:13" hidden="1" outlineLevel="1" x14ac:dyDescent="0.25">
      <c r="B451" s="251">
        <f t="shared" si="41"/>
        <v>45818</v>
      </c>
      <c r="C451" s="252" t="str">
        <f t="shared" si="36"/>
        <v>Jun</v>
      </c>
      <c r="D451" s="252" t="str">
        <f t="shared" si="37"/>
        <v>2025</v>
      </c>
      <c r="E451" s="253"/>
      <c r="F451" s="254"/>
      <c r="G451" s="254"/>
      <c r="H451" s="254"/>
      <c r="I451" s="254"/>
      <c r="J451" s="254"/>
      <c r="K451" s="253">
        <f t="shared" si="38"/>
        <v>733941.02999999991</v>
      </c>
      <c r="L451" s="255">
        <f t="shared" si="39"/>
        <v>3.2876712328767124E-4</v>
      </c>
      <c r="M451" s="253">
        <f t="shared" si="40"/>
        <v>241.29568109589039</v>
      </c>
    </row>
    <row r="452" spans="2:13" hidden="1" outlineLevel="1" x14ac:dyDescent="0.25">
      <c r="B452" s="251">
        <f t="shared" si="41"/>
        <v>45819</v>
      </c>
      <c r="C452" s="252" t="str">
        <f t="shared" si="36"/>
        <v>Jun</v>
      </c>
      <c r="D452" s="252" t="str">
        <f t="shared" si="37"/>
        <v>2025</v>
      </c>
      <c r="E452" s="253"/>
      <c r="F452" s="254"/>
      <c r="G452" s="254"/>
      <c r="H452" s="254"/>
      <c r="I452" s="254"/>
      <c r="J452" s="254"/>
      <c r="K452" s="253">
        <f t="shared" si="38"/>
        <v>733941.02999999991</v>
      </c>
      <c r="L452" s="255">
        <f t="shared" si="39"/>
        <v>3.2876712328767124E-4</v>
      </c>
      <c r="M452" s="253">
        <f t="shared" si="40"/>
        <v>241.29568109589039</v>
      </c>
    </row>
    <row r="453" spans="2:13" hidden="1" outlineLevel="1" x14ac:dyDescent="0.25">
      <c r="B453" s="251">
        <f t="shared" si="41"/>
        <v>45820</v>
      </c>
      <c r="C453" s="252" t="str">
        <f t="shared" si="36"/>
        <v>Jun</v>
      </c>
      <c r="D453" s="252" t="str">
        <f t="shared" si="37"/>
        <v>2025</v>
      </c>
      <c r="E453" s="253"/>
      <c r="F453" s="254"/>
      <c r="G453" s="254"/>
      <c r="H453" s="254"/>
      <c r="I453" s="254"/>
      <c r="J453" s="254"/>
      <c r="K453" s="253">
        <f t="shared" si="38"/>
        <v>733941.02999999991</v>
      </c>
      <c r="L453" s="255">
        <f t="shared" si="39"/>
        <v>3.2876712328767124E-4</v>
      </c>
      <c r="M453" s="253">
        <f t="shared" si="40"/>
        <v>241.29568109589039</v>
      </c>
    </row>
    <row r="454" spans="2:13" hidden="1" outlineLevel="1" x14ac:dyDescent="0.25">
      <c r="B454" s="251">
        <f t="shared" si="41"/>
        <v>45821</v>
      </c>
      <c r="C454" s="252" t="str">
        <f t="shared" si="36"/>
        <v>Jun</v>
      </c>
      <c r="D454" s="252" t="str">
        <f t="shared" si="37"/>
        <v>2025</v>
      </c>
      <c r="E454" s="253"/>
      <c r="F454" s="254"/>
      <c r="G454" s="254"/>
      <c r="H454" s="254"/>
      <c r="I454" s="254"/>
      <c r="J454" s="254"/>
      <c r="K454" s="253">
        <f t="shared" si="38"/>
        <v>733941.02999999991</v>
      </c>
      <c r="L454" s="255">
        <f t="shared" si="39"/>
        <v>3.2876712328767124E-4</v>
      </c>
      <c r="M454" s="253">
        <f t="shared" si="40"/>
        <v>241.29568109589039</v>
      </c>
    </row>
    <row r="455" spans="2:13" hidden="1" outlineLevel="1" x14ac:dyDescent="0.25">
      <c r="B455" s="251">
        <f t="shared" si="41"/>
        <v>45822</v>
      </c>
      <c r="C455" s="252" t="str">
        <f t="shared" si="36"/>
        <v>Jun</v>
      </c>
      <c r="D455" s="252" t="str">
        <f t="shared" si="37"/>
        <v>2025</v>
      </c>
      <c r="E455" s="253"/>
      <c r="F455" s="254"/>
      <c r="G455" s="254"/>
      <c r="H455" s="254"/>
      <c r="I455" s="254"/>
      <c r="J455" s="254"/>
      <c r="K455" s="253">
        <f t="shared" si="38"/>
        <v>733941.02999999991</v>
      </c>
      <c r="L455" s="255">
        <f t="shared" si="39"/>
        <v>3.2876712328767124E-4</v>
      </c>
      <c r="M455" s="253">
        <f t="shared" si="40"/>
        <v>241.29568109589039</v>
      </c>
    </row>
    <row r="456" spans="2:13" hidden="1" outlineLevel="1" x14ac:dyDescent="0.25">
      <c r="B456" s="251">
        <f t="shared" si="41"/>
        <v>45823</v>
      </c>
      <c r="C456" s="252" t="str">
        <f t="shared" ref="C456:C519" si="42">TEXT(B456,"mmm")</f>
        <v>Jun</v>
      </c>
      <c r="D456" s="252" t="str">
        <f t="shared" ref="D456:D519" si="43">TEXT(B456,"yyyy")</f>
        <v>2025</v>
      </c>
      <c r="E456" s="253"/>
      <c r="F456" s="254"/>
      <c r="G456" s="254"/>
      <c r="H456" s="254"/>
      <c r="I456" s="254"/>
      <c r="J456" s="254"/>
      <c r="K456" s="253">
        <f t="shared" ref="K456:K519" si="44">K455+E456</f>
        <v>733941.02999999991</v>
      </c>
      <c r="L456" s="255">
        <f t="shared" ref="L456:L519" si="45">(0.12/365)</f>
        <v>3.2876712328767124E-4</v>
      </c>
      <c r="M456" s="253">
        <f t="shared" ref="M456:M519" si="46">K456*L456</f>
        <v>241.29568109589039</v>
      </c>
    </row>
    <row r="457" spans="2:13" hidden="1" outlineLevel="1" x14ac:dyDescent="0.25">
      <c r="B457" s="251">
        <f t="shared" si="41"/>
        <v>45824</v>
      </c>
      <c r="C457" s="252" t="str">
        <f t="shared" si="42"/>
        <v>Jun</v>
      </c>
      <c r="D457" s="252" t="str">
        <f t="shared" si="43"/>
        <v>2025</v>
      </c>
      <c r="E457" s="253"/>
      <c r="F457" s="254"/>
      <c r="G457" s="254"/>
      <c r="H457" s="254"/>
      <c r="I457" s="254"/>
      <c r="J457" s="254"/>
      <c r="K457" s="253">
        <f t="shared" si="44"/>
        <v>733941.02999999991</v>
      </c>
      <c r="L457" s="255">
        <f t="shared" si="45"/>
        <v>3.2876712328767124E-4</v>
      </c>
      <c r="M457" s="253">
        <f t="shared" si="46"/>
        <v>241.29568109589039</v>
      </c>
    </row>
    <row r="458" spans="2:13" hidden="1" outlineLevel="1" x14ac:dyDescent="0.25">
      <c r="B458" s="251">
        <f t="shared" si="41"/>
        <v>45825</v>
      </c>
      <c r="C458" s="252" t="str">
        <f t="shared" si="42"/>
        <v>Jun</v>
      </c>
      <c r="D458" s="252" t="str">
        <f t="shared" si="43"/>
        <v>2025</v>
      </c>
      <c r="E458" s="253">
        <v>-12500</v>
      </c>
      <c r="F458" s="254" t="s">
        <v>480</v>
      </c>
      <c r="G458" s="254"/>
      <c r="H458" s="254" t="s">
        <v>911</v>
      </c>
      <c r="I458" s="254" t="s">
        <v>929</v>
      </c>
      <c r="J458" s="254" t="s">
        <v>54</v>
      </c>
      <c r="K458" s="253">
        <f t="shared" si="44"/>
        <v>721441.02999999991</v>
      </c>
      <c r="L458" s="255">
        <f t="shared" si="45"/>
        <v>3.2876712328767124E-4</v>
      </c>
      <c r="M458" s="253">
        <f t="shared" si="46"/>
        <v>237.1860920547945</v>
      </c>
    </row>
    <row r="459" spans="2:13" hidden="1" outlineLevel="1" x14ac:dyDescent="0.25">
      <c r="B459" s="251">
        <f t="shared" ref="B459:B522" si="47">+B458+1</f>
        <v>45826</v>
      </c>
      <c r="C459" s="252" t="str">
        <f t="shared" si="42"/>
        <v>Jun</v>
      </c>
      <c r="D459" s="252" t="str">
        <f t="shared" si="43"/>
        <v>2025</v>
      </c>
      <c r="E459" s="253"/>
      <c r="F459" s="254"/>
      <c r="G459" s="254"/>
      <c r="H459" s="254"/>
      <c r="I459" s="254"/>
      <c r="J459" s="254"/>
      <c r="K459" s="253">
        <f t="shared" si="44"/>
        <v>721441.02999999991</v>
      </c>
      <c r="L459" s="255">
        <f t="shared" si="45"/>
        <v>3.2876712328767124E-4</v>
      </c>
      <c r="M459" s="253">
        <f t="shared" si="46"/>
        <v>237.1860920547945</v>
      </c>
    </row>
    <row r="460" spans="2:13" hidden="1" outlineLevel="1" x14ac:dyDescent="0.25">
      <c r="B460" s="251">
        <f t="shared" si="47"/>
        <v>45827</v>
      </c>
      <c r="C460" s="252" t="str">
        <f t="shared" si="42"/>
        <v>Jun</v>
      </c>
      <c r="D460" s="252" t="str">
        <f t="shared" si="43"/>
        <v>2025</v>
      </c>
      <c r="E460" s="253"/>
      <c r="F460" s="254"/>
      <c r="G460" s="254"/>
      <c r="H460" s="254"/>
      <c r="I460" s="254"/>
      <c r="J460" s="254"/>
      <c r="K460" s="253">
        <f t="shared" si="44"/>
        <v>721441.02999999991</v>
      </c>
      <c r="L460" s="255">
        <f t="shared" si="45"/>
        <v>3.2876712328767124E-4</v>
      </c>
      <c r="M460" s="253">
        <f t="shared" si="46"/>
        <v>237.1860920547945</v>
      </c>
    </row>
    <row r="461" spans="2:13" hidden="1" outlineLevel="1" x14ac:dyDescent="0.25">
      <c r="B461" s="251">
        <f t="shared" si="47"/>
        <v>45828</v>
      </c>
      <c r="C461" s="252" t="str">
        <f t="shared" si="42"/>
        <v>Jun</v>
      </c>
      <c r="D461" s="252" t="str">
        <f t="shared" si="43"/>
        <v>2025</v>
      </c>
      <c r="E461" s="253">
        <v>30000</v>
      </c>
      <c r="F461" s="254" t="s">
        <v>728</v>
      </c>
      <c r="G461" s="254"/>
      <c r="H461" s="254" t="s">
        <v>911</v>
      </c>
      <c r="I461" s="254" t="s">
        <v>930</v>
      </c>
      <c r="J461" s="254" t="s">
        <v>54</v>
      </c>
      <c r="K461" s="253">
        <f t="shared" si="44"/>
        <v>751441.02999999991</v>
      </c>
      <c r="L461" s="255">
        <f t="shared" si="45"/>
        <v>3.2876712328767124E-4</v>
      </c>
      <c r="M461" s="253">
        <f t="shared" si="46"/>
        <v>247.04910575342464</v>
      </c>
    </row>
    <row r="462" spans="2:13" hidden="1" outlineLevel="1" x14ac:dyDescent="0.25">
      <c r="B462" s="251">
        <f t="shared" si="47"/>
        <v>45829</v>
      </c>
      <c r="C462" s="252" t="str">
        <f t="shared" si="42"/>
        <v>Jun</v>
      </c>
      <c r="D462" s="252" t="str">
        <f t="shared" si="43"/>
        <v>2025</v>
      </c>
      <c r="E462" s="253"/>
      <c r="F462" s="254"/>
      <c r="G462" s="254"/>
      <c r="H462" s="254"/>
      <c r="I462" s="254"/>
      <c r="J462" s="254"/>
      <c r="K462" s="253">
        <f t="shared" si="44"/>
        <v>751441.02999999991</v>
      </c>
      <c r="L462" s="255">
        <f t="shared" si="45"/>
        <v>3.2876712328767124E-4</v>
      </c>
      <c r="M462" s="253">
        <f t="shared" si="46"/>
        <v>247.04910575342464</v>
      </c>
    </row>
    <row r="463" spans="2:13" hidden="1" outlineLevel="1" x14ac:dyDescent="0.25">
      <c r="B463" s="251">
        <f t="shared" si="47"/>
        <v>45830</v>
      </c>
      <c r="C463" s="252" t="str">
        <f t="shared" si="42"/>
        <v>Jun</v>
      </c>
      <c r="D463" s="252" t="str">
        <f t="shared" si="43"/>
        <v>2025</v>
      </c>
      <c r="E463" s="253"/>
      <c r="F463" s="254"/>
      <c r="G463" s="254"/>
      <c r="H463" s="254"/>
      <c r="I463" s="254"/>
      <c r="J463" s="254"/>
      <c r="K463" s="253">
        <f t="shared" si="44"/>
        <v>751441.02999999991</v>
      </c>
      <c r="L463" s="255">
        <f t="shared" si="45"/>
        <v>3.2876712328767124E-4</v>
      </c>
      <c r="M463" s="253">
        <f t="shared" si="46"/>
        <v>247.04910575342464</v>
      </c>
    </row>
    <row r="464" spans="2:13" hidden="1" outlineLevel="1" x14ac:dyDescent="0.25">
      <c r="B464" s="251">
        <f t="shared" si="47"/>
        <v>45831</v>
      </c>
      <c r="C464" s="252" t="str">
        <f t="shared" si="42"/>
        <v>Jun</v>
      </c>
      <c r="D464" s="252" t="str">
        <f t="shared" si="43"/>
        <v>2025</v>
      </c>
      <c r="E464" s="253"/>
      <c r="F464" s="254"/>
      <c r="G464" s="254"/>
      <c r="H464" s="254"/>
      <c r="I464" s="254"/>
      <c r="J464" s="254"/>
      <c r="K464" s="253">
        <f t="shared" si="44"/>
        <v>751441.02999999991</v>
      </c>
      <c r="L464" s="255">
        <f t="shared" si="45"/>
        <v>3.2876712328767124E-4</v>
      </c>
      <c r="M464" s="253">
        <f t="shared" si="46"/>
        <v>247.04910575342464</v>
      </c>
    </row>
    <row r="465" spans="2:13" hidden="1" outlineLevel="1" x14ac:dyDescent="0.25">
      <c r="B465" s="251">
        <f t="shared" si="47"/>
        <v>45832</v>
      </c>
      <c r="C465" s="252" t="str">
        <f t="shared" si="42"/>
        <v>Jun</v>
      </c>
      <c r="D465" s="252" t="str">
        <f t="shared" si="43"/>
        <v>2025</v>
      </c>
      <c r="E465" s="253"/>
      <c r="F465" s="254"/>
      <c r="G465" s="254"/>
      <c r="H465" s="254"/>
      <c r="I465" s="254"/>
      <c r="J465" s="254"/>
      <c r="K465" s="253">
        <f t="shared" si="44"/>
        <v>751441.02999999991</v>
      </c>
      <c r="L465" s="255">
        <f t="shared" si="45"/>
        <v>3.2876712328767124E-4</v>
      </c>
      <c r="M465" s="253">
        <f t="shared" si="46"/>
        <v>247.04910575342464</v>
      </c>
    </row>
    <row r="466" spans="2:13" hidden="1" outlineLevel="1" x14ac:dyDescent="0.25">
      <c r="B466" s="251">
        <f t="shared" si="47"/>
        <v>45833</v>
      </c>
      <c r="C466" s="252" t="str">
        <f t="shared" si="42"/>
        <v>Jun</v>
      </c>
      <c r="D466" s="252" t="str">
        <f t="shared" si="43"/>
        <v>2025</v>
      </c>
      <c r="E466" s="253"/>
      <c r="F466" s="254"/>
      <c r="G466" s="254"/>
      <c r="H466" s="254"/>
      <c r="I466" s="254"/>
      <c r="J466" s="254"/>
      <c r="K466" s="253">
        <f t="shared" si="44"/>
        <v>751441.02999999991</v>
      </c>
      <c r="L466" s="255">
        <f t="shared" si="45"/>
        <v>3.2876712328767124E-4</v>
      </c>
      <c r="M466" s="253">
        <f t="shared" si="46"/>
        <v>247.04910575342464</v>
      </c>
    </row>
    <row r="467" spans="2:13" hidden="1" outlineLevel="1" x14ac:dyDescent="0.25">
      <c r="B467" s="251">
        <f t="shared" si="47"/>
        <v>45834</v>
      </c>
      <c r="C467" s="252" t="str">
        <f t="shared" si="42"/>
        <v>Jun</v>
      </c>
      <c r="D467" s="252" t="str">
        <f t="shared" si="43"/>
        <v>2025</v>
      </c>
      <c r="E467" s="253"/>
      <c r="F467" s="254"/>
      <c r="G467" s="254"/>
      <c r="H467" s="254"/>
      <c r="I467" s="254"/>
      <c r="J467" s="254"/>
      <c r="K467" s="253">
        <f t="shared" si="44"/>
        <v>751441.02999999991</v>
      </c>
      <c r="L467" s="255">
        <f t="shared" si="45"/>
        <v>3.2876712328767124E-4</v>
      </c>
      <c r="M467" s="253">
        <f t="shared" si="46"/>
        <v>247.04910575342464</v>
      </c>
    </row>
    <row r="468" spans="2:13" hidden="1" outlineLevel="1" x14ac:dyDescent="0.25">
      <c r="B468" s="251">
        <f t="shared" si="47"/>
        <v>45835</v>
      </c>
      <c r="C468" s="252" t="str">
        <f t="shared" si="42"/>
        <v>Jun</v>
      </c>
      <c r="D468" s="252" t="str">
        <f t="shared" si="43"/>
        <v>2025</v>
      </c>
      <c r="E468" s="253"/>
      <c r="F468" s="254"/>
      <c r="G468" s="254"/>
      <c r="H468" s="254"/>
      <c r="I468" s="254"/>
      <c r="J468" s="254"/>
      <c r="K468" s="253">
        <f t="shared" si="44"/>
        <v>751441.02999999991</v>
      </c>
      <c r="L468" s="255">
        <f t="shared" si="45"/>
        <v>3.2876712328767124E-4</v>
      </c>
      <c r="M468" s="253">
        <f t="shared" si="46"/>
        <v>247.04910575342464</v>
      </c>
    </row>
    <row r="469" spans="2:13" hidden="1" outlineLevel="1" x14ac:dyDescent="0.25">
      <c r="B469" s="251">
        <f t="shared" si="47"/>
        <v>45836</v>
      </c>
      <c r="C469" s="252" t="str">
        <f t="shared" si="42"/>
        <v>Jun</v>
      </c>
      <c r="D469" s="252" t="str">
        <f t="shared" si="43"/>
        <v>2025</v>
      </c>
      <c r="E469" s="253"/>
      <c r="F469" s="254"/>
      <c r="G469" s="254"/>
      <c r="H469" s="254"/>
      <c r="I469" s="254"/>
      <c r="J469" s="254"/>
      <c r="K469" s="253">
        <f t="shared" si="44"/>
        <v>751441.02999999991</v>
      </c>
      <c r="L469" s="255">
        <f t="shared" si="45"/>
        <v>3.2876712328767124E-4</v>
      </c>
      <c r="M469" s="253">
        <f t="shared" si="46"/>
        <v>247.04910575342464</v>
      </c>
    </row>
    <row r="470" spans="2:13" hidden="1" outlineLevel="1" x14ac:dyDescent="0.25">
      <c r="B470" s="251">
        <f t="shared" si="47"/>
        <v>45837</v>
      </c>
      <c r="C470" s="252" t="str">
        <f t="shared" si="42"/>
        <v>Jun</v>
      </c>
      <c r="D470" s="252" t="str">
        <f t="shared" si="43"/>
        <v>2025</v>
      </c>
      <c r="E470" s="253"/>
      <c r="F470" s="254"/>
      <c r="G470" s="254"/>
      <c r="H470" s="254"/>
      <c r="I470" s="254"/>
      <c r="J470" s="254"/>
      <c r="K470" s="253">
        <f t="shared" si="44"/>
        <v>751441.02999999991</v>
      </c>
      <c r="L470" s="255">
        <f t="shared" si="45"/>
        <v>3.2876712328767124E-4</v>
      </c>
      <c r="M470" s="253">
        <f t="shared" si="46"/>
        <v>247.04910575342464</v>
      </c>
    </row>
    <row r="471" spans="2:13" collapsed="1" x14ac:dyDescent="0.25">
      <c r="B471" s="251">
        <f t="shared" si="47"/>
        <v>45838</v>
      </c>
      <c r="C471" s="252" t="str">
        <f t="shared" si="42"/>
        <v>Jun</v>
      </c>
      <c r="D471" s="252" t="str">
        <f t="shared" si="43"/>
        <v>2025</v>
      </c>
      <c r="E471" s="253"/>
      <c r="F471" s="254"/>
      <c r="G471" s="254"/>
      <c r="H471" s="254"/>
      <c r="I471" s="254"/>
      <c r="J471" s="254"/>
      <c r="K471" s="253">
        <f t="shared" si="44"/>
        <v>751441.02999999991</v>
      </c>
      <c r="L471" s="255">
        <f t="shared" si="45"/>
        <v>3.2876712328767124E-4</v>
      </c>
      <c r="M471" s="253">
        <f t="shared" si="46"/>
        <v>247.04910575342464</v>
      </c>
    </row>
    <row r="472" spans="2:13" hidden="1" outlineLevel="1" x14ac:dyDescent="0.25">
      <c r="B472" s="251">
        <f t="shared" si="47"/>
        <v>45839</v>
      </c>
      <c r="C472" s="252" t="str">
        <f t="shared" si="42"/>
        <v>Jul</v>
      </c>
      <c r="D472" s="252" t="str">
        <f t="shared" si="43"/>
        <v>2025</v>
      </c>
      <c r="E472" s="253">
        <v>-12500</v>
      </c>
      <c r="F472" s="254" t="s">
        <v>480</v>
      </c>
      <c r="G472" s="254"/>
      <c r="H472" s="254" t="s">
        <v>911</v>
      </c>
      <c r="I472" s="254" t="s">
        <v>929</v>
      </c>
      <c r="J472" s="254" t="s">
        <v>54</v>
      </c>
      <c r="K472" s="253">
        <f t="shared" si="44"/>
        <v>738941.02999999991</v>
      </c>
      <c r="L472" s="255">
        <f t="shared" si="45"/>
        <v>3.2876712328767124E-4</v>
      </c>
      <c r="M472" s="253">
        <f t="shared" si="46"/>
        <v>242.93951671232875</v>
      </c>
    </row>
    <row r="473" spans="2:13" hidden="1" outlineLevel="1" x14ac:dyDescent="0.25">
      <c r="B473" s="251">
        <f t="shared" si="47"/>
        <v>45840</v>
      </c>
      <c r="C473" s="252" t="str">
        <f t="shared" si="42"/>
        <v>Jul</v>
      </c>
      <c r="D473" s="252" t="str">
        <f t="shared" si="43"/>
        <v>2025</v>
      </c>
      <c r="E473" s="253"/>
      <c r="F473" s="254"/>
      <c r="G473" s="254"/>
      <c r="H473" s="254"/>
      <c r="I473" s="254"/>
      <c r="J473" s="254"/>
      <c r="K473" s="253">
        <f t="shared" si="44"/>
        <v>738941.02999999991</v>
      </c>
      <c r="L473" s="255">
        <f t="shared" si="45"/>
        <v>3.2876712328767124E-4</v>
      </c>
      <c r="M473" s="253">
        <f t="shared" si="46"/>
        <v>242.93951671232875</v>
      </c>
    </row>
    <row r="474" spans="2:13" hidden="1" outlineLevel="1" x14ac:dyDescent="0.25">
      <c r="B474" s="251">
        <f t="shared" si="47"/>
        <v>45841</v>
      </c>
      <c r="C474" s="252" t="str">
        <f t="shared" si="42"/>
        <v>Jul</v>
      </c>
      <c r="D474" s="252" t="str">
        <f t="shared" si="43"/>
        <v>2025</v>
      </c>
      <c r="E474" s="253"/>
      <c r="F474" s="254"/>
      <c r="G474" s="254"/>
      <c r="H474" s="254"/>
      <c r="I474" s="254"/>
      <c r="J474" s="254"/>
      <c r="K474" s="253">
        <f t="shared" si="44"/>
        <v>738941.02999999991</v>
      </c>
      <c r="L474" s="255">
        <f t="shared" si="45"/>
        <v>3.2876712328767124E-4</v>
      </c>
      <c r="M474" s="253">
        <f t="shared" si="46"/>
        <v>242.93951671232875</v>
      </c>
    </row>
    <row r="475" spans="2:13" hidden="1" outlineLevel="1" x14ac:dyDescent="0.25">
      <c r="B475" s="251">
        <f t="shared" si="47"/>
        <v>45842</v>
      </c>
      <c r="C475" s="252" t="str">
        <f t="shared" si="42"/>
        <v>Jul</v>
      </c>
      <c r="D475" s="252" t="str">
        <f t="shared" si="43"/>
        <v>2025</v>
      </c>
      <c r="E475" s="253"/>
      <c r="F475" s="254"/>
      <c r="G475" s="254"/>
      <c r="H475" s="254"/>
      <c r="I475" s="254"/>
      <c r="J475" s="254"/>
      <c r="K475" s="253">
        <f t="shared" si="44"/>
        <v>738941.02999999991</v>
      </c>
      <c r="L475" s="255">
        <f t="shared" si="45"/>
        <v>3.2876712328767124E-4</v>
      </c>
      <c r="M475" s="253">
        <f t="shared" si="46"/>
        <v>242.93951671232875</v>
      </c>
    </row>
    <row r="476" spans="2:13" hidden="1" outlineLevel="1" x14ac:dyDescent="0.25">
      <c r="B476" s="251">
        <f t="shared" si="47"/>
        <v>45843</v>
      </c>
      <c r="C476" s="252" t="str">
        <f t="shared" si="42"/>
        <v>Jul</v>
      </c>
      <c r="D476" s="252" t="str">
        <f t="shared" si="43"/>
        <v>2025</v>
      </c>
      <c r="E476" s="253"/>
      <c r="F476" s="254"/>
      <c r="G476" s="254"/>
      <c r="H476" s="254"/>
      <c r="I476" s="254"/>
      <c r="J476" s="254"/>
      <c r="K476" s="253">
        <f t="shared" si="44"/>
        <v>738941.02999999991</v>
      </c>
      <c r="L476" s="255">
        <f t="shared" si="45"/>
        <v>3.2876712328767124E-4</v>
      </c>
      <c r="M476" s="253">
        <f t="shared" si="46"/>
        <v>242.93951671232875</v>
      </c>
    </row>
    <row r="477" spans="2:13" hidden="1" outlineLevel="1" x14ac:dyDescent="0.25">
      <c r="B477" s="251">
        <f t="shared" si="47"/>
        <v>45844</v>
      </c>
      <c r="C477" s="252" t="str">
        <f t="shared" si="42"/>
        <v>Jul</v>
      </c>
      <c r="D477" s="252" t="str">
        <f t="shared" si="43"/>
        <v>2025</v>
      </c>
      <c r="E477" s="253"/>
      <c r="F477" s="254"/>
      <c r="G477" s="254"/>
      <c r="H477" s="254"/>
      <c r="I477" s="254"/>
      <c r="J477" s="254"/>
      <c r="K477" s="253">
        <f t="shared" si="44"/>
        <v>738941.02999999991</v>
      </c>
      <c r="L477" s="255">
        <f t="shared" si="45"/>
        <v>3.2876712328767124E-4</v>
      </c>
      <c r="M477" s="253">
        <f t="shared" si="46"/>
        <v>242.93951671232875</v>
      </c>
    </row>
    <row r="478" spans="2:13" hidden="1" outlineLevel="1" x14ac:dyDescent="0.25">
      <c r="B478" s="251">
        <f t="shared" si="47"/>
        <v>45845</v>
      </c>
      <c r="C478" s="252" t="str">
        <f t="shared" si="42"/>
        <v>Jul</v>
      </c>
      <c r="D478" s="252" t="str">
        <f t="shared" si="43"/>
        <v>2025</v>
      </c>
      <c r="E478" s="253"/>
      <c r="F478" s="254"/>
      <c r="G478" s="254"/>
      <c r="H478" s="254"/>
      <c r="I478" s="254"/>
      <c r="J478" s="254"/>
      <c r="K478" s="253">
        <f t="shared" si="44"/>
        <v>738941.02999999991</v>
      </c>
      <c r="L478" s="255">
        <f t="shared" si="45"/>
        <v>3.2876712328767124E-4</v>
      </c>
      <c r="M478" s="253">
        <f t="shared" si="46"/>
        <v>242.93951671232875</v>
      </c>
    </row>
    <row r="479" spans="2:13" hidden="1" outlineLevel="1" x14ac:dyDescent="0.25">
      <c r="B479" s="251">
        <f t="shared" si="47"/>
        <v>45846</v>
      </c>
      <c r="C479" s="252" t="str">
        <f t="shared" si="42"/>
        <v>Jul</v>
      </c>
      <c r="D479" s="252" t="str">
        <f t="shared" si="43"/>
        <v>2025</v>
      </c>
      <c r="E479" s="253"/>
      <c r="F479" s="254"/>
      <c r="G479" s="254"/>
      <c r="H479" s="254"/>
      <c r="I479" s="254"/>
      <c r="J479" s="254"/>
      <c r="K479" s="253">
        <f t="shared" si="44"/>
        <v>738941.02999999991</v>
      </c>
      <c r="L479" s="255">
        <f t="shared" si="45"/>
        <v>3.2876712328767124E-4</v>
      </c>
      <c r="M479" s="253">
        <f t="shared" si="46"/>
        <v>242.93951671232875</v>
      </c>
    </row>
    <row r="480" spans="2:13" hidden="1" outlineLevel="1" x14ac:dyDescent="0.25">
      <c r="B480" s="251">
        <f t="shared" si="47"/>
        <v>45847</v>
      </c>
      <c r="C480" s="252" t="str">
        <f t="shared" si="42"/>
        <v>Jul</v>
      </c>
      <c r="D480" s="252" t="str">
        <f t="shared" si="43"/>
        <v>2025</v>
      </c>
      <c r="E480" s="253"/>
      <c r="F480" s="254"/>
      <c r="G480" s="254"/>
      <c r="H480" s="254"/>
      <c r="I480" s="254"/>
      <c r="J480" s="254"/>
      <c r="K480" s="253">
        <f t="shared" si="44"/>
        <v>738941.02999999991</v>
      </c>
      <c r="L480" s="255">
        <f t="shared" si="45"/>
        <v>3.2876712328767124E-4</v>
      </c>
      <c r="M480" s="253">
        <f t="shared" si="46"/>
        <v>242.93951671232875</v>
      </c>
    </row>
    <row r="481" spans="2:13" hidden="1" outlineLevel="1" x14ac:dyDescent="0.25">
      <c r="B481" s="251">
        <f t="shared" si="47"/>
        <v>45848</v>
      </c>
      <c r="C481" s="252" t="str">
        <f t="shared" si="42"/>
        <v>Jul</v>
      </c>
      <c r="D481" s="252" t="str">
        <f t="shared" si="43"/>
        <v>2025</v>
      </c>
      <c r="E481" s="253">
        <v>10000</v>
      </c>
      <c r="F481" s="254" t="s">
        <v>728</v>
      </c>
      <c r="G481" s="254"/>
      <c r="H481" s="254" t="s">
        <v>911</v>
      </c>
      <c r="I481" s="254" t="s">
        <v>931</v>
      </c>
      <c r="J481" s="254" t="s">
        <v>54</v>
      </c>
      <c r="K481" s="253">
        <f t="shared" si="44"/>
        <v>748941.02999999991</v>
      </c>
      <c r="L481" s="255">
        <f t="shared" si="45"/>
        <v>3.2876712328767124E-4</v>
      </c>
      <c r="M481" s="253">
        <f t="shared" si="46"/>
        <v>246.22718794520546</v>
      </c>
    </row>
    <row r="482" spans="2:13" hidden="1" outlineLevel="1" x14ac:dyDescent="0.25">
      <c r="B482" s="251">
        <f t="shared" si="47"/>
        <v>45849</v>
      </c>
      <c r="C482" s="252" t="str">
        <f t="shared" si="42"/>
        <v>Jul</v>
      </c>
      <c r="D482" s="252" t="str">
        <f t="shared" si="43"/>
        <v>2025</v>
      </c>
      <c r="E482" s="253"/>
      <c r="F482" s="254"/>
      <c r="G482" s="254"/>
      <c r="H482" s="254"/>
      <c r="I482" s="254"/>
      <c r="J482" s="254"/>
      <c r="K482" s="253">
        <f t="shared" si="44"/>
        <v>748941.02999999991</v>
      </c>
      <c r="L482" s="255">
        <f t="shared" si="45"/>
        <v>3.2876712328767124E-4</v>
      </c>
      <c r="M482" s="253">
        <f t="shared" si="46"/>
        <v>246.22718794520546</v>
      </c>
    </row>
    <row r="483" spans="2:13" hidden="1" outlineLevel="1" x14ac:dyDescent="0.25">
      <c r="B483" s="251">
        <f t="shared" si="47"/>
        <v>45850</v>
      </c>
      <c r="C483" s="252" t="str">
        <f t="shared" si="42"/>
        <v>Jul</v>
      </c>
      <c r="D483" s="252" t="str">
        <f t="shared" si="43"/>
        <v>2025</v>
      </c>
      <c r="E483" s="253"/>
      <c r="F483" s="254"/>
      <c r="G483" s="254"/>
      <c r="H483" s="254"/>
      <c r="I483" s="254"/>
      <c r="J483" s="254"/>
      <c r="K483" s="253">
        <f t="shared" si="44"/>
        <v>748941.02999999991</v>
      </c>
      <c r="L483" s="255">
        <f t="shared" si="45"/>
        <v>3.2876712328767124E-4</v>
      </c>
      <c r="M483" s="253">
        <f t="shared" si="46"/>
        <v>246.22718794520546</v>
      </c>
    </row>
    <row r="484" spans="2:13" hidden="1" outlineLevel="1" x14ac:dyDescent="0.25">
      <c r="B484" s="251">
        <f t="shared" si="47"/>
        <v>45851</v>
      </c>
      <c r="C484" s="252" t="str">
        <f t="shared" si="42"/>
        <v>Jul</v>
      </c>
      <c r="D484" s="252" t="str">
        <f t="shared" si="43"/>
        <v>2025</v>
      </c>
      <c r="E484" s="253"/>
      <c r="F484" s="254"/>
      <c r="G484" s="254"/>
      <c r="H484" s="254"/>
      <c r="I484" s="254"/>
      <c r="J484" s="254"/>
      <c r="K484" s="253">
        <f t="shared" si="44"/>
        <v>748941.02999999991</v>
      </c>
      <c r="L484" s="255">
        <f t="shared" si="45"/>
        <v>3.2876712328767124E-4</v>
      </c>
      <c r="M484" s="253">
        <f t="shared" si="46"/>
        <v>246.22718794520546</v>
      </c>
    </row>
    <row r="485" spans="2:13" hidden="1" outlineLevel="1" x14ac:dyDescent="0.25">
      <c r="B485" s="251">
        <f t="shared" si="47"/>
        <v>45852</v>
      </c>
      <c r="C485" s="252" t="str">
        <f t="shared" si="42"/>
        <v>Jul</v>
      </c>
      <c r="D485" s="252" t="str">
        <f t="shared" si="43"/>
        <v>2025</v>
      </c>
      <c r="E485" s="253"/>
      <c r="F485" s="254"/>
      <c r="G485" s="254"/>
      <c r="H485" s="254"/>
      <c r="I485" s="254"/>
      <c r="J485" s="254"/>
      <c r="K485" s="253">
        <f t="shared" si="44"/>
        <v>748941.02999999991</v>
      </c>
      <c r="L485" s="255">
        <f t="shared" si="45"/>
        <v>3.2876712328767124E-4</v>
      </c>
      <c r="M485" s="253">
        <f t="shared" si="46"/>
        <v>246.22718794520546</v>
      </c>
    </row>
    <row r="486" spans="2:13" hidden="1" outlineLevel="1" x14ac:dyDescent="0.25">
      <c r="B486" s="251">
        <f t="shared" si="47"/>
        <v>45853</v>
      </c>
      <c r="C486" s="252" t="str">
        <f t="shared" si="42"/>
        <v>Jul</v>
      </c>
      <c r="D486" s="252" t="str">
        <f t="shared" si="43"/>
        <v>2025</v>
      </c>
      <c r="E486" s="253"/>
      <c r="F486" s="254"/>
      <c r="G486" s="254"/>
      <c r="H486" s="254"/>
      <c r="I486" s="254"/>
      <c r="J486" s="254"/>
      <c r="K486" s="253">
        <f t="shared" si="44"/>
        <v>748941.02999999991</v>
      </c>
      <c r="L486" s="255">
        <f t="shared" si="45"/>
        <v>3.2876712328767124E-4</v>
      </c>
      <c r="M486" s="253">
        <f t="shared" si="46"/>
        <v>246.22718794520546</v>
      </c>
    </row>
    <row r="487" spans="2:13" hidden="1" outlineLevel="1" x14ac:dyDescent="0.25">
      <c r="B487" s="251">
        <f t="shared" si="47"/>
        <v>45854</v>
      </c>
      <c r="C487" s="252" t="str">
        <f t="shared" si="42"/>
        <v>Jul</v>
      </c>
      <c r="D487" s="252" t="str">
        <f t="shared" si="43"/>
        <v>2025</v>
      </c>
      <c r="E487" s="253">
        <v>-8000</v>
      </c>
      <c r="F487" s="254" t="s">
        <v>480</v>
      </c>
      <c r="G487" s="254"/>
      <c r="H487" s="254" t="s">
        <v>911</v>
      </c>
      <c r="I487" s="254" t="s">
        <v>929</v>
      </c>
      <c r="J487" s="254" t="s">
        <v>54</v>
      </c>
      <c r="K487" s="253">
        <f t="shared" si="44"/>
        <v>740941.02999999991</v>
      </c>
      <c r="L487" s="255">
        <f t="shared" si="45"/>
        <v>3.2876712328767124E-4</v>
      </c>
      <c r="M487" s="253">
        <f t="shared" si="46"/>
        <v>243.59705095890408</v>
      </c>
    </row>
    <row r="488" spans="2:13" hidden="1" outlineLevel="1" x14ac:dyDescent="0.25">
      <c r="B488" s="251">
        <f t="shared" si="47"/>
        <v>45855</v>
      </c>
      <c r="C488" s="252" t="str">
        <f t="shared" si="42"/>
        <v>Jul</v>
      </c>
      <c r="D488" s="252" t="str">
        <f t="shared" si="43"/>
        <v>2025</v>
      </c>
      <c r="E488" s="253"/>
      <c r="F488" s="254"/>
      <c r="G488" s="254"/>
      <c r="H488" s="254"/>
      <c r="I488" s="254"/>
      <c r="J488" s="254"/>
      <c r="K488" s="253">
        <f t="shared" si="44"/>
        <v>740941.02999999991</v>
      </c>
      <c r="L488" s="255">
        <f t="shared" si="45"/>
        <v>3.2876712328767124E-4</v>
      </c>
      <c r="M488" s="253">
        <f t="shared" si="46"/>
        <v>243.59705095890408</v>
      </c>
    </row>
    <row r="489" spans="2:13" hidden="1" outlineLevel="1" x14ac:dyDescent="0.25">
      <c r="B489" s="251">
        <f t="shared" si="47"/>
        <v>45856</v>
      </c>
      <c r="C489" s="252" t="str">
        <f t="shared" si="42"/>
        <v>Jul</v>
      </c>
      <c r="D489" s="252" t="str">
        <f t="shared" si="43"/>
        <v>2025</v>
      </c>
      <c r="E489" s="253"/>
      <c r="F489" s="254"/>
      <c r="G489" s="254"/>
      <c r="H489" s="254"/>
      <c r="I489" s="254"/>
      <c r="J489" s="254"/>
      <c r="K489" s="253">
        <f t="shared" si="44"/>
        <v>740941.02999999991</v>
      </c>
      <c r="L489" s="255">
        <f t="shared" si="45"/>
        <v>3.2876712328767124E-4</v>
      </c>
      <c r="M489" s="253">
        <f t="shared" si="46"/>
        <v>243.59705095890408</v>
      </c>
    </row>
    <row r="490" spans="2:13" hidden="1" outlineLevel="1" x14ac:dyDescent="0.25">
      <c r="B490" s="251">
        <f t="shared" si="47"/>
        <v>45857</v>
      </c>
      <c r="C490" s="252" t="str">
        <f t="shared" si="42"/>
        <v>Jul</v>
      </c>
      <c r="D490" s="252" t="str">
        <f t="shared" si="43"/>
        <v>2025</v>
      </c>
      <c r="E490" s="253"/>
      <c r="F490" s="254"/>
      <c r="G490" s="254"/>
      <c r="H490" s="254"/>
      <c r="I490" s="254"/>
      <c r="J490" s="254"/>
      <c r="K490" s="253">
        <f t="shared" si="44"/>
        <v>740941.02999999991</v>
      </c>
      <c r="L490" s="255">
        <f t="shared" si="45"/>
        <v>3.2876712328767124E-4</v>
      </c>
      <c r="M490" s="253">
        <f t="shared" si="46"/>
        <v>243.59705095890408</v>
      </c>
    </row>
    <row r="491" spans="2:13" hidden="1" outlineLevel="1" x14ac:dyDescent="0.25">
      <c r="B491" s="251">
        <f t="shared" si="47"/>
        <v>45858</v>
      </c>
      <c r="C491" s="252" t="str">
        <f t="shared" si="42"/>
        <v>Jul</v>
      </c>
      <c r="D491" s="252" t="str">
        <f t="shared" si="43"/>
        <v>2025</v>
      </c>
      <c r="E491" s="253"/>
      <c r="F491" s="254"/>
      <c r="G491" s="254"/>
      <c r="H491" s="254"/>
      <c r="I491" s="254"/>
      <c r="J491" s="254"/>
      <c r="K491" s="253">
        <f t="shared" si="44"/>
        <v>740941.02999999991</v>
      </c>
      <c r="L491" s="255">
        <f t="shared" si="45"/>
        <v>3.2876712328767124E-4</v>
      </c>
      <c r="M491" s="253">
        <f t="shared" si="46"/>
        <v>243.59705095890408</v>
      </c>
    </row>
    <row r="492" spans="2:13" hidden="1" outlineLevel="1" x14ac:dyDescent="0.25">
      <c r="B492" s="251">
        <f t="shared" si="47"/>
        <v>45859</v>
      </c>
      <c r="C492" s="252" t="str">
        <f t="shared" si="42"/>
        <v>Jul</v>
      </c>
      <c r="D492" s="252" t="str">
        <f t="shared" si="43"/>
        <v>2025</v>
      </c>
      <c r="E492" s="253">
        <v>-4500</v>
      </c>
      <c r="F492" s="254" t="s">
        <v>480</v>
      </c>
      <c r="G492" s="254"/>
      <c r="H492" s="254" t="s">
        <v>911</v>
      </c>
      <c r="I492" s="254" t="s">
        <v>929</v>
      </c>
      <c r="J492" s="254" t="s">
        <v>54</v>
      </c>
      <c r="K492" s="253">
        <f t="shared" si="44"/>
        <v>736441.02999999991</v>
      </c>
      <c r="L492" s="255">
        <f t="shared" si="45"/>
        <v>3.2876712328767124E-4</v>
      </c>
      <c r="M492" s="253">
        <f t="shared" si="46"/>
        <v>242.11759890410957</v>
      </c>
    </row>
    <row r="493" spans="2:13" hidden="1" outlineLevel="1" x14ac:dyDescent="0.25">
      <c r="B493" s="251">
        <f t="shared" si="47"/>
        <v>45860</v>
      </c>
      <c r="C493" s="252" t="str">
        <f t="shared" si="42"/>
        <v>Jul</v>
      </c>
      <c r="D493" s="252" t="str">
        <f t="shared" si="43"/>
        <v>2025</v>
      </c>
      <c r="E493" s="253"/>
      <c r="F493" s="254"/>
      <c r="G493" s="254"/>
      <c r="H493" s="254"/>
      <c r="I493" s="254"/>
      <c r="J493" s="254"/>
      <c r="K493" s="253">
        <f t="shared" si="44"/>
        <v>736441.02999999991</v>
      </c>
      <c r="L493" s="255">
        <f t="shared" si="45"/>
        <v>3.2876712328767124E-4</v>
      </c>
      <c r="M493" s="253">
        <f t="shared" si="46"/>
        <v>242.11759890410957</v>
      </c>
    </row>
    <row r="494" spans="2:13" hidden="1" outlineLevel="1" x14ac:dyDescent="0.25">
      <c r="B494" s="251">
        <f t="shared" si="47"/>
        <v>45861</v>
      </c>
      <c r="C494" s="252" t="str">
        <f t="shared" si="42"/>
        <v>Jul</v>
      </c>
      <c r="D494" s="252" t="str">
        <f t="shared" si="43"/>
        <v>2025</v>
      </c>
      <c r="E494" s="253"/>
      <c r="F494" s="254"/>
      <c r="G494" s="254"/>
      <c r="H494" s="254"/>
      <c r="I494" s="254"/>
      <c r="J494" s="254"/>
      <c r="K494" s="253">
        <f t="shared" si="44"/>
        <v>736441.02999999991</v>
      </c>
      <c r="L494" s="255">
        <f t="shared" si="45"/>
        <v>3.2876712328767124E-4</v>
      </c>
      <c r="M494" s="253">
        <f t="shared" si="46"/>
        <v>242.11759890410957</v>
      </c>
    </row>
    <row r="495" spans="2:13" hidden="1" outlineLevel="1" x14ac:dyDescent="0.25">
      <c r="B495" s="251">
        <f t="shared" si="47"/>
        <v>45862</v>
      </c>
      <c r="C495" s="252" t="str">
        <f t="shared" si="42"/>
        <v>Jul</v>
      </c>
      <c r="D495" s="252" t="str">
        <f t="shared" si="43"/>
        <v>2025</v>
      </c>
      <c r="E495" s="253"/>
      <c r="F495" s="254"/>
      <c r="G495" s="254"/>
      <c r="H495" s="254"/>
      <c r="I495" s="254"/>
      <c r="J495" s="254"/>
      <c r="K495" s="253">
        <f t="shared" si="44"/>
        <v>736441.02999999991</v>
      </c>
      <c r="L495" s="255">
        <f t="shared" si="45"/>
        <v>3.2876712328767124E-4</v>
      </c>
      <c r="M495" s="253">
        <f t="shared" si="46"/>
        <v>242.11759890410957</v>
      </c>
    </row>
    <row r="496" spans="2:13" hidden="1" outlineLevel="1" x14ac:dyDescent="0.25">
      <c r="B496" s="251">
        <f t="shared" si="47"/>
        <v>45863</v>
      </c>
      <c r="C496" s="252" t="str">
        <f t="shared" si="42"/>
        <v>Jul</v>
      </c>
      <c r="D496" s="252" t="str">
        <f t="shared" si="43"/>
        <v>2025</v>
      </c>
      <c r="E496" s="253">
        <v>-144.19999999999999</v>
      </c>
      <c r="F496" s="254"/>
      <c r="G496" s="254"/>
      <c r="H496" s="254"/>
      <c r="I496" s="254"/>
      <c r="J496" s="254"/>
      <c r="K496" s="253">
        <f t="shared" si="44"/>
        <v>736296.83</v>
      </c>
      <c r="L496" s="255">
        <f t="shared" si="45"/>
        <v>3.2876712328767124E-4</v>
      </c>
      <c r="M496" s="253">
        <f t="shared" si="46"/>
        <v>242.0701906849315</v>
      </c>
    </row>
    <row r="497" spans="2:13" hidden="1" outlineLevel="1" x14ac:dyDescent="0.25">
      <c r="B497" s="251">
        <f t="shared" si="47"/>
        <v>45864</v>
      </c>
      <c r="C497" s="252" t="str">
        <f t="shared" si="42"/>
        <v>Jul</v>
      </c>
      <c r="D497" s="252" t="str">
        <f t="shared" si="43"/>
        <v>2025</v>
      </c>
      <c r="E497" s="253"/>
      <c r="F497" s="254"/>
      <c r="G497" s="254"/>
      <c r="H497" s="254"/>
      <c r="I497" s="254"/>
      <c r="J497" s="254"/>
      <c r="K497" s="253">
        <f t="shared" si="44"/>
        <v>736296.83</v>
      </c>
      <c r="L497" s="255">
        <f t="shared" si="45"/>
        <v>3.2876712328767124E-4</v>
      </c>
      <c r="M497" s="253">
        <f t="shared" si="46"/>
        <v>242.0701906849315</v>
      </c>
    </row>
    <row r="498" spans="2:13" hidden="1" outlineLevel="1" x14ac:dyDescent="0.25">
      <c r="B498" s="251">
        <f t="shared" si="47"/>
        <v>45865</v>
      </c>
      <c r="C498" s="252" t="str">
        <f t="shared" si="42"/>
        <v>Jul</v>
      </c>
      <c r="D498" s="252" t="str">
        <f t="shared" si="43"/>
        <v>2025</v>
      </c>
      <c r="E498" s="253"/>
      <c r="F498" s="254"/>
      <c r="G498" s="254"/>
      <c r="H498" s="254"/>
      <c r="I498" s="254"/>
      <c r="J498" s="254"/>
      <c r="K498" s="253">
        <f t="shared" si="44"/>
        <v>736296.83</v>
      </c>
      <c r="L498" s="255">
        <f t="shared" si="45"/>
        <v>3.2876712328767124E-4</v>
      </c>
      <c r="M498" s="253">
        <f t="shared" si="46"/>
        <v>242.0701906849315</v>
      </c>
    </row>
    <row r="499" spans="2:13" hidden="1" outlineLevel="1" x14ac:dyDescent="0.25">
      <c r="B499" s="251">
        <f t="shared" si="47"/>
        <v>45866</v>
      </c>
      <c r="C499" s="252" t="str">
        <f t="shared" si="42"/>
        <v>Jul</v>
      </c>
      <c r="D499" s="252" t="str">
        <f t="shared" si="43"/>
        <v>2025</v>
      </c>
      <c r="E499" s="253"/>
      <c r="F499" s="254"/>
      <c r="G499" s="254"/>
      <c r="H499" s="254"/>
      <c r="I499" s="254"/>
      <c r="J499" s="254"/>
      <c r="K499" s="253">
        <f t="shared" si="44"/>
        <v>736296.83</v>
      </c>
      <c r="L499" s="255">
        <f t="shared" si="45"/>
        <v>3.2876712328767124E-4</v>
      </c>
      <c r="M499" s="253">
        <f t="shared" si="46"/>
        <v>242.0701906849315</v>
      </c>
    </row>
    <row r="500" spans="2:13" hidden="1" outlineLevel="1" x14ac:dyDescent="0.25">
      <c r="B500" s="251">
        <f t="shared" si="47"/>
        <v>45867</v>
      </c>
      <c r="C500" s="252" t="str">
        <f t="shared" si="42"/>
        <v>Jul</v>
      </c>
      <c r="D500" s="252" t="str">
        <f t="shared" si="43"/>
        <v>2025</v>
      </c>
      <c r="E500" s="253"/>
      <c r="F500" s="254"/>
      <c r="G500" s="254"/>
      <c r="H500" s="254"/>
      <c r="I500" s="254"/>
      <c r="J500" s="254"/>
      <c r="K500" s="253">
        <f t="shared" si="44"/>
        <v>736296.83</v>
      </c>
      <c r="L500" s="255">
        <f t="shared" si="45"/>
        <v>3.2876712328767124E-4</v>
      </c>
      <c r="M500" s="253">
        <f t="shared" si="46"/>
        <v>242.0701906849315</v>
      </c>
    </row>
    <row r="501" spans="2:13" hidden="1" outlineLevel="1" x14ac:dyDescent="0.25">
      <c r="B501" s="251">
        <f t="shared" si="47"/>
        <v>45868</v>
      </c>
      <c r="C501" s="252" t="str">
        <f t="shared" si="42"/>
        <v>Jul</v>
      </c>
      <c r="D501" s="252" t="str">
        <f t="shared" si="43"/>
        <v>2025</v>
      </c>
      <c r="E501" s="253"/>
      <c r="F501" s="254"/>
      <c r="G501" s="254"/>
      <c r="H501" s="254"/>
      <c r="I501" s="254"/>
      <c r="J501" s="254"/>
      <c r="K501" s="253">
        <f t="shared" si="44"/>
        <v>736296.83</v>
      </c>
      <c r="L501" s="255">
        <f t="shared" si="45"/>
        <v>3.2876712328767124E-4</v>
      </c>
      <c r="M501" s="253">
        <f t="shared" si="46"/>
        <v>242.0701906849315</v>
      </c>
    </row>
    <row r="502" spans="2:13" collapsed="1" x14ac:dyDescent="0.25">
      <c r="B502" s="251">
        <f t="shared" si="47"/>
        <v>45869</v>
      </c>
      <c r="C502" s="252" t="str">
        <f t="shared" si="42"/>
        <v>Jul</v>
      </c>
      <c r="D502" s="252" t="str">
        <f t="shared" si="43"/>
        <v>2025</v>
      </c>
      <c r="E502" s="253">
        <v>-12500</v>
      </c>
      <c r="F502" s="254" t="s">
        <v>480</v>
      </c>
      <c r="G502" s="254"/>
      <c r="H502" s="254" t="s">
        <v>911</v>
      </c>
      <c r="I502" s="254" t="s">
        <v>929</v>
      </c>
      <c r="J502" s="254" t="s">
        <v>54</v>
      </c>
      <c r="K502" s="253">
        <f t="shared" si="44"/>
        <v>723796.83</v>
      </c>
      <c r="L502" s="255">
        <f t="shared" si="45"/>
        <v>3.2876712328767124E-4</v>
      </c>
      <c r="M502" s="253">
        <f t="shared" si="46"/>
        <v>237.96060164383562</v>
      </c>
    </row>
    <row r="503" spans="2:13" hidden="1" outlineLevel="1" x14ac:dyDescent="0.25">
      <c r="B503" s="251">
        <f t="shared" si="47"/>
        <v>45870</v>
      </c>
      <c r="C503" s="252" t="str">
        <f t="shared" si="42"/>
        <v>Aug</v>
      </c>
      <c r="D503" s="252" t="str">
        <f t="shared" si="43"/>
        <v>2025</v>
      </c>
      <c r="E503" s="253"/>
      <c r="F503" s="254"/>
      <c r="G503" s="254"/>
      <c r="H503" s="254"/>
      <c r="I503" s="254"/>
      <c r="J503" s="254"/>
      <c r="K503" s="253">
        <f t="shared" si="44"/>
        <v>723796.83</v>
      </c>
      <c r="L503" s="255">
        <f t="shared" si="45"/>
        <v>3.2876712328767124E-4</v>
      </c>
      <c r="M503" s="253">
        <f t="shared" si="46"/>
        <v>237.96060164383562</v>
      </c>
    </row>
    <row r="504" spans="2:13" hidden="1" outlineLevel="1" x14ac:dyDescent="0.25">
      <c r="B504" s="251">
        <f t="shared" si="47"/>
        <v>45871</v>
      </c>
      <c r="C504" s="252" t="str">
        <f t="shared" si="42"/>
        <v>Aug</v>
      </c>
      <c r="D504" s="252" t="str">
        <f t="shared" si="43"/>
        <v>2025</v>
      </c>
      <c r="E504" s="253"/>
      <c r="F504" s="254"/>
      <c r="G504" s="254"/>
      <c r="H504" s="254"/>
      <c r="I504" s="254"/>
      <c r="J504" s="254"/>
      <c r="K504" s="253">
        <f t="shared" si="44"/>
        <v>723796.83</v>
      </c>
      <c r="L504" s="255">
        <f t="shared" si="45"/>
        <v>3.2876712328767124E-4</v>
      </c>
      <c r="M504" s="253">
        <f t="shared" si="46"/>
        <v>237.96060164383562</v>
      </c>
    </row>
    <row r="505" spans="2:13" hidden="1" outlineLevel="1" x14ac:dyDescent="0.25">
      <c r="B505" s="251">
        <f t="shared" si="47"/>
        <v>45872</v>
      </c>
      <c r="C505" s="252" t="str">
        <f t="shared" si="42"/>
        <v>Aug</v>
      </c>
      <c r="D505" s="252" t="str">
        <f t="shared" si="43"/>
        <v>2025</v>
      </c>
      <c r="E505" s="253"/>
      <c r="F505" s="254"/>
      <c r="G505" s="254"/>
      <c r="H505" s="254"/>
      <c r="I505" s="254"/>
      <c r="J505" s="254"/>
      <c r="K505" s="253">
        <f t="shared" si="44"/>
        <v>723796.83</v>
      </c>
      <c r="L505" s="255">
        <f t="shared" si="45"/>
        <v>3.2876712328767124E-4</v>
      </c>
      <c r="M505" s="253">
        <f t="shared" si="46"/>
        <v>237.96060164383562</v>
      </c>
    </row>
    <row r="506" spans="2:13" hidden="1" outlineLevel="1" x14ac:dyDescent="0.25">
      <c r="B506" s="251">
        <f t="shared" si="47"/>
        <v>45873</v>
      </c>
      <c r="C506" s="252" t="str">
        <f t="shared" si="42"/>
        <v>Aug</v>
      </c>
      <c r="D506" s="252" t="str">
        <f t="shared" si="43"/>
        <v>2025</v>
      </c>
      <c r="E506" s="253"/>
      <c r="F506" s="254"/>
      <c r="G506" s="254"/>
      <c r="H506" s="254"/>
      <c r="I506" s="254"/>
      <c r="J506" s="254"/>
      <c r="K506" s="253">
        <f t="shared" si="44"/>
        <v>723796.83</v>
      </c>
      <c r="L506" s="255">
        <f t="shared" si="45"/>
        <v>3.2876712328767124E-4</v>
      </c>
      <c r="M506" s="253">
        <f t="shared" si="46"/>
        <v>237.96060164383562</v>
      </c>
    </row>
    <row r="507" spans="2:13" hidden="1" outlineLevel="1" x14ac:dyDescent="0.25">
      <c r="B507" s="251">
        <f t="shared" si="47"/>
        <v>45874</v>
      </c>
      <c r="C507" s="252" t="str">
        <f t="shared" si="42"/>
        <v>Aug</v>
      </c>
      <c r="D507" s="252" t="str">
        <f t="shared" si="43"/>
        <v>2025</v>
      </c>
      <c r="E507" s="253"/>
      <c r="F507" s="254"/>
      <c r="G507" s="254"/>
      <c r="H507" s="254"/>
      <c r="I507" s="254"/>
      <c r="J507" s="254"/>
      <c r="K507" s="253">
        <f t="shared" si="44"/>
        <v>723796.83</v>
      </c>
      <c r="L507" s="255">
        <f t="shared" si="45"/>
        <v>3.2876712328767124E-4</v>
      </c>
      <c r="M507" s="253">
        <f t="shared" si="46"/>
        <v>237.96060164383562</v>
      </c>
    </row>
    <row r="508" spans="2:13" hidden="1" outlineLevel="1" x14ac:dyDescent="0.25">
      <c r="B508" s="251">
        <f t="shared" si="47"/>
        <v>45875</v>
      </c>
      <c r="C508" s="252" t="str">
        <f t="shared" si="42"/>
        <v>Aug</v>
      </c>
      <c r="D508" s="252" t="str">
        <f t="shared" si="43"/>
        <v>2025</v>
      </c>
      <c r="E508" s="253"/>
      <c r="F508" s="254"/>
      <c r="G508" s="254"/>
      <c r="H508" s="254"/>
      <c r="I508" s="254"/>
      <c r="J508" s="254"/>
      <c r="K508" s="253">
        <f t="shared" si="44"/>
        <v>723796.83</v>
      </c>
      <c r="L508" s="255">
        <f t="shared" si="45"/>
        <v>3.2876712328767124E-4</v>
      </c>
      <c r="M508" s="253">
        <f t="shared" si="46"/>
        <v>237.96060164383562</v>
      </c>
    </row>
    <row r="509" spans="2:13" hidden="1" outlineLevel="1" x14ac:dyDescent="0.25">
      <c r="B509" s="251">
        <f t="shared" si="47"/>
        <v>45876</v>
      </c>
      <c r="C509" s="252" t="str">
        <f t="shared" si="42"/>
        <v>Aug</v>
      </c>
      <c r="D509" s="252" t="str">
        <f t="shared" si="43"/>
        <v>2025</v>
      </c>
      <c r="E509" s="253"/>
      <c r="F509" s="254"/>
      <c r="G509" s="254"/>
      <c r="H509" s="254"/>
      <c r="I509" s="254"/>
      <c r="J509" s="254"/>
      <c r="K509" s="253">
        <f t="shared" si="44"/>
        <v>723796.83</v>
      </c>
      <c r="L509" s="255">
        <f t="shared" si="45"/>
        <v>3.2876712328767124E-4</v>
      </c>
      <c r="M509" s="253">
        <f t="shared" si="46"/>
        <v>237.96060164383562</v>
      </c>
    </row>
    <row r="510" spans="2:13" hidden="1" outlineLevel="1" x14ac:dyDescent="0.25">
      <c r="B510" s="251">
        <f t="shared" si="47"/>
        <v>45877</v>
      </c>
      <c r="C510" s="252" t="str">
        <f t="shared" si="42"/>
        <v>Aug</v>
      </c>
      <c r="D510" s="252" t="str">
        <f t="shared" si="43"/>
        <v>2025</v>
      </c>
      <c r="E510" s="253"/>
      <c r="F510" s="254"/>
      <c r="G510" s="254"/>
      <c r="H510" s="254"/>
      <c r="I510" s="254"/>
      <c r="J510" s="254"/>
      <c r="K510" s="253">
        <f t="shared" si="44"/>
        <v>723796.83</v>
      </c>
      <c r="L510" s="255">
        <f t="shared" si="45"/>
        <v>3.2876712328767124E-4</v>
      </c>
      <c r="M510" s="253">
        <f t="shared" si="46"/>
        <v>237.96060164383562</v>
      </c>
    </row>
    <row r="511" spans="2:13" hidden="1" outlineLevel="1" x14ac:dyDescent="0.25">
      <c r="B511" s="251">
        <f t="shared" si="47"/>
        <v>45878</v>
      </c>
      <c r="C511" s="252" t="str">
        <f t="shared" si="42"/>
        <v>Aug</v>
      </c>
      <c r="D511" s="252" t="str">
        <f t="shared" si="43"/>
        <v>2025</v>
      </c>
      <c r="E511" s="253"/>
      <c r="F511" s="254"/>
      <c r="G511" s="254"/>
      <c r="H511" s="254"/>
      <c r="I511" s="254"/>
      <c r="J511" s="254"/>
      <c r="K511" s="253">
        <f t="shared" si="44"/>
        <v>723796.83</v>
      </c>
      <c r="L511" s="255">
        <f t="shared" si="45"/>
        <v>3.2876712328767124E-4</v>
      </c>
      <c r="M511" s="253">
        <f t="shared" si="46"/>
        <v>237.96060164383562</v>
      </c>
    </row>
    <row r="512" spans="2:13" hidden="1" outlineLevel="1" x14ac:dyDescent="0.25">
      <c r="B512" s="251">
        <f t="shared" si="47"/>
        <v>45879</v>
      </c>
      <c r="C512" s="252" t="str">
        <f t="shared" si="42"/>
        <v>Aug</v>
      </c>
      <c r="D512" s="252" t="str">
        <f t="shared" si="43"/>
        <v>2025</v>
      </c>
      <c r="E512" s="253"/>
      <c r="F512" s="254"/>
      <c r="G512" s="254"/>
      <c r="H512" s="254"/>
      <c r="I512" s="254"/>
      <c r="J512" s="254"/>
      <c r="K512" s="253">
        <f t="shared" si="44"/>
        <v>723796.83</v>
      </c>
      <c r="L512" s="255">
        <f t="shared" si="45"/>
        <v>3.2876712328767124E-4</v>
      </c>
      <c r="M512" s="253">
        <f t="shared" si="46"/>
        <v>237.96060164383562</v>
      </c>
    </row>
    <row r="513" spans="2:13" hidden="1" outlineLevel="1" x14ac:dyDescent="0.25">
      <c r="B513" s="251">
        <f t="shared" si="47"/>
        <v>45880</v>
      </c>
      <c r="C513" s="252" t="str">
        <f t="shared" si="42"/>
        <v>Aug</v>
      </c>
      <c r="D513" s="252" t="str">
        <f t="shared" si="43"/>
        <v>2025</v>
      </c>
      <c r="E513" s="253"/>
      <c r="F513" s="254"/>
      <c r="G513" s="254"/>
      <c r="H513" s="254"/>
      <c r="I513" s="254"/>
      <c r="J513" s="254"/>
      <c r="K513" s="253">
        <f t="shared" si="44"/>
        <v>723796.83</v>
      </c>
      <c r="L513" s="255">
        <f t="shared" si="45"/>
        <v>3.2876712328767124E-4</v>
      </c>
      <c r="M513" s="253">
        <f t="shared" si="46"/>
        <v>237.96060164383562</v>
      </c>
    </row>
    <row r="514" spans="2:13" hidden="1" outlineLevel="1" x14ac:dyDescent="0.25">
      <c r="B514" s="251">
        <f t="shared" si="47"/>
        <v>45881</v>
      </c>
      <c r="C514" s="252" t="str">
        <f t="shared" si="42"/>
        <v>Aug</v>
      </c>
      <c r="D514" s="252" t="str">
        <f t="shared" si="43"/>
        <v>2025</v>
      </c>
      <c r="E514" s="253"/>
      <c r="F514" s="254"/>
      <c r="G514" s="254"/>
      <c r="H514" s="254"/>
      <c r="I514" s="254"/>
      <c r="J514" s="254"/>
      <c r="K514" s="253">
        <f t="shared" si="44"/>
        <v>723796.83</v>
      </c>
      <c r="L514" s="255">
        <f t="shared" si="45"/>
        <v>3.2876712328767124E-4</v>
      </c>
      <c r="M514" s="253">
        <f t="shared" si="46"/>
        <v>237.96060164383562</v>
      </c>
    </row>
    <row r="515" spans="2:13" hidden="1" outlineLevel="1" x14ac:dyDescent="0.25">
      <c r="B515" s="251">
        <f t="shared" si="47"/>
        <v>45882</v>
      </c>
      <c r="C515" s="252" t="str">
        <f t="shared" si="42"/>
        <v>Aug</v>
      </c>
      <c r="D515" s="252" t="str">
        <f t="shared" si="43"/>
        <v>2025</v>
      </c>
      <c r="E515" s="253">
        <v>-12500</v>
      </c>
      <c r="F515" s="254" t="s">
        <v>480</v>
      </c>
      <c r="G515" s="254"/>
      <c r="H515" s="254" t="s">
        <v>911</v>
      </c>
      <c r="I515" s="254" t="s">
        <v>929</v>
      </c>
      <c r="J515" s="254" t="s">
        <v>54</v>
      </c>
      <c r="K515" s="253">
        <f t="shared" si="44"/>
        <v>711296.83</v>
      </c>
      <c r="L515" s="255">
        <f t="shared" si="45"/>
        <v>3.2876712328767124E-4</v>
      </c>
      <c r="M515" s="253">
        <f t="shared" si="46"/>
        <v>233.85101260273973</v>
      </c>
    </row>
    <row r="516" spans="2:13" hidden="1" outlineLevel="1" x14ac:dyDescent="0.25">
      <c r="B516" s="251">
        <f t="shared" si="47"/>
        <v>45883</v>
      </c>
      <c r="C516" s="252" t="str">
        <f t="shared" si="42"/>
        <v>Aug</v>
      </c>
      <c r="D516" s="252" t="str">
        <f t="shared" si="43"/>
        <v>2025</v>
      </c>
      <c r="E516" s="253"/>
      <c r="F516" s="254"/>
      <c r="G516" s="254"/>
      <c r="H516" s="254"/>
      <c r="I516" s="254"/>
      <c r="J516" s="254"/>
      <c r="K516" s="253">
        <f t="shared" si="44"/>
        <v>711296.83</v>
      </c>
      <c r="L516" s="255">
        <f t="shared" si="45"/>
        <v>3.2876712328767124E-4</v>
      </c>
      <c r="M516" s="253">
        <f t="shared" si="46"/>
        <v>233.85101260273973</v>
      </c>
    </row>
    <row r="517" spans="2:13" hidden="1" outlineLevel="1" x14ac:dyDescent="0.25">
      <c r="B517" s="251">
        <f t="shared" si="47"/>
        <v>45884</v>
      </c>
      <c r="C517" s="252" t="str">
        <f t="shared" si="42"/>
        <v>Aug</v>
      </c>
      <c r="D517" s="252" t="str">
        <f t="shared" si="43"/>
        <v>2025</v>
      </c>
      <c r="E517" s="253"/>
      <c r="F517" s="254"/>
      <c r="G517" s="254"/>
      <c r="H517" s="254"/>
      <c r="I517" s="254"/>
      <c r="J517" s="254"/>
      <c r="K517" s="253">
        <f t="shared" si="44"/>
        <v>711296.83</v>
      </c>
      <c r="L517" s="255">
        <f t="shared" si="45"/>
        <v>3.2876712328767124E-4</v>
      </c>
      <c r="M517" s="253">
        <f t="shared" si="46"/>
        <v>233.85101260273973</v>
      </c>
    </row>
    <row r="518" spans="2:13" hidden="1" outlineLevel="1" x14ac:dyDescent="0.25">
      <c r="B518" s="251">
        <f t="shared" si="47"/>
        <v>45885</v>
      </c>
      <c r="C518" s="252" t="str">
        <f t="shared" si="42"/>
        <v>Aug</v>
      </c>
      <c r="D518" s="252" t="str">
        <f t="shared" si="43"/>
        <v>2025</v>
      </c>
      <c r="E518" s="253"/>
      <c r="F518" s="254"/>
      <c r="G518" s="254"/>
      <c r="H518" s="254"/>
      <c r="I518" s="254"/>
      <c r="J518" s="254"/>
      <c r="K518" s="253">
        <f t="shared" si="44"/>
        <v>711296.83</v>
      </c>
      <c r="L518" s="255">
        <f t="shared" si="45"/>
        <v>3.2876712328767124E-4</v>
      </c>
      <c r="M518" s="253">
        <f t="shared" si="46"/>
        <v>233.85101260273973</v>
      </c>
    </row>
    <row r="519" spans="2:13" hidden="1" outlineLevel="1" x14ac:dyDescent="0.25">
      <c r="B519" s="251">
        <f t="shared" si="47"/>
        <v>45886</v>
      </c>
      <c r="C519" s="252" t="str">
        <f t="shared" si="42"/>
        <v>Aug</v>
      </c>
      <c r="D519" s="252" t="str">
        <f t="shared" si="43"/>
        <v>2025</v>
      </c>
      <c r="E519" s="253"/>
      <c r="F519" s="254"/>
      <c r="G519" s="254"/>
      <c r="H519" s="254"/>
      <c r="I519" s="254"/>
      <c r="J519" s="254"/>
      <c r="K519" s="253">
        <f t="shared" si="44"/>
        <v>711296.83</v>
      </c>
      <c r="L519" s="255">
        <f t="shared" si="45"/>
        <v>3.2876712328767124E-4</v>
      </c>
      <c r="M519" s="253">
        <f t="shared" si="46"/>
        <v>233.85101260273973</v>
      </c>
    </row>
    <row r="520" spans="2:13" hidden="1" outlineLevel="1" x14ac:dyDescent="0.25">
      <c r="B520" s="251">
        <f t="shared" si="47"/>
        <v>45887</v>
      </c>
      <c r="C520" s="252" t="str">
        <f t="shared" ref="C520:C583" si="48">TEXT(B520,"mmm")</f>
        <v>Aug</v>
      </c>
      <c r="D520" s="252" t="str">
        <f t="shared" ref="D520:D583" si="49">TEXT(B520,"yyyy")</f>
        <v>2025</v>
      </c>
      <c r="E520" s="253"/>
      <c r="F520" s="254"/>
      <c r="G520" s="254"/>
      <c r="H520" s="254"/>
      <c r="I520" s="254"/>
      <c r="J520" s="254"/>
      <c r="K520" s="253">
        <f t="shared" ref="K520:K533" si="50">K519+E520</f>
        <v>711296.83</v>
      </c>
      <c r="L520" s="255">
        <f t="shared" ref="L520:L583" si="51">(0.12/365)</f>
        <v>3.2876712328767124E-4</v>
      </c>
      <c r="M520" s="253">
        <f t="shared" ref="M520:M533" si="52">K520*L520</f>
        <v>233.85101260273973</v>
      </c>
    </row>
    <row r="521" spans="2:13" hidden="1" outlineLevel="1" x14ac:dyDescent="0.25">
      <c r="B521" s="251">
        <f t="shared" si="47"/>
        <v>45888</v>
      </c>
      <c r="C521" s="252" t="str">
        <f t="shared" si="48"/>
        <v>Aug</v>
      </c>
      <c r="D521" s="252" t="str">
        <f t="shared" si="49"/>
        <v>2025</v>
      </c>
      <c r="E521" s="253">
        <v>1639.5</v>
      </c>
      <c r="F521" s="254" t="s">
        <v>710</v>
      </c>
      <c r="G521" s="254" t="s">
        <v>932</v>
      </c>
      <c r="H521" s="254"/>
      <c r="I521" s="254" t="s">
        <v>933</v>
      </c>
      <c r="J521" s="254" t="s">
        <v>908</v>
      </c>
      <c r="K521" s="253">
        <f t="shared" si="50"/>
        <v>712936.33</v>
      </c>
      <c r="L521" s="255">
        <f t="shared" si="51"/>
        <v>3.2876712328767124E-4</v>
      </c>
      <c r="M521" s="253">
        <f t="shared" si="52"/>
        <v>234.39002630136986</v>
      </c>
    </row>
    <row r="522" spans="2:13" hidden="1" outlineLevel="1" x14ac:dyDescent="0.25">
      <c r="B522" s="251">
        <f t="shared" si="47"/>
        <v>45889</v>
      </c>
      <c r="C522" s="252" t="str">
        <f t="shared" si="48"/>
        <v>Aug</v>
      </c>
      <c r="D522" s="252" t="str">
        <f t="shared" si="49"/>
        <v>2025</v>
      </c>
      <c r="E522" s="253"/>
      <c r="F522" s="254"/>
      <c r="G522" s="254"/>
      <c r="H522" s="254"/>
      <c r="I522" s="254"/>
      <c r="J522" s="254"/>
      <c r="K522" s="253">
        <f t="shared" si="50"/>
        <v>712936.33</v>
      </c>
      <c r="L522" s="255">
        <f t="shared" si="51"/>
        <v>3.2876712328767124E-4</v>
      </c>
      <c r="M522" s="253">
        <f t="shared" si="52"/>
        <v>234.39002630136986</v>
      </c>
    </row>
    <row r="523" spans="2:13" hidden="1" outlineLevel="1" x14ac:dyDescent="0.25">
      <c r="B523" s="251">
        <f t="shared" ref="B523:B586" si="53">+B522+1</f>
        <v>45890</v>
      </c>
      <c r="C523" s="252" t="str">
        <f t="shared" si="48"/>
        <v>Aug</v>
      </c>
      <c r="D523" s="252" t="str">
        <f t="shared" si="49"/>
        <v>2025</v>
      </c>
      <c r="E523" s="253"/>
      <c r="F523" s="254"/>
      <c r="G523" s="254"/>
      <c r="H523" s="254"/>
      <c r="I523" s="254"/>
      <c r="J523" s="254"/>
      <c r="K523" s="253">
        <f t="shared" si="50"/>
        <v>712936.33</v>
      </c>
      <c r="L523" s="255">
        <f t="shared" si="51"/>
        <v>3.2876712328767124E-4</v>
      </c>
      <c r="M523" s="253">
        <f t="shared" si="52"/>
        <v>234.39002630136986</v>
      </c>
    </row>
    <row r="524" spans="2:13" hidden="1" outlineLevel="1" x14ac:dyDescent="0.25">
      <c r="B524" s="251">
        <f t="shared" si="53"/>
        <v>45891</v>
      </c>
      <c r="C524" s="252" t="str">
        <f t="shared" si="48"/>
        <v>Aug</v>
      </c>
      <c r="D524" s="252" t="str">
        <f t="shared" si="49"/>
        <v>2025</v>
      </c>
      <c r="E524" s="253"/>
      <c r="F524" s="254"/>
      <c r="G524" s="254"/>
      <c r="H524" s="254"/>
      <c r="I524" s="254"/>
      <c r="J524" s="254"/>
      <c r="K524" s="253">
        <f t="shared" si="50"/>
        <v>712936.33</v>
      </c>
      <c r="L524" s="255">
        <f t="shared" si="51"/>
        <v>3.2876712328767124E-4</v>
      </c>
      <c r="M524" s="253">
        <f t="shared" si="52"/>
        <v>234.39002630136986</v>
      </c>
    </row>
    <row r="525" spans="2:13" hidden="1" outlineLevel="1" x14ac:dyDescent="0.25">
      <c r="B525" s="251">
        <f t="shared" si="53"/>
        <v>45892</v>
      </c>
      <c r="C525" s="252" t="str">
        <f t="shared" si="48"/>
        <v>Aug</v>
      </c>
      <c r="D525" s="252" t="str">
        <f t="shared" si="49"/>
        <v>2025</v>
      </c>
      <c r="E525" s="253"/>
      <c r="F525" s="254"/>
      <c r="G525" s="254"/>
      <c r="H525" s="254"/>
      <c r="I525" s="254"/>
      <c r="J525" s="254"/>
      <c r="K525" s="253">
        <f t="shared" si="50"/>
        <v>712936.33</v>
      </c>
      <c r="L525" s="255">
        <f t="shared" si="51"/>
        <v>3.2876712328767124E-4</v>
      </c>
      <c r="M525" s="253">
        <f t="shared" si="52"/>
        <v>234.39002630136986</v>
      </c>
    </row>
    <row r="526" spans="2:13" hidden="1" outlineLevel="1" x14ac:dyDescent="0.25">
      <c r="B526" s="251">
        <f t="shared" si="53"/>
        <v>45893</v>
      </c>
      <c r="C526" s="252" t="str">
        <f t="shared" si="48"/>
        <v>Aug</v>
      </c>
      <c r="D526" s="252" t="str">
        <f t="shared" si="49"/>
        <v>2025</v>
      </c>
      <c r="E526" s="253"/>
      <c r="F526" s="254"/>
      <c r="G526" s="254"/>
      <c r="H526" s="254"/>
      <c r="I526" s="254"/>
      <c r="J526" s="254"/>
      <c r="K526" s="253">
        <f t="shared" si="50"/>
        <v>712936.33</v>
      </c>
      <c r="L526" s="255">
        <f t="shared" si="51"/>
        <v>3.2876712328767124E-4</v>
      </c>
      <c r="M526" s="253">
        <f t="shared" si="52"/>
        <v>234.39002630136986</v>
      </c>
    </row>
    <row r="527" spans="2:13" hidden="1" outlineLevel="1" x14ac:dyDescent="0.25">
      <c r="B527" s="251">
        <f t="shared" si="53"/>
        <v>45894</v>
      </c>
      <c r="C527" s="252" t="str">
        <f t="shared" si="48"/>
        <v>Aug</v>
      </c>
      <c r="D527" s="252" t="str">
        <f t="shared" si="49"/>
        <v>2025</v>
      </c>
      <c r="E527" s="253"/>
      <c r="F527" s="254"/>
      <c r="G527" s="254"/>
      <c r="H527" s="254"/>
      <c r="I527" s="254"/>
      <c r="J527" s="254"/>
      <c r="K527" s="253">
        <f t="shared" si="50"/>
        <v>712936.33</v>
      </c>
      <c r="L527" s="255">
        <f t="shared" si="51"/>
        <v>3.2876712328767124E-4</v>
      </c>
      <c r="M527" s="253">
        <f t="shared" si="52"/>
        <v>234.39002630136986</v>
      </c>
    </row>
    <row r="528" spans="2:13" hidden="1" outlineLevel="1" x14ac:dyDescent="0.25">
      <c r="B528" s="251">
        <f t="shared" si="53"/>
        <v>45895</v>
      </c>
      <c r="C528" s="252" t="str">
        <f t="shared" si="48"/>
        <v>Aug</v>
      </c>
      <c r="D528" s="252" t="str">
        <f t="shared" si="49"/>
        <v>2025</v>
      </c>
      <c r="E528" s="253"/>
      <c r="F528" s="254"/>
      <c r="G528" s="254"/>
      <c r="H528" s="254"/>
      <c r="I528" s="254"/>
      <c r="J528" s="254"/>
      <c r="K528" s="253">
        <f t="shared" si="50"/>
        <v>712936.33</v>
      </c>
      <c r="L528" s="255">
        <f t="shared" si="51"/>
        <v>3.2876712328767124E-4</v>
      </c>
      <c r="M528" s="253">
        <f t="shared" si="52"/>
        <v>234.39002630136986</v>
      </c>
    </row>
    <row r="529" spans="2:13" hidden="1" outlineLevel="1" x14ac:dyDescent="0.25">
      <c r="B529" s="251">
        <f t="shared" si="53"/>
        <v>45896</v>
      </c>
      <c r="C529" s="252" t="str">
        <f t="shared" si="48"/>
        <v>Aug</v>
      </c>
      <c r="D529" s="252" t="str">
        <f t="shared" si="49"/>
        <v>2025</v>
      </c>
      <c r="E529" s="253">
        <v>-12500</v>
      </c>
      <c r="F529" s="254" t="s">
        <v>480</v>
      </c>
      <c r="G529" s="254"/>
      <c r="H529" s="254" t="s">
        <v>911</v>
      </c>
      <c r="I529" s="254" t="s">
        <v>929</v>
      </c>
      <c r="J529" s="254" t="s">
        <v>54</v>
      </c>
      <c r="K529" s="253">
        <f t="shared" si="50"/>
        <v>700436.33</v>
      </c>
      <c r="L529" s="255">
        <f t="shared" si="51"/>
        <v>3.2876712328767124E-4</v>
      </c>
      <c r="M529" s="253">
        <f t="shared" si="52"/>
        <v>230.28043726027397</v>
      </c>
    </row>
    <row r="530" spans="2:13" hidden="1" outlineLevel="1" x14ac:dyDescent="0.25">
      <c r="B530" s="251">
        <f t="shared" si="53"/>
        <v>45897</v>
      </c>
      <c r="C530" s="252" t="str">
        <f t="shared" si="48"/>
        <v>Aug</v>
      </c>
      <c r="D530" s="252" t="str">
        <f t="shared" si="49"/>
        <v>2025</v>
      </c>
      <c r="E530" s="253"/>
      <c r="F530" s="254"/>
      <c r="G530" s="254"/>
      <c r="H530" s="254"/>
      <c r="I530" s="254"/>
      <c r="J530" s="254"/>
      <c r="K530" s="253">
        <f t="shared" si="50"/>
        <v>700436.33</v>
      </c>
      <c r="L530" s="255">
        <f t="shared" si="51"/>
        <v>3.2876712328767124E-4</v>
      </c>
      <c r="M530" s="253">
        <f t="shared" si="52"/>
        <v>230.28043726027397</v>
      </c>
    </row>
    <row r="531" spans="2:13" hidden="1" outlineLevel="1" x14ac:dyDescent="0.25">
      <c r="B531" s="251">
        <f t="shared" si="53"/>
        <v>45898</v>
      </c>
      <c r="C531" s="252" t="str">
        <f t="shared" si="48"/>
        <v>Aug</v>
      </c>
      <c r="D531" s="252" t="str">
        <f t="shared" si="49"/>
        <v>2025</v>
      </c>
      <c r="E531" s="253"/>
      <c r="F531" s="254"/>
      <c r="G531" s="254"/>
      <c r="H531" s="254"/>
      <c r="I531" s="254"/>
      <c r="J531" s="254"/>
      <c r="K531" s="253">
        <f t="shared" si="50"/>
        <v>700436.33</v>
      </c>
      <c r="L531" s="255">
        <f t="shared" si="51"/>
        <v>3.2876712328767124E-4</v>
      </c>
      <c r="M531" s="253">
        <f t="shared" si="52"/>
        <v>230.28043726027397</v>
      </c>
    </row>
    <row r="532" spans="2:13" hidden="1" outlineLevel="1" x14ac:dyDescent="0.25">
      <c r="B532" s="251">
        <f t="shared" si="53"/>
        <v>45899</v>
      </c>
      <c r="C532" s="252" t="str">
        <f t="shared" si="48"/>
        <v>Aug</v>
      </c>
      <c r="D532" s="252" t="str">
        <f t="shared" si="49"/>
        <v>2025</v>
      </c>
      <c r="E532" s="253"/>
      <c r="F532" s="254"/>
      <c r="G532" s="254"/>
      <c r="H532" s="254"/>
      <c r="I532" s="254"/>
      <c r="J532" s="254"/>
      <c r="K532" s="253">
        <f t="shared" si="50"/>
        <v>700436.33</v>
      </c>
      <c r="L532" s="255">
        <f t="shared" si="51"/>
        <v>3.2876712328767124E-4</v>
      </c>
      <c r="M532" s="253">
        <f t="shared" si="52"/>
        <v>230.28043726027397</v>
      </c>
    </row>
    <row r="533" spans="2:13" collapsed="1" x14ac:dyDescent="0.25">
      <c r="B533" s="251">
        <f t="shared" si="53"/>
        <v>45900</v>
      </c>
      <c r="C533" s="252" t="str">
        <f t="shared" si="48"/>
        <v>Aug</v>
      </c>
      <c r="D533" s="252" t="str">
        <f t="shared" si="49"/>
        <v>2025</v>
      </c>
      <c r="E533" s="253"/>
      <c r="F533" s="254"/>
      <c r="G533" s="254"/>
      <c r="H533" s="254"/>
      <c r="I533" s="254"/>
      <c r="J533" s="254"/>
      <c r="K533" s="253">
        <f t="shared" si="50"/>
        <v>700436.33</v>
      </c>
      <c r="L533" s="255">
        <f t="shared" si="51"/>
        <v>3.2876712328767124E-4</v>
      </c>
      <c r="M533" s="253">
        <f t="shared" si="52"/>
        <v>230.28043726027397</v>
      </c>
    </row>
    <row r="534" spans="2:13" hidden="1" outlineLevel="1" x14ac:dyDescent="0.25">
      <c r="B534" s="251">
        <f t="shared" si="53"/>
        <v>45901</v>
      </c>
      <c r="C534" s="252" t="str">
        <f t="shared" si="48"/>
        <v>Sep</v>
      </c>
      <c r="D534" s="252" t="str">
        <f t="shared" si="49"/>
        <v>2025</v>
      </c>
      <c r="E534" s="253"/>
      <c r="F534" s="254"/>
      <c r="G534" s="254"/>
      <c r="H534" s="254"/>
      <c r="I534" s="254"/>
      <c r="J534" s="254"/>
      <c r="K534" s="253">
        <f t="shared" ref="K534:K563" si="54">K533+E534</f>
        <v>700436.33</v>
      </c>
      <c r="L534" s="255">
        <f t="shared" si="51"/>
        <v>3.2876712328767124E-4</v>
      </c>
      <c r="M534" s="253">
        <f t="shared" ref="M534:M563" si="55">K534*L534</f>
        <v>230.28043726027397</v>
      </c>
    </row>
    <row r="535" spans="2:13" hidden="1" outlineLevel="1" x14ac:dyDescent="0.25">
      <c r="B535" s="251">
        <f t="shared" si="53"/>
        <v>45902</v>
      </c>
      <c r="C535" s="252" t="str">
        <f t="shared" si="48"/>
        <v>Sep</v>
      </c>
      <c r="D535" s="252" t="str">
        <f t="shared" si="49"/>
        <v>2025</v>
      </c>
      <c r="E535" s="253"/>
      <c r="F535" s="254"/>
      <c r="G535" s="254"/>
      <c r="H535" s="254"/>
      <c r="I535" s="254"/>
      <c r="J535" s="254"/>
      <c r="K535" s="253">
        <f t="shared" si="54"/>
        <v>700436.33</v>
      </c>
      <c r="L535" s="255">
        <f t="shared" si="51"/>
        <v>3.2876712328767124E-4</v>
      </c>
      <c r="M535" s="253">
        <f t="shared" si="55"/>
        <v>230.28043726027397</v>
      </c>
    </row>
    <row r="536" spans="2:13" hidden="1" outlineLevel="1" x14ac:dyDescent="0.25">
      <c r="B536" s="251">
        <f t="shared" si="53"/>
        <v>45903</v>
      </c>
      <c r="C536" s="252" t="str">
        <f t="shared" si="48"/>
        <v>Sep</v>
      </c>
      <c r="D536" s="252" t="str">
        <f t="shared" si="49"/>
        <v>2025</v>
      </c>
      <c r="E536" s="253"/>
      <c r="F536" s="254"/>
      <c r="G536" s="254"/>
      <c r="H536" s="254"/>
      <c r="I536" s="254"/>
      <c r="J536" s="254"/>
      <c r="K536" s="253">
        <f t="shared" si="54"/>
        <v>700436.33</v>
      </c>
      <c r="L536" s="255">
        <f t="shared" si="51"/>
        <v>3.2876712328767124E-4</v>
      </c>
      <c r="M536" s="253">
        <f t="shared" si="55"/>
        <v>230.28043726027397</v>
      </c>
    </row>
    <row r="537" spans="2:13" hidden="1" outlineLevel="1" x14ac:dyDescent="0.25">
      <c r="B537" s="251">
        <f t="shared" si="53"/>
        <v>45904</v>
      </c>
      <c r="C537" s="252" t="str">
        <f t="shared" si="48"/>
        <v>Sep</v>
      </c>
      <c r="D537" s="252" t="str">
        <f t="shared" si="49"/>
        <v>2025</v>
      </c>
      <c r="E537" s="253"/>
      <c r="F537" s="254"/>
      <c r="G537" s="254"/>
      <c r="H537" s="254"/>
      <c r="I537" s="254"/>
      <c r="J537" s="254"/>
      <c r="K537" s="253">
        <f t="shared" si="54"/>
        <v>700436.33</v>
      </c>
      <c r="L537" s="255">
        <f t="shared" si="51"/>
        <v>3.2876712328767124E-4</v>
      </c>
      <c r="M537" s="253">
        <f t="shared" si="55"/>
        <v>230.28043726027397</v>
      </c>
    </row>
    <row r="538" spans="2:13" hidden="1" outlineLevel="1" x14ac:dyDescent="0.25">
      <c r="B538" s="251">
        <f t="shared" si="53"/>
        <v>45905</v>
      </c>
      <c r="C538" s="252" t="str">
        <f t="shared" si="48"/>
        <v>Sep</v>
      </c>
      <c r="D538" s="252" t="str">
        <f t="shared" si="49"/>
        <v>2025</v>
      </c>
      <c r="E538" s="253"/>
      <c r="F538" s="254"/>
      <c r="G538" s="254"/>
      <c r="H538" s="254"/>
      <c r="I538" s="254"/>
      <c r="J538" s="254"/>
      <c r="K538" s="253">
        <f t="shared" si="54"/>
        <v>700436.33</v>
      </c>
      <c r="L538" s="255">
        <f t="shared" si="51"/>
        <v>3.2876712328767124E-4</v>
      </c>
      <c r="M538" s="253">
        <f t="shared" si="55"/>
        <v>230.28043726027397</v>
      </c>
    </row>
    <row r="539" spans="2:13" hidden="1" outlineLevel="1" x14ac:dyDescent="0.25">
      <c r="B539" s="251">
        <f t="shared" si="53"/>
        <v>45906</v>
      </c>
      <c r="C539" s="252" t="str">
        <f t="shared" si="48"/>
        <v>Sep</v>
      </c>
      <c r="D539" s="252" t="str">
        <f t="shared" si="49"/>
        <v>2025</v>
      </c>
      <c r="E539" s="253"/>
      <c r="F539" s="254"/>
      <c r="G539" s="254"/>
      <c r="H539" s="254"/>
      <c r="I539" s="254"/>
      <c r="J539" s="254"/>
      <c r="K539" s="253">
        <f t="shared" si="54"/>
        <v>700436.33</v>
      </c>
      <c r="L539" s="255">
        <f t="shared" si="51"/>
        <v>3.2876712328767124E-4</v>
      </c>
      <c r="M539" s="253">
        <f t="shared" si="55"/>
        <v>230.28043726027397</v>
      </c>
    </row>
    <row r="540" spans="2:13" hidden="1" outlineLevel="1" x14ac:dyDescent="0.25">
      <c r="B540" s="251">
        <f t="shared" si="53"/>
        <v>45907</v>
      </c>
      <c r="C540" s="252" t="str">
        <f t="shared" si="48"/>
        <v>Sep</v>
      </c>
      <c r="D540" s="252" t="str">
        <f t="shared" si="49"/>
        <v>2025</v>
      </c>
      <c r="E540" s="253"/>
      <c r="F540" s="254"/>
      <c r="G540" s="254"/>
      <c r="H540" s="254"/>
      <c r="I540" s="254"/>
      <c r="J540" s="254"/>
      <c r="K540" s="253">
        <f t="shared" si="54"/>
        <v>700436.33</v>
      </c>
      <c r="L540" s="255">
        <f t="shared" si="51"/>
        <v>3.2876712328767124E-4</v>
      </c>
      <c r="M540" s="253">
        <f t="shared" si="55"/>
        <v>230.28043726027397</v>
      </c>
    </row>
    <row r="541" spans="2:13" hidden="1" outlineLevel="1" x14ac:dyDescent="0.25">
      <c r="B541" s="251">
        <f t="shared" si="53"/>
        <v>45908</v>
      </c>
      <c r="C541" s="252" t="str">
        <f t="shared" si="48"/>
        <v>Sep</v>
      </c>
      <c r="D541" s="252" t="str">
        <f t="shared" si="49"/>
        <v>2025</v>
      </c>
      <c r="E541" s="253"/>
      <c r="F541" s="254"/>
      <c r="G541" s="254"/>
      <c r="H541" s="254"/>
      <c r="I541" s="254"/>
      <c r="J541" s="254"/>
      <c r="K541" s="253">
        <f t="shared" si="54"/>
        <v>700436.33</v>
      </c>
      <c r="L541" s="255">
        <f t="shared" si="51"/>
        <v>3.2876712328767124E-4</v>
      </c>
      <c r="M541" s="253">
        <f t="shared" si="55"/>
        <v>230.28043726027397</v>
      </c>
    </row>
    <row r="542" spans="2:13" hidden="1" outlineLevel="1" x14ac:dyDescent="0.25">
      <c r="B542" s="251">
        <f t="shared" si="53"/>
        <v>45909</v>
      </c>
      <c r="C542" s="252" t="str">
        <f t="shared" si="48"/>
        <v>Sep</v>
      </c>
      <c r="D542" s="252" t="str">
        <f t="shared" si="49"/>
        <v>2025</v>
      </c>
      <c r="E542" s="253">
        <v>5000</v>
      </c>
      <c r="F542" s="254" t="s">
        <v>728</v>
      </c>
      <c r="G542" s="254"/>
      <c r="H542" s="254"/>
      <c r="I542" s="254" t="s">
        <v>934</v>
      </c>
      <c r="J542" s="254"/>
      <c r="K542" s="253">
        <f t="shared" si="54"/>
        <v>705436.33</v>
      </c>
      <c r="L542" s="255">
        <f t="shared" si="51"/>
        <v>3.2876712328767124E-4</v>
      </c>
      <c r="M542" s="253">
        <f t="shared" si="55"/>
        <v>231.92427287671231</v>
      </c>
    </row>
    <row r="543" spans="2:13" hidden="1" outlineLevel="1" x14ac:dyDescent="0.25">
      <c r="B543" s="251">
        <f t="shared" si="53"/>
        <v>45910</v>
      </c>
      <c r="C543" s="252" t="str">
        <f t="shared" si="48"/>
        <v>Sep</v>
      </c>
      <c r="D543" s="252" t="str">
        <f t="shared" si="49"/>
        <v>2025</v>
      </c>
      <c r="E543" s="253"/>
      <c r="F543" s="254"/>
      <c r="G543" s="254"/>
      <c r="H543" s="254"/>
      <c r="I543" s="254"/>
      <c r="J543" s="254"/>
      <c r="K543" s="253">
        <f t="shared" si="54"/>
        <v>705436.33</v>
      </c>
      <c r="L543" s="255">
        <f t="shared" si="51"/>
        <v>3.2876712328767124E-4</v>
      </c>
      <c r="M543" s="253">
        <f t="shared" si="55"/>
        <v>231.92427287671231</v>
      </c>
    </row>
    <row r="544" spans="2:13" hidden="1" outlineLevel="1" x14ac:dyDescent="0.25">
      <c r="B544" s="251">
        <f t="shared" si="53"/>
        <v>45911</v>
      </c>
      <c r="C544" s="252" t="str">
        <f t="shared" si="48"/>
        <v>Sep</v>
      </c>
      <c r="D544" s="252" t="str">
        <f t="shared" si="49"/>
        <v>2025</v>
      </c>
      <c r="E544" s="253"/>
      <c r="F544" s="254"/>
      <c r="G544" s="254"/>
      <c r="H544" s="254"/>
      <c r="I544" s="254"/>
      <c r="J544" s="254"/>
      <c r="K544" s="253">
        <f t="shared" si="54"/>
        <v>705436.33</v>
      </c>
      <c r="L544" s="255">
        <f t="shared" si="51"/>
        <v>3.2876712328767124E-4</v>
      </c>
      <c r="M544" s="253">
        <f t="shared" si="55"/>
        <v>231.92427287671231</v>
      </c>
    </row>
    <row r="545" spans="2:13" hidden="1" outlineLevel="1" x14ac:dyDescent="0.25">
      <c r="B545" s="251">
        <f t="shared" si="53"/>
        <v>45912</v>
      </c>
      <c r="C545" s="252" t="str">
        <f t="shared" si="48"/>
        <v>Sep</v>
      </c>
      <c r="D545" s="252" t="str">
        <f t="shared" si="49"/>
        <v>2025</v>
      </c>
      <c r="E545" s="253"/>
      <c r="F545" s="254"/>
      <c r="G545" s="254"/>
      <c r="H545" s="254"/>
      <c r="I545" s="254"/>
      <c r="J545" s="254"/>
      <c r="K545" s="253">
        <f t="shared" si="54"/>
        <v>705436.33</v>
      </c>
      <c r="L545" s="255">
        <f t="shared" si="51"/>
        <v>3.2876712328767124E-4</v>
      </c>
      <c r="M545" s="253">
        <f t="shared" si="55"/>
        <v>231.92427287671231</v>
      </c>
    </row>
    <row r="546" spans="2:13" hidden="1" outlineLevel="1" x14ac:dyDescent="0.25">
      <c r="B546" s="251">
        <f t="shared" si="53"/>
        <v>45913</v>
      </c>
      <c r="C546" s="252" t="str">
        <f t="shared" si="48"/>
        <v>Sep</v>
      </c>
      <c r="D546" s="252" t="str">
        <f t="shared" si="49"/>
        <v>2025</v>
      </c>
      <c r="E546" s="253"/>
      <c r="F546" s="254"/>
      <c r="G546" s="254"/>
      <c r="H546" s="254"/>
      <c r="I546" s="254"/>
      <c r="J546" s="254"/>
      <c r="K546" s="253">
        <f t="shared" si="54"/>
        <v>705436.33</v>
      </c>
      <c r="L546" s="255">
        <f t="shared" si="51"/>
        <v>3.2876712328767124E-4</v>
      </c>
      <c r="M546" s="253">
        <f t="shared" si="55"/>
        <v>231.92427287671231</v>
      </c>
    </row>
    <row r="547" spans="2:13" hidden="1" outlineLevel="1" x14ac:dyDescent="0.25">
      <c r="B547" s="251">
        <f t="shared" si="53"/>
        <v>45914</v>
      </c>
      <c r="C547" s="252" t="str">
        <f t="shared" si="48"/>
        <v>Sep</v>
      </c>
      <c r="D547" s="252" t="str">
        <f t="shared" si="49"/>
        <v>2025</v>
      </c>
      <c r="E547" s="253"/>
      <c r="F547" s="254"/>
      <c r="G547" s="254"/>
      <c r="H547" s="254"/>
      <c r="I547" s="254"/>
      <c r="J547" s="254"/>
      <c r="K547" s="253">
        <f t="shared" si="54"/>
        <v>705436.33</v>
      </c>
      <c r="L547" s="255">
        <f t="shared" si="51"/>
        <v>3.2876712328767124E-4</v>
      </c>
      <c r="M547" s="253">
        <f t="shared" si="55"/>
        <v>231.92427287671231</v>
      </c>
    </row>
    <row r="548" spans="2:13" hidden="1" outlineLevel="1" x14ac:dyDescent="0.25">
      <c r="B548" s="251">
        <f t="shared" si="53"/>
        <v>45915</v>
      </c>
      <c r="C548" s="252" t="str">
        <f t="shared" si="48"/>
        <v>Sep</v>
      </c>
      <c r="D548" s="252" t="str">
        <f t="shared" si="49"/>
        <v>2025</v>
      </c>
      <c r="E548" s="253"/>
      <c r="F548" s="254"/>
      <c r="G548" s="254"/>
      <c r="H548" s="254"/>
      <c r="I548" s="254"/>
      <c r="J548" s="254"/>
      <c r="K548" s="253">
        <f t="shared" si="54"/>
        <v>705436.33</v>
      </c>
      <c r="L548" s="255">
        <f t="shared" si="51"/>
        <v>3.2876712328767124E-4</v>
      </c>
      <c r="M548" s="253">
        <f t="shared" si="55"/>
        <v>231.92427287671231</v>
      </c>
    </row>
    <row r="549" spans="2:13" hidden="1" outlineLevel="1" x14ac:dyDescent="0.25">
      <c r="B549" s="251">
        <f t="shared" si="53"/>
        <v>45916</v>
      </c>
      <c r="C549" s="252" t="str">
        <f t="shared" si="48"/>
        <v>Sep</v>
      </c>
      <c r="D549" s="252" t="str">
        <f t="shared" si="49"/>
        <v>2025</v>
      </c>
      <c r="E549" s="253"/>
      <c r="F549" s="254"/>
      <c r="G549" s="254"/>
      <c r="H549" s="254"/>
      <c r="I549" s="254"/>
      <c r="J549" s="254"/>
      <c r="K549" s="253">
        <f t="shared" si="54"/>
        <v>705436.33</v>
      </c>
      <c r="L549" s="255">
        <f t="shared" si="51"/>
        <v>3.2876712328767124E-4</v>
      </c>
      <c r="M549" s="253">
        <f t="shared" si="55"/>
        <v>231.92427287671231</v>
      </c>
    </row>
    <row r="550" spans="2:13" hidden="1" outlineLevel="1" x14ac:dyDescent="0.25">
      <c r="B550" s="251">
        <f t="shared" si="53"/>
        <v>45917</v>
      </c>
      <c r="C550" s="252" t="str">
        <f t="shared" si="48"/>
        <v>Sep</v>
      </c>
      <c r="D550" s="252" t="str">
        <f t="shared" si="49"/>
        <v>2025</v>
      </c>
      <c r="E550" s="253"/>
      <c r="F550" s="254"/>
      <c r="G550" s="254"/>
      <c r="H550" s="254"/>
      <c r="I550" s="254"/>
      <c r="J550" s="254"/>
      <c r="K550" s="253">
        <f t="shared" si="54"/>
        <v>705436.33</v>
      </c>
      <c r="L550" s="255">
        <f t="shared" si="51"/>
        <v>3.2876712328767124E-4</v>
      </c>
      <c r="M550" s="253">
        <f t="shared" si="55"/>
        <v>231.92427287671231</v>
      </c>
    </row>
    <row r="551" spans="2:13" hidden="1" outlineLevel="1" x14ac:dyDescent="0.25">
      <c r="B551" s="251">
        <f t="shared" si="53"/>
        <v>45918</v>
      </c>
      <c r="C551" s="252" t="str">
        <f t="shared" si="48"/>
        <v>Sep</v>
      </c>
      <c r="D551" s="252" t="str">
        <f t="shared" si="49"/>
        <v>2025</v>
      </c>
      <c r="E551" s="253">
        <v>-12500</v>
      </c>
      <c r="F551" s="254" t="s">
        <v>480</v>
      </c>
      <c r="G551" s="254"/>
      <c r="H551" s="254" t="s">
        <v>911</v>
      </c>
      <c r="I551" s="254" t="s">
        <v>929</v>
      </c>
      <c r="J551" s="254" t="s">
        <v>935</v>
      </c>
      <c r="K551" s="253">
        <f t="shared" si="54"/>
        <v>692936.33</v>
      </c>
      <c r="L551" s="255">
        <f t="shared" si="51"/>
        <v>3.2876712328767124E-4</v>
      </c>
      <c r="M551" s="253">
        <f t="shared" si="55"/>
        <v>227.81468383561642</v>
      </c>
    </row>
    <row r="552" spans="2:13" hidden="1" outlineLevel="1" x14ac:dyDescent="0.25">
      <c r="B552" s="251">
        <f t="shared" si="53"/>
        <v>45919</v>
      </c>
      <c r="C552" s="252" t="str">
        <f t="shared" si="48"/>
        <v>Sep</v>
      </c>
      <c r="D552" s="252" t="str">
        <f t="shared" si="49"/>
        <v>2025</v>
      </c>
      <c r="E552" s="253"/>
      <c r="F552" s="254"/>
      <c r="G552" s="254"/>
      <c r="H552" s="254"/>
      <c r="I552" s="254"/>
      <c r="J552" s="254"/>
      <c r="K552" s="253">
        <f t="shared" si="54"/>
        <v>692936.33</v>
      </c>
      <c r="L552" s="255">
        <f t="shared" si="51"/>
        <v>3.2876712328767124E-4</v>
      </c>
      <c r="M552" s="253">
        <f t="shared" si="55"/>
        <v>227.81468383561642</v>
      </c>
    </row>
    <row r="553" spans="2:13" hidden="1" outlineLevel="1" x14ac:dyDescent="0.25">
      <c r="B553" s="251">
        <f t="shared" si="53"/>
        <v>45920</v>
      </c>
      <c r="C553" s="252" t="str">
        <f t="shared" si="48"/>
        <v>Sep</v>
      </c>
      <c r="D553" s="252" t="str">
        <f t="shared" si="49"/>
        <v>2025</v>
      </c>
      <c r="E553" s="253"/>
      <c r="F553" s="254"/>
      <c r="G553" s="254"/>
      <c r="H553" s="254"/>
      <c r="I553" s="254"/>
      <c r="J553" s="254"/>
      <c r="K553" s="253">
        <f t="shared" si="54"/>
        <v>692936.33</v>
      </c>
      <c r="L553" s="255">
        <f t="shared" si="51"/>
        <v>3.2876712328767124E-4</v>
      </c>
      <c r="M553" s="253">
        <f t="shared" si="55"/>
        <v>227.81468383561642</v>
      </c>
    </row>
    <row r="554" spans="2:13" hidden="1" outlineLevel="1" x14ac:dyDescent="0.25">
      <c r="B554" s="251">
        <f t="shared" si="53"/>
        <v>45921</v>
      </c>
      <c r="C554" s="252" t="str">
        <f t="shared" si="48"/>
        <v>Sep</v>
      </c>
      <c r="D554" s="252" t="str">
        <f t="shared" si="49"/>
        <v>2025</v>
      </c>
      <c r="E554" s="253"/>
      <c r="F554" s="254"/>
      <c r="G554" s="254"/>
      <c r="H554" s="254"/>
      <c r="I554" s="254"/>
      <c r="J554" s="254"/>
      <c r="K554" s="253">
        <f t="shared" si="54"/>
        <v>692936.33</v>
      </c>
      <c r="L554" s="255">
        <f t="shared" si="51"/>
        <v>3.2876712328767124E-4</v>
      </c>
      <c r="M554" s="253">
        <f t="shared" si="55"/>
        <v>227.81468383561642</v>
      </c>
    </row>
    <row r="555" spans="2:13" hidden="1" outlineLevel="1" x14ac:dyDescent="0.25">
      <c r="B555" s="251">
        <f t="shared" si="53"/>
        <v>45922</v>
      </c>
      <c r="C555" s="252" t="str">
        <f t="shared" si="48"/>
        <v>Sep</v>
      </c>
      <c r="D555" s="252" t="str">
        <f t="shared" si="49"/>
        <v>2025</v>
      </c>
      <c r="E555" s="253"/>
      <c r="F555" s="254"/>
      <c r="G555" s="254"/>
      <c r="H555" s="254"/>
      <c r="I555" s="254"/>
      <c r="J555" s="254"/>
      <c r="K555" s="253">
        <f t="shared" si="54"/>
        <v>692936.33</v>
      </c>
      <c r="L555" s="255">
        <f t="shared" si="51"/>
        <v>3.2876712328767124E-4</v>
      </c>
      <c r="M555" s="253">
        <f t="shared" si="55"/>
        <v>227.81468383561642</v>
      </c>
    </row>
    <row r="556" spans="2:13" hidden="1" outlineLevel="1" x14ac:dyDescent="0.25">
      <c r="B556" s="251">
        <f t="shared" si="53"/>
        <v>45923</v>
      </c>
      <c r="C556" s="252" t="str">
        <f t="shared" si="48"/>
        <v>Sep</v>
      </c>
      <c r="D556" s="252" t="str">
        <f t="shared" si="49"/>
        <v>2025</v>
      </c>
      <c r="E556" s="253"/>
      <c r="F556" s="254"/>
      <c r="G556" s="254"/>
      <c r="H556" s="254"/>
      <c r="I556" s="254"/>
      <c r="J556" s="254"/>
      <c r="K556" s="253">
        <f t="shared" si="54"/>
        <v>692936.33</v>
      </c>
      <c r="L556" s="255">
        <f t="shared" si="51"/>
        <v>3.2876712328767124E-4</v>
      </c>
      <c r="M556" s="253">
        <f t="shared" si="55"/>
        <v>227.81468383561642</v>
      </c>
    </row>
    <row r="557" spans="2:13" hidden="1" outlineLevel="1" x14ac:dyDescent="0.25">
      <c r="B557" s="251">
        <f t="shared" si="53"/>
        <v>45924</v>
      </c>
      <c r="C557" s="252" t="str">
        <f t="shared" si="48"/>
        <v>Sep</v>
      </c>
      <c r="D557" s="252" t="str">
        <f t="shared" si="49"/>
        <v>2025</v>
      </c>
      <c r="E557" s="253">
        <v>-12500</v>
      </c>
      <c r="F557" s="254" t="s">
        <v>480</v>
      </c>
      <c r="G557" s="254"/>
      <c r="H557" s="254" t="s">
        <v>911</v>
      </c>
      <c r="I557" s="254" t="s">
        <v>929</v>
      </c>
      <c r="J557" s="254" t="s">
        <v>935</v>
      </c>
      <c r="K557" s="253">
        <f t="shared" si="54"/>
        <v>680436.33</v>
      </c>
      <c r="L557" s="255">
        <f t="shared" si="51"/>
        <v>3.2876712328767124E-4</v>
      </c>
      <c r="M557" s="253">
        <f t="shared" si="55"/>
        <v>223.70509479452053</v>
      </c>
    </row>
    <row r="558" spans="2:13" hidden="1" outlineLevel="1" x14ac:dyDescent="0.25">
      <c r="B558" s="251">
        <f t="shared" si="53"/>
        <v>45925</v>
      </c>
      <c r="C558" s="252" t="str">
        <f t="shared" si="48"/>
        <v>Sep</v>
      </c>
      <c r="D558" s="252" t="str">
        <f t="shared" si="49"/>
        <v>2025</v>
      </c>
      <c r="E558" s="253"/>
      <c r="F558" s="254"/>
      <c r="G558" s="254"/>
      <c r="H558" s="254"/>
      <c r="I558" s="254"/>
      <c r="J558" s="254"/>
      <c r="K558" s="253">
        <f t="shared" si="54"/>
        <v>680436.33</v>
      </c>
      <c r="L558" s="255">
        <f t="shared" si="51"/>
        <v>3.2876712328767124E-4</v>
      </c>
      <c r="M558" s="253">
        <f t="shared" si="55"/>
        <v>223.70509479452053</v>
      </c>
    </row>
    <row r="559" spans="2:13" hidden="1" outlineLevel="1" x14ac:dyDescent="0.25">
      <c r="B559" s="251">
        <f t="shared" si="53"/>
        <v>45926</v>
      </c>
      <c r="C559" s="252" t="str">
        <f t="shared" si="48"/>
        <v>Sep</v>
      </c>
      <c r="D559" s="252" t="str">
        <f t="shared" si="49"/>
        <v>2025</v>
      </c>
      <c r="E559" s="253"/>
      <c r="F559" s="254"/>
      <c r="G559" s="254"/>
      <c r="H559" s="254"/>
      <c r="I559" s="254"/>
      <c r="J559" s="254"/>
      <c r="K559" s="253">
        <f t="shared" si="54"/>
        <v>680436.33</v>
      </c>
      <c r="L559" s="255">
        <f t="shared" si="51"/>
        <v>3.2876712328767124E-4</v>
      </c>
      <c r="M559" s="253">
        <f t="shared" si="55"/>
        <v>223.70509479452053</v>
      </c>
    </row>
    <row r="560" spans="2:13" hidden="1" outlineLevel="1" x14ac:dyDescent="0.25">
      <c r="B560" s="251">
        <f t="shared" si="53"/>
        <v>45927</v>
      </c>
      <c r="C560" s="252" t="str">
        <f t="shared" si="48"/>
        <v>Sep</v>
      </c>
      <c r="D560" s="252" t="str">
        <f t="shared" si="49"/>
        <v>2025</v>
      </c>
      <c r="E560" s="253"/>
      <c r="F560" s="254"/>
      <c r="G560" s="254"/>
      <c r="H560" s="254"/>
      <c r="I560" s="254"/>
      <c r="J560" s="254"/>
      <c r="K560" s="253">
        <f t="shared" si="54"/>
        <v>680436.33</v>
      </c>
      <c r="L560" s="255">
        <f t="shared" si="51"/>
        <v>3.2876712328767124E-4</v>
      </c>
      <c r="M560" s="253">
        <f t="shared" si="55"/>
        <v>223.70509479452053</v>
      </c>
    </row>
    <row r="561" spans="2:13" hidden="1" outlineLevel="1" x14ac:dyDescent="0.25">
      <c r="B561" s="251">
        <f t="shared" si="53"/>
        <v>45928</v>
      </c>
      <c r="C561" s="252" t="str">
        <f t="shared" si="48"/>
        <v>Sep</v>
      </c>
      <c r="D561" s="252" t="str">
        <f t="shared" si="49"/>
        <v>2025</v>
      </c>
      <c r="E561" s="253"/>
      <c r="F561" s="254"/>
      <c r="G561" s="254"/>
      <c r="H561" s="254"/>
      <c r="I561" s="254"/>
      <c r="J561" s="254"/>
      <c r="K561" s="253">
        <f t="shared" si="54"/>
        <v>680436.33</v>
      </c>
      <c r="L561" s="255">
        <f t="shared" si="51"/>
        <v>3.2876712328767124E-4</v>
      </c>
      <c r="M561" s="253">
        <f t="shared" si="55"/>
        <v>223.70509479452053</v>
      </c>
    </row>
    <row r="562" spans="2:13" hidden="1" outlineLevel="1" x14ac:dyDescent="0.25">
      <c r="B562" s="251">
        <f t="shared" si="53"/>
        <v>45929</v>
      </c>
      <c r="C562" s="252" t="str">
        <f t="shared" si="48"/>
        <v>Sep</v>
      </c>
      <c r="D562" s="252" t="str">
        <f t="shared" si="49"/>
        <v>2025</v>
      </c>
      <c r="E562" s="253"/>
      <c r="F562" s="254"/>
      <c r="G562" s="254"/>
      <c r="H562" s="254"/>
      <c r="I562" s="254"/>
      <c r="J562" s="254"/>
      <c r="K562" s="253">
        <f t="shared" si="54"/>
        <v>680436.33</v>
      </c>
      <c r="L562" s="255">
        <f t="shared" si="51"/>
        <v>3.2876712328767124E-4</v>
      </c>
      <c r="M562" s="253">
        <f t="shared" si="55"/>
        <v>223.70509479452053</v>
      </c>
    </row>
    <row r="563" spans="2:13" collapsed="1" x14ac:dyDescent="0.25">
      <c r="B563" s="251">
        <f t="shared" si="53"/>
        <v>45930</v>
      </c>
      <c r="C563" s="252" t="str">
        <f t="shared" si="48"/>
        <v>Sep</v>
      </c>
      <c r="D563" s="252" t="str">
        <f t="shared" si="49"/>
        <v>2025</v>
      </c>
      <c r="E563" s="253"/>
      <c r="F563" s="254"/>
      <c r="G563" s="254"/>
      <c r="H563" s="254"/>
      <c r="I563" s="254"/>
      <c r="J563" s="254"/>
      <c r="K563" s="253">
        <f t="shared" si="54"/>
        <v>680436.33</v>
      </c>
      <c r="L563" s="255">
        <f t="shared" si="51"/>
        <v>3.2876712328767124E-4</v>
      </c>
      <c r="M563" s="253">
        <f t="shared" si="55"/>
        <v>223.70509479452053</v>
      </c>
    </row>
    <row r="564" spans="2:13" hidden="1" outlineLevel="1" x14ac:dyDescent="0.25">
      <c r="B564" s="251">
        <f t="shared" si="53"/>
        <v>45931</v>
      </c>
      <c r="C564" s="252" t="str">
        <f t="shared" si="48"/>
        <v>Oct</v>
      </c>
      <c r="D564" s="252" t="str">
        <f t="shared" si="49"/>
        <v>2025</v>
      </c>
      <c r="E564" s="253"/>
      <c r="F564" s="254"/>
      <c r="G564" s="254"/>
      <c r="H564" s="254"/>
      <c r="I564" s="254"/>
      <c r="J564" s="254"/>
      <c r="K564" s="253">
        <f t="shared" ref="K564:K594" si="56">K563+E564</f>
        <v>680436.33</v>
      </c>
      <c r="L564" s="255">
        <f t="shared" si="51"/>
        <v>3.2876712328767124E-4</v>
      </c>
      <c r="M564" s="253">
        <f t="shared" ref="M564:M594" si="57">K564*L564</f>
        <v>223.70509479452053</v>
      </c>
    </row>
    <row r="565" spans="2:13" hidden="1" outlineLevel="1" x14ac:dyDescent="0.25">
      <c r="B565" s="251">
        <f t="shared" si="53"/>
        <v>45932</v>
      </c>
      <c r="C565" s="252" t="str">
        <f t="shared" si="48"/>
        <v>Oct</v>
      </c>
      <c r="D565" s="252" t="str">
        <f t="shared" si="49"/>
        <v>2025</v>
      </c>
      <c r="E565" s="253"/>
      <c r="F565" s="254"/>
      <c r="G565" s="254"/>
      <c r="H565" s="254"/>
      <c r="I565" s="254"/>
      <c r="J565" s="254"/>
      <c r="K565" s="253">
        <f t="shared" si="56"/>
        <v>680436.33</v>
      </c>
      <c r="L565" s="255">
        <f t="shared" si="51"/>
        <v>3.2876712328767124E-4</v>
      </c>
      <c r="M565" s="253">
        <f t="shared" si="57"/>
        <v>223.70509479452053</v>
      </c>
    </row>
    <row r="566" spans="2:13" hidden="1" outlineLevel="1" x14ac:dyDescent="0.25">
      <c r="B566" s="251">
        <f t="shared" si="53"/>
        <v>45933</v>
      </c>
      <c r="C566" s="252" t="str">
        <f t="shared" si="48"/>
        <v>Oct</v>
      </c>
      <c r="D566" s="252" t="str">
        <f t="shared" si="49"/>
        <v>2025</v>
      </c>
      <c r="E566" s="253"/>
      <c r="F566" s="254"/>
      <c r="G566" s="254"/>
      <c r="H566" s="254"/>
      <c r="I566" s="254"/>
      <c r="J566" s="254"/>
      <c r="K566" s="253">
        <f t="shared" si="56"/>
        <v>680436.33</v>
      </c>
      <c r="L566" s="255">
        <f t="shared" si="51"/>
        <v>3.2876712328767124E-4</v>
      </c>
      <c r="M566" s="253">
        <f t="shared" si="57"/>
        <v>223.70509479452053</v>
      </c>
    </row>
    <row r="567" spans="2:13" hidden="1" outlineLevel="1" x14ac:dyDescent="0.25">
      <c r="B567" s="251">
        <f t="shared" si="53"/>
        <v>45934</v>
      </c>
      <c r="C567" s="252" t="str">
        <f t="shared" si="48"/>
        <v>Oct</v>
      </c>
      <c r="D567" s="252" t="str">
        <f t="shared" si="49"/>
        <v>2025</v>
      </c>
      <c r="E567" s="253"/>
      <c r="F567" s="254"/>
      <c r="G567" s="254"/>
      <c r="H567" s="254"/>
      <c r="I567" s="254"/>
      <c r="J567" s="254"/>
      <c r="K567" s="253">
        <f t="shared" si="56"/>
        <v>680436.33</v>
      </c>
      <c r="L567" s="255">
        <f t="shared" si="51"/>
        <v>3.2876712328767124E-4</v>
      </c>
      <c r="M567" s="253">
        <f t="shared" si="57"/>
        <v>223.70509479452053</v>
      </c>
    </row>
    <row r="568" spans="2:13" hidden="1" outlineLevel="1" x14ac:dyDescent="0.25">
      <c r="B568" s="251">
        <f t="shared" si="53"/>
        <v>45935</v>
      </c>
      <c r="C568" s="252" t="str">
        <f t="shared" si="48"/>
        <v>Oct</v>
      </c>
      <c r="D568" s="252" t="str">
        <f t="shared" si="49"/>
        <v>2025</v>
      </c>
      <c r="E568" s="253"/>
      <c r="F568" s="254"/>
      <c r="G568" s="254"/>
      <c r="H568" s="254"/>
      <c r="I568" s="254"/>
      <c r="J568" s="254"/>
      <c r="K568" s="253">
        <f t="shared" si="56"/>
        <v>680436.33</v>
      </c>
      <c r="L568" s="255">
        <f t="shared" si="51"/>
        <v>3.2876712328767124E-4</v>
      </c>
      <c r="M568" s="253">
        <f t="shared" si="57"/>
        <v>223.70509479452053</v>
      </c>
    </row>
    <row r="569" spans="2:13" hidden="1" outlineLevel="1" x14ac:dyDescent="0.25">
      <c r="B569" s="251">
        <f t="shared" si="53"/>
        <v>45936</v>
      </c>
      <c r="C569" s="252" t="str">
        <f t="shared" si="48"/>
        <v>Oct</v>
      </c>
      <c r="D569" s="252" t="str">
        <f t="shared" si="49"/>
        <v>2025</v>
      </c>
      <c r="E569" s="253"/>
      <c r="F569" s="254"/>
      <c r="G569" s="254"/>
      <c r="H569" s="254"/>
      <c r="I569" s="254"/>
      <c r="J569" s="254"/>
      <c r="K569" s="253">
        <f t="shared" si="56"/>
        <v>680436.33</v>
      </c>
      <c r="L569" s="255">
        <f t="shared" si="51"/>
        <v>3.2876712328767124E-4</v>
      </c>
      <c r="M569" s="253">
        <f t="shared" si="57"/>
        <v>223.70509479452053</v>
      </c>
    </row>
    <row r="570" spans="2:13" hidden="1" outlineLevel="1" x14ac:dyDescent="0.25">
      <c r="B570" s="251">
        <f t="shared" si="53"/>
        <v>45937</v>
      </c>
      <c r="C570" s="252" t="str">
        <f t="shared" si="48"/>
        <v>Oct</v>
      </c>
      <c r="D570" s="252" t="str">
        <f t="shared" si="49"/>
        <v>2025</v>
      </c>
      <c r="E570" s="253"/>
      <c r="F570" s="254"/>
      <c r="G570" s="254"/>
      <c r="H570" s="254"/>
      <c r="I570" s="254"/>
      <c r="J570" s="254"/>
      <c r="K570" s="253">
        <f t="shared" si="56"/>
        <v>680436.33</v>
      </c>
      <c r="L570" s="255">
        <f t="shared" si="51"/>
        <v>3.2876712328767124E-4</v>
      </c>
      <c r="M570" s="253">
        <f t="shared" si="57"/>
        <v>223.70509479452053</v>
      </c>
    </row>
    <row r="571" spans="2:13" hidden="1" outlineLevel="1" x14ac:dyDescent="0.25">
      <c r="B571" s="251">
        <f t="shared" si="53"/>
        <v>45938</v>
      </c>
      <c r="C571" s="252" t="str">
        <f t="shared" si="48"/>
        <v>Oct</v>
      </c>
      <c r="D571" s="252" t="str">
        <f t="shared" si="49"/>
        <v>2025</v>
      </c>
      <c r="E571" s="253">
        <v>-12500</v>
      </c>
      <c r="F571" s="254" t="s">
        <v>480</v>
      </c>
      <c r="G571" s="254"/>
      <c r="H571" s="254" t="s">
        <v>911</v>
      </c>
      <c r="I571" s="254" t="s">
        <v>929</v>
      </c>
      <c r="J571" s="254" t="s">
        <v>935</v>
      </c>
      <c r="K571" s="253">
        <f t="shared" si="56"/>
        <v>667936.32999999996</v>
      </c>
      <c r="L571" s="255">
        <f t="shared" si="51"/>
        <v>3.2876712328767124E-4</v>
      </c>
      <c r="M571" s="253">
        <f t="shared" si="57"/>
        <v>219.59550575342465</v>
      </c>
    </row>
    <row r="572" spans="2:13" hidden="1" outlineLevel="1" x14ac:dyDescent="0.25">
      <c r="B572" s="251">
        <f t="shared" si="53"/>
        <v>45939</v>
      </c>
      <c r="C572" s="252" t="str">
        <f t="shared" si="48"/>
        <v>Oct</v>
      </c>
      <c r="D572" s="252" t="str">
        <f t="shared" si="49"/>
        <v>2025</v>
      </c>
      <c r="E572" s="253"/>
      <c r="F572" s="254"/>
      <c r="G572" s="254"/>
      <c r="H572" s="254"/>
      <c r="I572" s="254"/>
      <c r="J572" s="254"/>
      <c r="K572" s="253">
        <f t="shared" si="56"/>
        <v>667936.32999999996</v>
      </c>
      <c r="L572" s="255">
        <f t="shared" si="51"/>
        <v>3.2876712328767124E-4</v>
      </c>
      <c r="M572" s="253">
        <f t="shared" si="57"/>
        <v>219.59550575342465</v>
      </c>
    </row>
    <row r="573" spans="2:13" hidden="1" outlineLevel="1" x14ac:dyDescent="0.25">
      <c r="B573" s="251">
        <f t="shared" si="53"/>
        <v>45940</v>
      </c>
      <c r="C573" s="252" t="str">
        <f t="shared" si="48"/>
        <v>Oct</v>
      </c>
      <c r="D573" s="252" t="str">
        <f t="shared" si="49"/>
        <v>2025</v>
      </c>
      <c r="E573" s="253"/>
      <c r="F573" s="254"/>
      <c r="G573" s="254"/>
      <c r="H573" s="254"/>
      <c r="I573" s="254"/>
      <c r="J573" s="254"/>
      <c r="K573" s="253">
        <f t="shared" si="56"/>
        <v>667936.32999999996</v>
      </c>
      <c r="L573" s="255">
        <f t="shared" si="51"/>
        <v>3.2876712328767124E-4</v>
      </c>
      <c r="M573" s="253">
        <f t="shared" si="57"/>
        <v>219.59550575342465</v>
      </c>
    </row>
    <row r="574" spans="2:13" hidden="1" outlineLevel="1" x14ac:dyDescent="0.25">
      <c r="B574" s="251">
        <f t="shared" si="53"/>
        <v>45941</v>
      </c>
      <c r="C574" s="252" t="str">
        <f t="shared" si="48"/>
        <v>Oct</v>
      </c>
      <c r="D574" s="252" t="str">
        <f t="shared" si="49"/>
        <v>2025</v>
      </c>
      <c r="E574" s="253"/>
      <c r="F574" s="254"/>
      <c r="G574" s="254"/>
      <c r="H574" s="254"/>
      <c r="I574" s="254"/>
      <c r="J574" s="254"/>
      <c r="K574" s="253">
        <f t="shared" si="56"/>
        <v>667936.32999999996</v>
      </c>
      <c r="L574" s="255">
        <f t="shared" si="51"/>
        <v>3.2876712328767124E-4</v>
      </c>
      <c r="M574" s="253">
        <f t="shared" si="57"/>
        <v>219.59550575342465</v>
      </c>
    </row>
    <row r="575" spans="2:13" hidden="1" outlineLevel="1" x14ac:dyDescent="0.25">
      <c r="B575" s="251">
        <f t="shared" si="53"/>
        <v>45942</v>
      </c>
      <c r="C575" s="252" t="str">
        <f t="shared" si="48"/>
        <v>Oct</v>
      </c>
      <c r="D575" s="252" t="str">
        <f t="shared" si="49"/>
        <v>2025</v>
      </c>
      <c r="E575" s="253"/>
      <c r="F575" s="254"/>
      <c r="G575" s="254"/>
      <c r="H575" s="254"/>
      <c r="I575" s="254"/>
      <c r="J575" s="254"/>
      <c r="K575" s="253">
        <f t="shared" si="56"/>
        <v>667936.32999999996</v>
      </c>
      <c r="L575" s="255">
        <f t="shared" si="51"/>
        <v>3.2876712328767124E-4</v>
      </c>
      <c r="M575" s="253">
        <f t="shared" si="57"/>
        <v>219.59550575342465</v>
      </c>
    </row>
    <row r="576" spans="2:13" hidden="1" outlineLevel="1" x14ac:dyDescent="0.25">
      <c r="B576" s="251">
        <f t="shared" si="53"/>
        <v>45943</v>
      </c>
      <c r="C576" s="252" t="str">
        <f t="shared" si="48"/>
        <v>Oct</v>
      </c>
      <c r="D576" s="252" t="str">
        <f t="shared" si="49"/>
        <v>2025</v>
      </c>
      <c r="E576" s="253"/>
      <c r="F576" s="254"/>
      <c r="G576" s="254"/>
      <c r="H576" s="254"/>
      <c r="I576" s="254"/>
      <c r="J576" s="254"/>
      <c r="K576" s="253">
        <f t="shared" si="56"/>
        <v>667936.32999999996</v>
      </c>
      <c r="L576" s="255">
        <f t="shared" si="51"/>
        <v>3.2876712328767124E-4</v>
      </c>
      <c r="M576" s="253">
        <f t="shared" si="57"/>
        <v>219.59550575342465</v>
      </c>
    </row>
    <row r="577" spans="2:13" hidden="1" outlineLevel="1" x14ac:dyDescent="0.25">
      <c r="B577" s="251">
        <f t="shared" si="53"/>
        <v>45944</v>
      </c>
      <c r="C577" s="252" t="str">
        <f t="shared" si="48"/>
        <v>Oct</v>
      </c>
      <c r="D577" s="252" t="str">
        <f t="shared" si="49"/>
        <v>2025</v>
      </c>
      <c r="E577" s="253"/>
      <c r="F577" s="254"/>
      <c r="G577" s="254"/>
      <c r="H577" s="254"/>
      <c r="I577" s="254"/>
      <c r="J577" s="254"/>
      <c r="K577" s="253">
        <f t="shared" si="56"/>
        <v>667936.32999999996</v>
      </c>
      <c r="L577" s="255">
        <f t="shared" si="51"/>
        <v>3.2876712328767124E-4</v>
      </c>
      <c r="M577" s="253">
        <f t="shared" si="57"/>
        <v>219.59550575342465</v>
      </c>
    </row>
    <row r="578" spans="2:13" hidden="1" outlineLevel="1" x14ac:dyDescent="0.25">
      <c r="B578" s="251">
        <f t="shared" si="53"/>
        <v>45945</v>
      </c>
      <c r="C578" s="252" t="str">
        <f t="shared" si="48"/>
        <v>Oct</v>
      </c>
      <c r="D578" s="252" t="str">
        <f t="shared" si="49"/>
        <v>2025</v>
      </c>
      <c r="E578" s="253"/>
      <c r="F578" s="254"/>
      <c r="G578" s="254"/>
      <c r="H578" s="254"/>
      <c r="I578" s="254"/>
      <c r="J578" s="254"/>
      <c r="K578" s="253">
        <f t="shared" si="56"/>
        <v>667936.32999999996</v>
      </c>
      <c r="L578" s="255">
        <f t="shared" si="51"/>
        <v>3.2876712328767124E-4</v>
      </c>
      <c r="M578" s="253">
        <f t="shared" si="57"/>
        <v>219.59550575342465</v>
      </c>
    </row>
    <row r="579" spans="2:13" hidden="1" outlineLevel="1" x14ac:dyDescent="0.25">
      <c r="B579" s="251">
        <f t="shared" si="53"/>
        <v>45946</v>
      </c>
      <c r="C579" s="252" t="str">
        <f t="shared" si="48"/>
        <v>Oct</v>
      </c>
      <c r="D579" s="252" t="str">
        <f t="shared" si="49"/>
        <v>2025</v>
      </c>
      <c r="E579" s="253"/>
      <c r="F579" s="254"/>
      <c r="G579" s="254"/>
      <c r="H579" s="254"/>
      <c r="I579" s="254"/>
      <c r="J579" s="254"/>
      <c r="K579" s="253">
        <f t="shared" si="56"/>
        <v>667936.32999999996</v>
      </c>
      <c r="L579" s="255">
        <f t="shared" si="51"/>
        <v>3.2876712328767124E-4</v>
      </c>
      <c r="M579" s="253">
        <f t="shared" si="57"/>
        <v>219.59550575342465</v>
      </c>
    </row>
    <row r="580" spans="2:13" hidden="1" outlineLevel="1" x14ac:dyDescent="0.25">
      <c r="B580" s="251">
        <f t="shared" si="53"/>
        <v>45947</v>
      </c>
      <c r="C580" s="252" t="str">
        <f t="shared" si="48"/>
        <v>Oct</v>
      </c>
      <c r="D580" s="252" t="str">
        <f t="shared" si="49"/>
        <v>2025</v>
      </c>
      <c r="E580" s="253"/>
      <c r="F580" s="254"/>
      <c r="G580" s="254"/>
      <c r="H580" s="254"/>
      <c r="I580" s="254"/>
      <c r="J580" s="254"/>
      <c r="K580" s="253">
        <f t="shared" si="56"/>
        <v>667936.32999999996</v>
      </c>
      <c r="L580" s="255">
        <f t="shared" si="51"/>
        <v>3.2876712328767124E-4</v>
      </c>
      <c r="M580" s="253">
        <f t="shared" si="57"/>
        <v>219.59550575342465</v>
      </c>
    </row>
    <row r="581" spans="2:13" hidden="1" outlineLevel="1" x14ac:dyDescent="0.25">
      <c r="B581" s="251">
        <f t="shared" si="53"/>
        <v>45948</v>
      </c>
      <c r="C581" s="252" t="str">
        <f t="shared" si="48"/>
        <v>Oct</v>
      </c>
      <c r="D581" s="252" t="str">
        <f t="shared" si="49"/>
        <v>2025</v>
      </c>
      <c r="E581" s="253"/>
      <c r="F581" s="254"/>
      <c r="G581" s="254"/>
      <c r="H581" s="254"/>
      <c r="I581" s="254"/>
      <c r="J581" s="254"/>
      <c r="K581" s="253">
        <f t="shared" si="56"/>
        <v>667936.32999999996</v>
      </c>
      <c r="L581" s="255">
        <f t="shared" si="51"/>
        <v>3.2876712328767124E-4</v>
      </c>
      <c r="M581" s="253">
        <f t="shared" si="57"/>
        <v>219.59550575342465</v>
      </c>
    </row>
    <row r="582" spans="2:13" hidden="1" outlineLevel="1" x14ac:dyDescent="0.25">
      <c r="B582" s="251">
        <f t="shared" si="53"/>
        <v>45949</v>
      </c>
      <c r="C582" s="252" t="str">
        <f t="shared" si="48"/>
        <v>Oct</v>
      </c>
      <c r="D582" s="252" t="str">
        <f t="shared" si="49"/>
        <v>2025</v>
      </c>
      <c r="E582" s="253"/>
      <c r="F582" s="254"/>
      <c r="G582" s="254"/>
      <c r="H582" s="254"/>
      <c r="I582" s="254"/>
      <c r="J582" s="254"/>
      <c r="K582" s="253">
        <f t="shared" si="56"/>
        <v>667936.32999999996</v>
      </c>
      <c r="L582" s="255">
        <f t="shared" si="51"/>
        <v>3.2876712328767124E-4</v>
      </c>
      <c r="M582" s="253">
        <f t="shared" si="57"/>
        <v>219.59550575342465</v>
      </c>
    </row>
    <row r="583" spans="2:13" hidden="1" outlineLevel="1" x14ac:dyDescent="0.25">
      <c r="B583" s="251">
        <f t="shared" si="53"/>
        <v>45950</v>
      </c>
      <c r="C583" s="252" t="str">
        <f t="shared" si="48"/>
        <v>Oct</v>
      </c>
      <c r="D583" s="252" t="str">
        <f t="shared" si="49"/>
        <v>2025</v>
      </c>
      <c r="E583" s="253"/>
      <c r="F583" s="254"/>
      <c r="G583" s="254"/>
      <c r="H583" s="254"/>
      <c r="I583" s="254"/>
      <c r="J583" s="254"/>
      <c r="K583" s="253">
        <f t="shared" si="56"/>
        <v>667936.32999999996</v>
      </c>
      <c r="L583" s="255">
        <f t="shared" si="51"/>
        <v>3.2876712328767124E-4</v>
      </c>
      <c r="M583" s="253">
        <f t="shared" si="57"/>
        <v>219.59550575342465</v>
      </c>
    </row>
    <row r="584" spans="2:13" hidden="1" outlineLevel="1" x14ac:dyDescent="0.25">
      <c r="B584" s="251">
        <f t="shared" si="53"/>
        <v>45951</v>
      </c>
      <c r="C584" s="252" t="str">
        <f t="shared" ref="C584:C647" si="58">TEXT(B584,"mmm")</f>
        <v>Oct</v>
      </c>
      <c r="D584" s="252" t="str">
        <f t="shared" ref="D584:D647" si="59">TEXT(B584,"yyyy")</f>
        <v>2025</v>
      </c>
      <c r="E584" s="253"/>
      <c r="F584" s="254"/>
      <c r="G584" s="254"/>
      <c r="H584" s="254"/>
      <c r="I584" s="254"/>
      <c r="J584" s="254"/>
      <c r="K584" s="253">
        <f t="shared" si="56"/>
        <v>667936.32999999996</v>
      </c>
      <c r="L584" s="255">
        <f t="shared" ref="L584:L647" si="60">(0.12/365)</f>
        <v>3.2876712328767124E-4</v>
      </c>
      <c r="M584" s="253">
        <f t="shared" si="57"/>
        <v>219.59550575342465</v>
      </c>
    </row>
    <row r="585" spans="2:13" hidden="1" outlineLevel="1" x14ac:dyDescent="0.25">
      <c r="B585" s="251">
        <f t="shared" si="53"/>
        <v>45952</v>
      </c>
      <c r="C585" s="252" t="str">
        <f t="shared" si="58"/>
        <v>Oct</v>
      </c>
      <c r="D585" s="252" t="str">
        <f t="shared" si="59"/>
        <v>2025</v>
      </c>
      <c r="E585" s="253">
        <v>-12500</v>
      </c>
      <c r="F585" s="254" t="s">
        <v>480</v>
      </c>
      <c r="G585" s="254"/>
      <c r="H585" s="254" t="s">
        <v>911</v>
      </c>
      <c r="I585" s="254" t="s">
        <v>929</v>
      </c>
      <c r="J585" s="254" t="s">
        <v>935</v>
      </c>
      <c r="K585" s="253">
        <f t="shared" si="56"/>
        <v>655436.32999999996</v>
      </c>
      <c r="L585" s="255">
        <f t="shared" si="60"/>
        <v>3.2876712328767124E-4</v>
      </c>
      <c r="M585" s="253">
        <f t="shared" si="57"/>
        <v>215.48591671232876</v>
      </c>
    </row>
    <row r="586" spans="2:13" hidden="1" outlineLevel="1" x14ac:dyDescent="0.25">
      <c r="B586" s="251">
        <f t="shared" si="53"/>
        <v>45953</v>
      </c>
      <c r="C586" s="252" t="str">
        <f t="shared" si="58"/>
        <v>Oct</v>
      </c>
      <c r="D586" s="252" t="str">
        <f t="shared" si="59"/>
        <v>2025</v>
      </c>
      <c r="E586" s="253"/>
      <c r="F586" s="254"/>
      <c r="G586" s="254"/>
      <c r="H586" s="254"/>
      <c r="I586" s="254"/>
      <c r="J586" s="254"/>
      <c r="K586" s="253">
        <f t="shared" si="56"/>
        <v>655436.32999999996</v>
      </c>
      <c r="L586" s="255">
        <f t="shared" si="60"/>
        <v>3.2876712328767124E-4</v>
      </c>
      <c r="M586" s="253">
        <f t="shared" si="57"/>
        <v>215.48591671232876</v>
      </c>
    </row>
    <row r="587" spans="2:13" hidden="1" outlineLevel="1" x14ac:dyDescent="0.25">
      <c r="B587" s="251">
        <f t="shared" ref="B587:B650" si="61">+B586+1</f>
        <v>45954</v>
      </c>
      <c r="C587" s="252" t="str">
        <f t="shared" si="58"/>
        <v>Oct</v>
      </c>
      <c r="D587" s="252" t="str">
        <f t="shared" si="59"/>
        <v>2025</v>
      </c>
      <c r="E587" s="253"/>
      <c r="F587" s="254"/>
      <c r="G587" s="254"/>
      <c r="H587" s="254"/>
      <c r="I587" s="254"/>
      <c r="J587" s="254"/>
      <c r="K587" s="253">
        <f t="shared" si="56"/>
        <v>655436.32999999996</v>
      </c>
      <c r="L587" s="255">
        <f t="shared" si="60"/>
        <v>3.2876712328767124E-4</v>
      </c>
      <c r="M587" s="253">
        <f t="shared" si="57"/>
        <v>215.48591671232876</v>
      </c>
    </row>
    <row r="588" spans="2:13" hidden="1" outlineLevel="1" x14ac:dyDescent="0.25">
      <c r="B588" s="251">
        <f t="shared" si="61"/>
        <v>45955</v>
      </c>
      <c r="C588" s="252" t="str">
        <f t="shared" si="58"/>
        <v>Oct</v>
      </c>
      <c r="D588" s="252" t="str">
        <f t="shared" si="59"/>
        <v>2025</v>
      </c>
      <c r="E588" s="253"/>
      <c r="F588" s="254"/>
      <c r="G588" s="254"/>
      <c r="H588" s="254"/>
      <c r="I588" s="254"/>
      <c r="J588" s="254"/>
      <c r="K588" s="253">
        <f t="shared" si="56"/>
        <v>655436.32999999996</v>
      </c>
      <c r="L588" s="255">
        <f t="shared" si="60"/>
        <v>3.2876712328767124E-4</v>
      </c>
      <c r="M588" s="253">
        <f t="shared" si="57"/>
        <v>215.48591671232876</v>
      </c>
    </row>
    <row r="589" spans="2:13" hidden="1" outlineLevel="1" x14ac:dyDescent="0.25">
      <c r="B589" s="251">
        <f t="shared" si="61"/>
        <v>45956</v>
      </c>
      <c r="C589" s="252" t="str">
        <f t="shared" si="58"/>
        <v>Oct</v>
      </c>
      <c r="D589" s="252" t="str">
        <f t="shared" si="59"/>
        <v>2025</v>
      </c>
      <c r="E589" s="253"/>
      <c r="F589" s="254"/>
      <c r="G589" s="254"/>
      <c r="H589" s="254"/>
      <c r="I589" s="254"/>
      <c r="J589" s="254"/>
      <c r="K589" s="253">
        <f t="shared" si="56"/>
        <v>655436.32999999996</v>
      </c>
      <c r="L589" s="255">
        <f t="shared" si="60"/>
        <v>3.2876712328767124E-4</v>
      </c>
      <c r="M589" s="253">
        <f t="shared" si="57"/>
        <v>215.48591671232876</v>
      </c>
    </row>
    <row r="590" spans="2:13" hidden="1" outlineLevel="1" x14ac:dyDescent="0.25">
      <c r="B590" s="251">
        <f t="shared" si="61"/>
        <v>45957</v>
      </c>
      <c r="C590" s="252" t="str">
        <f t="shared" si="58"/>
        <v>Oct</v>
      </c>
      <c r="D590" s="252" t="str">
        <f t="shared" si="59"/>
        <v>2025</v>
      </c>
      <c r="E590" s="253"/>
      <c r="F590" s="254"/>
      <c r="G590" s="254"/>
      <c r="H590" s="254"/>
      <c r="I590" s="254"/>
      <c r="J590" s="254"/>
      <c r="K590" s="253">
        <f t="shared" si="56"/>
        <v>655436.32999999996</v>
      </c>
      <c r="L590" s="255">
        <f t="shared" si="60"/>
        <v>3.2876712328767124E-4</v>
      </c>
      <c r="M590" s="253">
        <f t="shared" si="57"/>
        <v>215.48591671232876</v>
      </c>
    </row>
    <row r="591" spans="2:13" hidden="1" outlineLevel="1" x14ac:dyDescent="0.25">
      <c r="B591" s="251">
        <f t="shared" si="61"/>
        <v>45958</v>
      </c>
      <c r="C591" s="252" t="str">
        <f t="shared" si="58"/>
        <v>Oct</v>
      </c>
      <c r="D591" s="252" t="str">
        <f t="shared" si="59"/>
        <v>2025</v>
      </c>
      <c r="E591" s="253">
        <v>170000</v>
      </c>
      <c r="F591" s="254" t="s">
        <v>728</v>
      </c>
      <c r="G591" s="254" t="s">
        <v>315</v>
      </c>
      <c r="H591" s="254" t="s">
        <v>911</v>
      </c>
      <c r="I591" s="254" t="s">
        <v>936</v>
      </c>
      <c r="J591" s="254" t="s">
        <v>935</v>
      </c>
      <c r="K591" s="253">
        <f t="shared" si="56"/>
        <v>825436.33</v>
      </c>
      <c r="L591" s="255">
        <f t="shared" si="60"/>
        <v>3.2876712328767124E-4</v>
      </c>
      <c r="M591" s="253">
        <f t="shared" si="57"/>
        <v>271.37632767123284</v>
      </c>
    </row>
    <row r="592" spans="2:13" hidden="1" outlineLevel="1" x14ac:dyDescent="0.25">
      <c r="B592" s="251">
        <f t="shared" si="61"/>
        <v>45959</v>
      </c>
      <c r="C592" s="252" t="str">
        <f t="shared" si="58"/>
        <v>Oct</v>
      </c>
      <c r="D592" s="252" t="str">
        <f t="shared" si="59"/>
        <v>2025</v>
      </c>
      <c r="E592" s="253"/>
      <c r="F592" s="254"/>
      <c r="G592" s="254"/>
      <c r="H592" s="254"/>
      <c r="I592" s="254"/>
      <c r="J592" s="254"/>
      <c r="K592" s="253">
        <f t="shared" si="56"/>
        <v>825436.33</v>
      </c>
      <c r="L592" s="255">
        <f t="shared" si="60"/>
        <v>3.2876712328767124E-4</v>
      </c>
      <c r="M592" s="253">
        <f t="shared" si="57"/>
        <v>271.37632767123284</v>
      </c>
    </row>
    <row r="593" spans="2:13" hidden="1" outlineLevel="1" x14ac:dyDescent="0.25">
      <c r="B593" s="251">
        <f t="shared" si="61"/>
        <v>45960</v>
      </c>
      <c r="C593" s="252" t="str">
        <f t="shared" si="58"/>
        <v>Oct</v>
      </c>
      <c r="D593" s="252" t="str">
        <f t="shared" si="59"/>
        <v>2025</v>
      </c>
      <c r="E593" s="253"/>
      <c r="F593" s="254"/>
      <c r="G593" s="254"/>
      <c r="H593" s="254"/>
      <c r="I593" s="254"/>
      <c r="J593" s="254"/>
      <c r="K593" s="253">
        <f t="shared" si="56"/>
        <v>825436.33</v>
      </c>
      <c r="L593" s="255">
        <f t="shared" si="60"/>
        <v>3.2876712328767124E-4</v>
      </c>
      <c r="M593" s="253">
        <f t="shared" si="57"/>
        <v>271.37632767123284</v>
      </c>
    </row>
    <row r="594" spans="2:13" collapsed="1" x14ac:dyDescent="0.25">
      <c r="B594" s="251">
        <f t="shared" si="61"/>
        <v>45961</v>
      </c>
      <c r="C594" s="252" t="str">
        <f t="shared" si="58"/>
        <v>Oct</v>
      </c>
      <c r="D594" s="252" t="str">
        <f t="shared" si="59"/>
        <v>2025</v>
      </c>
      <c r="E594" s="253">
        <v>540</v>
      </c>
      <c r="F594" s="254" t="s">
        <v>710</v>
      </c>
      <c r="G594" s="254" t="s">
        <v>937</v>
      </c>
      <c r="H594" s="254" t="s">
        <v>315</v>
      </c>
      <c r="I594" s="254" t="s">
        <v>938</v>
      </c>
      <c r="J594" s="254" t="s">
        <v>315</v>
      </c>
      <c r="K594" s="253">
        <f t="shared" si="56"/>
        <v>825976.33</v>
      </c>
      <c r="L594" s="255">
        <f t="shared" si="60"/>
        <v>3.2876712328767124E-4</v>
      </c>
      <c r="M594" s="253">
        <f t="shared" si="57"/>
        <v>271.55386191780821</v>
      </c>
    </row>
    <row r="595" spans="2:13" hidden="1" outlineLevel="1" x14ac:dyDescent="0.25">
      <c r="B595" s="251">
        <f t="shared" si="61"/>
        <v>45962</v>
      </c>
      <c r="C595" s="252" t="str">
        <f t="shared" si="58"/>
        <v>Nov</v>
      </c>
      <c r="D595" s="252" t="str">
        <f t="shared" si="59"/>
        <v>2025</v>
      </c>
      <c r="E595" s="253"/>
      <c r="F595" s="254"/>
      <c r="G595" s="254"/>
      <c r="H595" s="254"/>
      <c r="I595" s="254"/>
      <c r="J595" s="254"/>
      <c r="K595" s="253">
        <f t="shared" ref="K595:K658" si="62">K594+E595</f>
        <v>825976.33</v>
      </c>
      <c r="L595" s="255">
        <f t="shared" si="60"/>
        <v>3.2876712328767124E-4</v>
      </c>
      <c r="M595" s="253">
        <f t="shared" ref="M595:M658" si="63">K595*L595</f>
        <v>271.55386191780821</v>
      </c>
    </row>
    <row r="596" spans="2:13" hidden="1" outlineLevel="1" x14ac:dyDescent="0.25">
      <c r="B596" s="251">
        <f t="shared" si="61"/>
        <v>45963</v>
      </c>
      <c r="C596" s="252" t="str">
        <f t="shared" si="58"/>
        <v>Nov</v>
      </c>
      <c r="D596" s="252" t="str">
        <f t="shared" si="59"/>
        <v>2025</v>
      </c>
      <c r="E596" s="253"/>
      <c r="F596" s="254"/>
      <c r="G596" s="254"/>
      <c r="H596" s="254"/>
      <c r="I596" s="254"/>
      <c r="J596" s="254"/>
      <c r="K596" s="253">
        <f t="shared" si="62"/>
        <v>825976.33</v>
      </c>
      <c r="L596" s="255">
        <f t="shared" si="60"/>
        <v>3.2876712328767124E-4</v>
      </c>
      <c r="M596" s="253">
        <f t="shared" si="63"/>
        <v>271.55386191780821</v>
      </c>
    </row>
    <row r="597" spans="2:13" hidden="1" outlineLevel="1" x14ac:dyDescent="0.25">
      <c r="B597" s="251">
        <f t="shared" si="61"/>
        <v>45964</v>
      </c>
      <c r="C597" s="252" t="str">
        <f t="shared" si="58"/>
        <v>Nov</v>
      </c>
      <c r="D597" s="252" t="str">
        <f t="shared" si="59"/>
        <v>2025</v>
      </c>
      <c r="E597" s="253"/>
      <c r="F597" s="254"/>
      <c r="G597" s="254"/>
      <c r="H597" s="254"/>
      <c r="I597" s="254"/>
      <c r="J597" s="254"/>
      <c r="K597" s="253">
        <f t="shared" si="62"/>
        <v>825976.33</v>
      </c>
      <c r="L597" s="255">
        <f t="shared" si="60"/>
        <v>3.2876712328767124E-4</v>
      </c>
      <c r="M597" s="253">
        <f t="shared" si="63"/>
        <v>271.55386191780821</v>
      </c>
    </row>
    <row r="598" spans="2:13" hidden="1" outlineLevel="1" x14ac:dyDescent="0.25">
      <c r="B598" s="251">
        <f t="shared" si="61"/>
        <v>45965</v>
      </c>
      <c r="C598" s="252" t="str">
        <f t="shared" si="58"/>
        <v>Nov</v>
      </c>
      <c r="D598" s="252" t="str">
        <f t="shared" si="59"/>
        <v>2025</v>
      </c>
      <c r="E598" s="253"/>
      <c r="F598" s="254"/>
      <c r="G598" s="254"/>
      <c r="H598" s="254"/>
      <c r="I598" s="254"/>
      <c r="J598" s="254"/>
      <c r="K598" s="253">
        <f t="shared" si="62"/>
        <v>825976.33</v>
      </c>
      <c r="L598" s="255">
        <f t="shared" si="60"/>
        <v>3.2876712328767124E-4</v>
      </c>
      <c r="M598" s="253">
        <f t="shared" si="63"/>
        <v>271.55386191780821</v>
      </c>
    </row>
    <row r="599" spans="2:13" hidden="1" outlineLevel="1" x14ac:dyDescent="0.25">
      <c r="B599" s="251">
        <f t="shared" si="61"/>
        <v>45966</v>
      </c>
      <c r="C599" s="252" t="str">
        <f t="shared" si="58"/>
        <v>Nov</v>
      </c>
      <c r="D599" s="252" t="str">
        <f t="shared" si="59"/>
        <v>2025</v>
      </c>
      <c r="E599" s="253">
        <v>-12500</v>
      </c>
      <c r="F599" s="254" t="s">
        <v>480</v>
      </c>
      <c r="G599" s="254"/>
      <c r="H599" s="254" t="s">
        <v>911</v>
      </c>
      <c r="I599" s="254" t="s">
        <v>929</v>
      </c>
      <c r="J599" s="254" t="s">
        <v>935</v>
      </c>
      <c r="K599" s="253">
        <f t="shared" si="62"/>
        <v>813476.33</v>
      </c>
      <c r="L599" s="255">
        <f t="shared" si="60"/>
        <v>3.2876712328767124E-4</v>
      </c>
      <c r="M599" s="253">
        <f t="shared" si="63"/>
        <v>267.44427287671232</v>
      </c>
    </row>
    <row r="600" spans="2:13" hidden="1" outlineLevel="1" x14ac:dyDescent="0.25">
      <c r="B600" s="251">
        <f t="shared" si="61"/>
        <v>45967</v>
      </c>
      <c r="C600" s="252" t="str">
        <f t="shared" si="58"/>
        <v>Nov</v>
      </c>
      <c r="D600" s="252" t="str">
        <f t="shared" si="59"/>
        <v>2025</v>
      </c>
      <c r="E600" s="253"/>
      <c r="F600" s="254"/>
      <c r="G600" s="254"/>
      <c r="H600" s="254"/>
      <c r="I600" s="254"/>
      <c r="J600" s="254"/>
      <c r="K600" s="253">
        <f t="shared" si="62"/>
        <v>813476.33</v>
      </c>
      <c r="L600" s="255">
        <f t="shared" si="60"/>
        <v>3.2876712328767124E-4</v>
      </c>
      <c r="M600" s="253">
        <f t="shared" si="63"/>
        <v>267.44427287671232</v>
      </c>
    </row>
    <row r="601" spans="2:13" hidden="1" outlineLevel="1" x14ac:dyDescent="0.25">
      <c r="B601" s="251">
        <f t="shared" si="61"/>
        <v>45968</v>
      </c>
      <c r="C601" s="252" t="str">
        <f t="shared" si="58"/>
        <v>Nov</v>
      </c>
      <c r="D601" s="252" t="str">
        <f t="shared" si="59"/>
        <v>2025</v>
      </c>
      <c r="E601" s="253"/>
      <c r="F601" s="254"/>
      <c r="G601" s="254"/>
      <c r="H601" s="254"/>
      <c r="I601" s="254"/>
      <c r="J601" s="254"/>
      <c r="K601" s="253">
        <f t="shared" si="62"/>
        <v>813476.33</v>
      </c>
      <c r="L601" s="255">
        <f t="shared" si="60"/>
        <v>3.2876712328767124E-4</v>
      </c>
      <c r="M601" s="253">
        <f t="shared" si="63"/>
        <v>267.44427287671232</v>
      </c>
    </row>
    <row r="602" spans="2:13" hidden="1" outlineLevel="1" x14ac:dyDescent="0.25">
      <c r="B602" s="251">
        <f t="shared" si="61"/>
        <v>45969</v>
      </c>
      <c r="C602" s="252" t="str">
        <f t="shared" si="58"/>
        <v>Nov</v>
      </c>
      <c r="D602" s="252" t="str">
        <f t="shared" si="59"/>
        <v>2025</v>
      </c>
      <c r="E602" s="253"/>
      <c r="F602" s="254"/>
      <c r="G602" s="254"/>
      <c r="H602" s="254"/>
      <c r="I602" s="254"/>
      <c r="J602" s="254"/>
      <c r="K602" s="253">
        <f t="shared" si="62"/>
        <v>813476.33</v>
      </c>
      <c r="L602" s="255">
        <f t="shared" si="60"/>
        <v>3.2876712328767124E-4</v>
      </c>
      <c r="M602" s="253">
        <f t="shared" si="63"/>
        <v>267.44427287671232</v>
      </c>
    </row>
    <row r="603" spans="2:13" hidden="1" outlineLevel="1" x14ac:dyDescent="0.25">
      <c r="B603" s="251">
        <f t="shared" si="61"/>
        <v>45970</v>
      </c>
      <c r="C603" s="252" t="str">
        <f t="shared" si="58"/>
        <v>Nov</v>
      </c>
      <c r="D603" s="252" t="str">
        <f t="shared" si="59"/>
        <v>2025</v>
      </c>
      <c r="E603" s="253"/>
      <c r="F603" s="254"/>
      <c r="G603" s="254"/>
      <c r="H603" s="254"/>
      <c r="I603" s="254"/>
      <c r="J603" s="254"/>
      <c r="K603" s="253">
        <f t="shared" si="62"/>
        <v>813476.33</v>
      </c>
      <c r="L603" s="255">
        <f t="shared" si="60"/>
        <v>3.2876712328767124E-4</v>
      </c>
      <c r="M603" s="253">
        <f t="shared" si="63"/>
        <v>267.44427287671232</v>
      </c>
    </row>
    <row r="604" spans="2:13" hidden="1" outlineLevel="1" x14ac:dyDescent="0.25">
      <c r="B604" s="251">
        <f t="shared" si="61"/>
        <v>45971</v>
      </c>
      <c r="C604" s="252" t="str">
        <f t="shared" si="58"/>
        <v>Nov</v>
      </c>
      <c r="D604" s="252" t="str">
        <f t="shared" si="59"/>
        <v>2025</v>
      </c>
      <c r="E604" s="253"/>
      <c r="F604" s="254"/>
      <c r="G604" s="254"/>
      <c r="H604" s="254"/>
      <c r="I604" s="254"/>
      <c r="J604" s="254"/>
      <c r="K604" s="253">
        <f t="shared" si="62"/>
        <v>813476.33</v>
      </c>
      <c r="L604" s="255">
        <f t="shared" si="60"/>
        <v>3.2876712328767124E-4</v>
      </c>
      <c r="M604" s="253">
        <f t="shared" si="63"/>
        <v>267.44427287671232</v>
      </c>
    </row>
    <row r="605" spans="2:13" hidden="1" outlineLevel="1" x14ac:dyDescent="0.25">
      <c r="B605" s="251">
        <f t="shared" si="61"/>
        <v>45972</v>
      </c>
      <c r="C605" s="252" t="str">
        <f t="shared" si="58"/>
        <v>Nov</v>
      </c>
      <c r="D605" s="252" t="str">
        <f t="shared" si="59"/>
        <v>2025</v>
      </c>
      <c r="E605" s="253"/>
      <c r="F605" s="254"/>
      <c r="G605" s="254"/>
      <c r="H605" s="254"/>
      <c r="I605" s="254"/>
      <c r="J605" s="254"/>
      <c r="K605" s="253">
        <f t="shared" si="62"/>
        <v>813476.33</v>
      </c>
      <c r="L605" s="255">
        <f t="shared" si="60"/>
        <v>3.2876712328767124E-4</v>
      </c>
      <c r="M605" s="253">
        <f t="shared" si="63"/>
        <v>267.44427287671232</v>
      </c>
    </row>
    <row r="606" spans="2:13" hidden="1" outlineLevel="1" x14ac:dyDescent="0.25">
      <c r="B606" s="251">
        <f t="shared" si="61"/>
        <v>45973</v>
      </c>
      <c r="C606" s="252" t="str">
        <f t="shared" si="58"/>
        <v>Nov</v>
      </c>
      <c r="D606" s="252" t="str">
        <f t="shared" si="59"/>
        <v>2025</v>
      </c>
      <c r="E606" s="253"/>
      <c r="F606" s="254"/>
      <c r="G606" s="254"/>
      <c r="H606" s="254"/>
      <c r="I606" s="254"/>
      <c r="J606" s="254"/>
      <c r="K606" s="253">
        <f t="shared" si="62"/>
        <v>813476.33</v>
      </c>
      <c r="L606" s="255">
        <f t="shared" si="60"/>
        <v>3.2876712328767124E-4</v>
      </c>
      <c r="M606" s="253">
        <f t="shared" si="63"/>
        <v>267.44427287671232</v>
      </c>
    </row>
    <row r="607" spans="2:13" hidden="1" outlineLevel="1" x14ac:dyDescent="0.25">
      <c r="B607" s="251">
        <f t="shared" si="61"/>
        <v>45974</v>
      </c>
      <c r="C607" s="252" t="str">
        <f t="shared" si="58"/>
        <v>Nov</v>
      </c>
      <c r="D607" s="252" t="str">
        <f t="shared" si="59"/>
        <v>2025</v>
      </c>
      <c r="E607" s="253"/>
      <c r="F607" s="254"/>
      <c r="G607" s="254"/>
      <c r="H607" s="254"/>
      <c r="I607" s="254"/>
      <c r="J607" s="254"/>
      <c r="K607" s="253">
        <f t="shared" si="62"/>
        <v>813476.33</v>
      </c>
      <c r="L607" s="255">
        <f t="shared" si="60"/>
        <v>3.2876712328767124E-4</v>
      </c>
      <c r="M607" s="253">
        <f t="shared" si="63"/>
        <v>267.44427287671232</v>
      </c>
    </row>
    <row r="608" spans="2:13" hidden="1" outlineLevel="1" x14ac:dyDescent="0.25">
      <c r="B608" s="251">
        <f t="shared" si="61"/>
        <v>45975</v>
      </c>
      <c r="C608" s="252" t="str">
        <f t="shared" si="58"/>
        <v>Nov</v>
      </c>
      <c r="D608" s="252" t="str">
        <f t="shared" si="59"/>
        <v>2025</v>
      </c>
      <c r="E608" s="253"/>
      <c r="F608" s="254"/>
      <c r="G608" s="254"/>
      <c r="H608" s="254"/>
      <c r="I608" s="254"/>
      <c r="J608" s="254"/>
      <c r="K608" s="253">
        <f t="shared" si="62"/>
        <v>813476.33</v>
      </c>
      <c r="L608" s="255">
        <f t="shared" si="60"/>
        <v>3.2876712328767124E-4</v>
      </c>
      <c r="M608" s="253">
        <f t="shared" si="63"/>
        <v>267.44427287671232</v>
      </c>
    </row>
    <row r="609" spans="2:13" hidden="1" outlineLevel="1" x14ac:dyDescent="0.25">
      <c r="B609" s="251">
        <f t="shared" si="61"/>
        <v>45976</v>
      </c>
      <c r="C609" s="252" t="str">
        <f t="shared" si="58"/>
        <v>Nov</v>
      </c>
      <c r="D609" s="252" t="str">
        <f t="shared" si="59"/>
        <v>2025</v>
      </c>
      <c r="E609" s="253"/>
      <c r="F609" s="254"/>
      <c r="G609" s="254"/>
      <c r="H609" s="254"/>
      <c r="I609" s="254"/>
      <c r="J609" s="254"/>
      <c r="K609" s="253">
        <f t="shared" si="62"/>
        <v>813476.33</v>
      </c>
      <c r="L609" s="255">
        <f t="shared" si="60"/>
        <v>3.2876712328767124E-4</v>
      </c>
      <c r="M609" s="253">
        <f t="shared" si="63"/>
        <v>267.44427287671232</v>
      </c>
    </row>
    <row r="610" spans="2:13" hidden="1" outlineLevel="1" x14ac:dyDescent="0.25">
      <c r="B610" s="251">
        <f t="shared" si="61"/>
        <v>45977</v>
      </c>
      <c r="C610" s="252" t="str">
        <f t="shared" si="58"/>
        <v>Nov</v>
      </c>
      <c r="D610" s="252" t="str">
        <f t="shared" si="59"/>
        <v>2025</v>
      </c>
      <c r="E610" s="253"/>
      <c r="F610" s="254"/>
      <c r="G610" s="254"/>
      <c r="H610" s="254"/>
      <c r="I610" s="254"/>
      <c r="J610" s="254"/>
      <c r="K610" s="253">
        <f t="shared" si="62"/>
        <v>813476.33</v>
      </c>
      <c r="L610" s="255">
        <f t="shared" si="60"/>
        <v>3.2876712328767124E-4</v>
      </c>
      <c r="M610" s="253">
        <f t="shared" si="63"/>
        <v>267.44427287671232</v>
      </c>
    </row>
    <row r="611" spans="2:13" hidden="1" outlineLevel="1" x14ac:dyDescent="0.25">
      <c r="B611" s="251">
        <f t="shared" si="61"/>
        <v>45978</v>
      </c>
      <c r="C611" s="252" t="str">
        <f t="shared" si="58"/>
        <v>Nov</v>
      </c>
      <c r="D611" s="252" t="str">
        <f t="shared" si="59"/>
        <v>2025</v>
      </c>
      <c r="E611" s="253"/>
      <c r="F611" s="254"/>
      <c r="G611" s="254"/>
      <c r="H611" s="254"/>
      <c r="I611" s="254"/>
      <c r="J611" s="254"/>
      <c r="K611" s="253">
        <f t="shared" si="62"/>
        <v>813476.33</v>
      </c>
      <c r="L611" s="255">
        <f t="shared" si="60"/>
        <v>3.2876712328767124E-4</v>
      </c>
      <c r="M611" s="253">
        <f t="shared" si="63"/>
        <v>267.44427287671232</v>
      </c>
    </row>
    <row r="612" spans="2:13" hidden="1" outlineLevel="1" x14ac:dyDescent="0.25">
      <c r="B612" s="251">
        <f t="shared" si="61"/>
        <v>45979</v>
      </c>
      <c r="C612" s="252" t="str">
        <f t="shared" si="58"/>
        <v>Nov</v>
      </c>
      <c r="D612" s="252" t="str">
        <f t="shared" si="59"/>
        <v>2025</v>
      </c>
      <c r="E612" s="253"/>
      <c r="F612" s="254"/>
      <c r="G612" s="254"/>
      <c r="H612" s="254"/>
      <c r="I612" s="254"/>
      <c r="J612" s="254"/>
      <c r="K612" s="253">
        <f t="shared" si="62"/>
        <v>813476.33</v>
      </c>
      <c r="L612" s="255">
        <f t="shared" si="60"/>
        <v>3.2876712328767124E-4</v>
      </c>
      <c r="M612" s="253">
        <f t="shared" si="63"/>
        <v>267.44427287671232</v>
      </c>
    </row>
    <row r="613" spans="2:13" hidden="1" outlineLevel="1" x14ac:dyDescent="0.25">
      <c r="B613" s="251">
        <f t="shared" si="61"/>
        <v>45980</v>
      </c>
      <c r="C613" s="252" t="str">
        <f t="shared" si="58"/>
        <v>Nov</v>
      </c>
      <c r="D613" s="252" t="str">
        <f t="shared" si="59"/>
        <v>2025</v>
      </c>
      <c r="E613" s="253">
        <v>-12500</v>
      </c>
      <c r="F613" s="254" t="s">
        <v>480</v>
      </c>
      <c r="G613" s="254"/>
      <c r="H613" s="254" t="s">
        <v>911</v>
      </c>
      <c r="I613" s="254" t="s">
        <v>929</v>
      </c>
      <c r="J613" s="254" t="s">
        <v>935</v>
      </c>
      <c r="K613" s="253">
        <f t="shared" si="62"/>
        <v>800976.33</v>
      </c>
      <c r="L613" s="255">
        <f t="shared" si="60"/>
        <v>3.2876712328767124E-4</v>
      </c>
      <c r="M613" s="253">
        <f t="shared" si="63"/>
        <v>263.33468383561643</v>
      </c>
    </row>
    <row r="614" spans="2:13" hidden="1" outlineLevel="1" x14ac:dyDescent="0.25">
      <c r="B614" s="251">
        <f t="shared" si="61"/>
        <v>45981</v>
      </c>
      <c r="C614" s="252" t="str">
        <f t="shared" si="58"/>
        <v>Nov</v>
      </c>
      <c r="D614" s="252" t="str">
        <f t="shared" si="59"/>
        <v>2025</v>
      </c>
      <c r="E614" s="253"/>
      <c r="F614" s="254"/>
      <c r="G614" s="254"/>
      <c r="H614" s="254"/>
      <c r="I614" s="254"/>
      <c r="J614" s="254"/>
      <c r="K614" s="253">
        <f t="shared" si="62"/>
        <v>800976.33</v>
      </c>
      <c r="L614" s="255">
        <f t="shared" si="60"/>
        <v>3.2876712328767124E-4</v>
      </c>
      <c r="M614" s="253">
        <f t="shared" si="63"/>
        <v>263.33468383561643</v>
      </c>
    </row>
    <row r="615" spans="2:13" hidden="1" outlineLevel="1" x14ac:dyDescent="0.25">
      <c r="B615" s="251">
        <f t="shared" si="61"/>
        <v>45982</v>
      </c>
      <c r="C615" s="252" t="str">
        <f t="shared" si="58"/>
        <v>Nov</v>
      </c>
      <c r="D615" s="252" t="str">
        <f t="shared" si="59"/>
        <v>2025</v>
      </c>
      <c r="E615" s="253"/>
      <c r="F615" s="254"/>
      <c r="G615" s="254"/>
      <c r="H615" s="254"/>
      <c r="I615" s="254"/>
      <c r="J615" s="254"/>
      <c r="K615" s="253">
        <f t="shared" si="62"/>
        <v>800976.33</v>
      </c>
      <c r="L615" s="255">
        <f t="shared" si="60"/>
        <v>3.2876712328767124E-4</v>
      </c>
      <c r="M615" s="253">
        <f t="shared" si="63"/>
        <v>263.33468383561643</v>
      </c>
    </row>
    <row r="616" spans="2:13" hidden="1" outlineLevel="1" x14ac:dyDescent="0.25">
      <c r="B616" s="251">
        <f t="shared" si="61"/>
        <v>45983</v>
      </c>
      <c r="C616" s="252" t="str">
        <f t="shared" si="58"/>
        <v>Nov</v>
      </c>
      <c r="D616" s="252" t="str">
        <f t="shared" si="59"/>
        <v>2025</v>
      </c>
      <c r="E616" s="253"/>
      <c r="F616" s="254"/>
      <c r="G616" s="254"/>
      <c r="H616" s="254"/>
      <c r="I616" s="254"/>
      <c r="J616" s="254"/>
      <c r="K616" s="253">
        <f t="shared" si="62"/>
        <v>800976.33</v>
      </c>
      <c r="L616" s="255">
        <f t="shared" si="60"/>
        <v>3.2876712328767124E-4</v>
      </c>
      <c r="M616" s="253">
        <f t="shared" si="63"/>
        <v>263.33468383561643</v>
      </c>
    </row>
    <row r="617" spans="2:13" hidden="1" outlineLevel="1" x14ac:dyDescent="0.25">
      <c r="B617" s="251">
        <f t="shared" si="61"/>
        <v>45984</v>
      </c>
      <c r="C617" s="252" t="str">
        <f t="shared" si="58"/>
        <v>Nov</v>
      </c>
      <c r="D617" s="252" t="str">
        <f t="shared" si="59"/>
        <v>2025</v>
      </c>
      <c r="E617" s="253"/>
      <c r="F617" s="254"/>
      <c r="G617" s="254"/>
      <c r="H617" s="254"/>
      <c r="I617" s="254"/>
      <c r="J617" s="254"/>
      <c r="K617" s="253">
        <f t="shared" si="62"/>
        <v>800976.33</v>
      </c>
      <c r="L617" s="255">
        <f t="shared" si="60"/>
        <v>3.2876712328767124E-4</v>
      </c>
      <c r="M617" s="253">
        <f t="shared" si="63"/>
        <v>263.33468383561643</v>
      </c>
    </row>
    <row r="618" spans="2:13" hidden="1" outlineLevel="1" x14ac:dyDescent="0.25">
      <c r="B618" s="251">
        <f t="shared" si="61"/>
        <v>45985</v>
      </c>
      <c r="C618" s="252" t="str">
        <f t="shared" si="58"/>
        <v>Nov</v>
      </c>
      <c r="D618" s="252" t="str">
        <f t="shared" si="59"/>
        <v>2025</v>
      </c>
      <c r="E618" s="253"/>
      <c r="F618" s="254"/>
      <c r="G618" s="254"/>
      <c r="H618" s="254"/>
      <c r="I618" s="254"/>
      <c r="J618" s="254"/>
      <c r="K618" s="253">
        <f t="shared" si="62"/>
        <v>800976.33</v>
      </c>
      <c r="L618" s="255">
        <f t="shared" si="60"/>
        <v>3.2876712328767124E-4</v>
      </c>
      <c r="M618" s="253">
        <f t="shared" si="63"/>
        <v>263.33468383561643</v>
      </c>
    </row>
    <row r="619" spans="2:13" hidden="1" outlineLevel="1" x14ac:dyDescent="0.25">
      <c r="B619" s="251">
        <f t="shared" si="61"/>
        <v>45986</v>
      </c>
      <c r="C619" s="252" t="str">
        <f t="shared" si="58"/>
        <v>Nov</v>
      </c>
      <c r="D619" s="252" t="str">
        <f t="shared" si="59"/>
        <v>2025</v>
      </c>
      <c r="E619" s="253">
        <v>100000</v>
      </c>
      <c r="F619" s="254" t="s">
        <v>728</v>
      </c>
      <c r="G619" s="254" t="s">
        <v>315</v>
      </c>
      <c r="H619" s="254" t="s">
        <v>911</v>
      </c>
      <c r="I619" s="254" t="s">
        <v>939</v>
      </c>
      <c r="J619" s="254" t="s">
        <v>935</v>
      </c>
      <c r="K619" s="253">
        <f t="shared" si="62"/>
        <v>900976.33</v>
      </c>
      <c r="L619" s="255">
        <f t="shared" si="60"/>
        <v>3.2876712328767124E-4</v>
      </c>
      <c r="M619" s="253">
        <f t="shared" si="63"/>
        <v>296.21139616438353</v>
      </c>
    </row>
    <row r="620" spans="2:13" hidden="1" outlineLevel="1" x14ac:dyDescent="0.25">
      <c r="B620" s="251">
        <f t="shared" si="61"/>
        <v>45987</v>
      </c>
      <c r="C620" s="252" t="str">
        <f t="shared" si="58"/>
        <v>Nov</v>
      </c>
      <c r="D620" s="252" t="str">
        <f t="shared" si="59"/>
        <v>2025</v>
      </c>
      <c r="E620" s="253"/>
      <c r="F620" s="254"/>
      <c r="G620" s="254"/>
      <c r="H620" s="254"/>
      <c r="I620" s="254"/>
      <c r="J620" s="254"/>
      <c r="K620" s="253">
        <f t="shared" si="62"/>
        <v>900976.33</v>
      </c>
      <c r="L620" s="255">
        <f t="shared" si="60"/>
        <v>3.2876712328767124E-4</v>
      </c>
      <c r="M620" s="253">
        <f t="shared" si="63"/>
        <v>296.21139616438353</v>
      </c>
    </row>
    <row r="621" spans="2:13" hidden="1" outlineLevel="1" x14ac:dyDescent="0.25">
      <c r="B621" s="251">
        <f t="shared" si="61"/>
        <v>45988</v>
      </c>
      <c r="C621" s="252" t="str">
        <f t="shared" si="58"/>
        <v>Nov</v>
      </c>
      <c r="D621" s="252" t="str">
        <f t="shared" si="59"/>
        <v>2025</v>
      </c>
      <c r="E621" s="253"/>
      <c r="F621" s="254"/>
      <c r="G621" s="254"/>
      <c r="H621" s="254"/>
      <c r="I621" s="254"/>
      <c r="J621" s="254"/>
      <c r="K621" s="253">
        <f t="shared" si="62"/>
        <v>900976.33</v>
      </c>
      <c r="L621" s="255">
        <f t="shared" si="60"/>
        <v>3.2876712328767124E-4</v>
      </c>
      <c r="M621" s="253">
        <f t="shared" si="63"/>
        <v>296.21139616438353</v>
      </c>
    </row>
    <row r="622" spans="2:13" hidden="1" outlineLevel="1" x14ac:dyDescent="0.25">
      <c r="B622" s="251">
        <f t="shared" si="61"/>
        <v>45989</v>
      </c>
      <c r="C622" s="252" t="str">
        <f t="shared" si="58"/>
        <v>Nov</v>
      </c>
      <c r="D622" s="252" t="str">
        <f t="shared" si="59"/>
        <v>2025</v>
      </c>
      <c r="E622" s="253"/>
      <c r="F622" s="254"/>
      <c r="G622" s="254"/>
      <c r="H622" s="254"/>
      <c r="I622" s="254"/>
      <c r="J622" s="254"/>
      <c r="K622" s="253">
        <f t="shared" si="62"/>
        <v>900976.33</v>
      </c>
      <c r="L622" s="255">
        <f t="shared" si="60"/>
        <v>3.2876712328767124E-4</v>
      </c>
      <c r="M622" s="253">
        <f t="shared" si="63"/>
        <v>296.21139616438353</v>
      </c>
    </row>
    <row r="623" spans="2:13" hidden="1" outlineLevel="1" x14ac:dyDescent="0.25">
      <c r="B623" s="251">
        <f t="shared" si="61"/>
        <v>45990</v>
      </c>
      <c r="C623" s="252" t="str">
        <f t="shared" si="58"/>
        <v>Nov</v>
      </c>
      <c r="D623" s="252" t="str">
        <f t="shared" si="59"/>
        <v>2025</v>
      </c>
      <c r="E623" s="253"/>
      <c r="F623" s="254"/>
      <c r="G623" s="254"/>
      <c r="H623" s="254"/>
      <c r="I623" s="254"/>
      <c r="J623" s="254"/>
      <c r="K623" s="253">
        <f t="shared" si="62"/>
        <v>900976.33</v>
      </c>
      <c r="L623" s="255">
        <f t="shared" si="60"/>
        <v>3.2876712328767124E-4</v>
      </c>
      <c r="M623" s="253">
        <f t="shared" si="63"/>
        <v>296.21139616438353</v>
      </c>
    </row>
    <row r="624" spans="2:13" collapsed="1" x14ac:dyDescent="0.25">
      <c r="B624" s="251">
        <f t="shared" si="61"/>
        <v>45991</v>
      </c>
      <c r="C624" s="252" t="str">
        <f t="shared" si="58"/>
        <v>Nov</v>
      </c>
      <c r="D624" s="252" t="str">
        <f t="shared" si="59"/>
        <v>2025</v>
      </c>
      <c r="E624" s="253"/>
      <c r="F624" s="254"/>
      <c r="G624" s="254"/>
      <c r="H624" s="254"/>
      <c r="I624" s="254"/>
      <c r="J624" s="254"/>
      <c r="K624" s="253">
        <f t="shared" si="62"/>
        <v>900976.33</v>
      </c>
      <c r="L624" s="255">
        <f t="shared" si="60"/>
        <v>3.2876712328767124E-4</v>
      </c>
      <c r="M624" s="253">
        <f t="shared" si="63"/>
        <v>296.21139616438353</v>
      </c>
    </row>
    <row r="625" spans="2:13" hidden="1" outlineLevel="1" x14ac:dyDescent="0.25">
      <c r="B625" s="251">
        <f t="shared" si="61"/>
        <v>45992</v>
      </c>
      <c r="C625" s="252" t="str">
        <f t="shared" si="58"/>
        <v>Dec</v>
      </c>
      <c r="D625" s="252" t="str">
        <f t="shared" si="59"/>
        <v>2025</v>
      </c>
      <c r="E625" s="253"/>
      <c r="F625" s="254"/>
      <c r="G625" s="254"/>
      <c r="H625" s="254"/>
      <c r="I625" s="254"/>
      <c r="J625" s="254"/>
      <c r="K625" s="253">
        <f t="shared" si="62"/>
        <v>900976.33</v>
      </c>
      <c r="L625" s="255">
        <f t="shared" si="60"/>
        <v>3.2876712328767124E-4</v>
      </c>
      <c r="M625" s="253">
        <f t="shared" si="63"/>
        <v>296.21139616438353</v>
      </c>
    </row>
    <row r="626" spans="2:13" hidden="1" outlineLevel="1" x14ac:dyDescent="0.25">
      <c r="B626" s="251">
        <f t="shared" si="61"/>
        <v>45993</v>
      </c>
      <c r="C626" s="252" t="str">
        <f t="shared" si="58"/>
        <v>Dec</v>
      </c>
      <c r="D626" s="252" t="str">
        <f t="shared" si="59"/>
        <v>2025</v>
      </c>
      <c r="E626" s="253"/>
      <c r="F626" s="254"/>
      <c r="G626" s="254"/>
      <c r="H626" s="254"/>
      <c r="I626" s="254"/>
      <c r="J626" s="254"/>
      <c r="K626" s="253">
        <f t="shared" si="62"/>
        <v>900976.33</v>
      </c>
      <c r="L626" s="255">
        <f t="shared" si="60"/>
        <v>3.2876712328767124E-4</v>
      </c>
      <c r="M626" s="253">
        <f t="shared" si="63"/>
        <v>296.21139616438353</v>
      </c>
    </row>
    <row r="627" spans="2:13" hidden="1" outlineLevel="1" x14ac:dyDescent="0.25">
      <c r="B627" s="251">
        <f t="shared" si="61"/>
        <v>45994</v>
      </c>
      <c r="C627" s="252" t="str">
        <f t="shared" si="58"/>
        <v>Dec</v>
      </c>
      <c r="D627" s="252" t="str">
        <f t="shared" si="59"/>
        <v>2025</v>
      </c>
      <c r="E627" s="253">
        <v>-12500</v>
      </c>
      <c r="F627" s="254" t="s">
        <v>480</v>
      </c>
      <c r="G627" s="254"/>
      <c r="H627" s="254" t="s">
        <v>911</v>
      </c>
      <c r="I627" s="254" t="s">
        <v>929</v>
      </c>
      <c r="J627" s="254" t="s">
        <v>54</v>
      </c>
      <c r="K627" s="253">
        <f t="shared" si="62"/>
        <v>888476.33</v>
      </c>
      <c r="L627" s="255">
        <f t="shared" si="60"/>
        <v>3.2876712328767124E-4</v>
      </c>
      <c r="M627" s="253">
        <f t="shared" si="63"/>
        <v>292.10180712328764</v>
      </c>
    </row>
    <row r="628" spans="2:13" hidden="1" outlineLevel="1" x14ac:dyDescent="0.25">
      <c r="B628" s="251">
        <f t="shared" si="61"/>
        <v>45995</v>
      </c>
      <c r="C628" s="252" t="str">
        <f t="shared" si="58"/>
        <v>Dec</v>
      </c>
      <c r="D628" s="252" t="str">
        <f t="shared" si="59"/>
        <v>2025</v>
      </c>
      <c r="E628" s="253"/>
      <c r="F628" s="254"/>
      <c r="G628" s="254"/>
      <c r="H628" s="254"/>
      <c r="I628" s="254"/>
      <c r="J628" s="254"/>
      <c r="K628" s="253">
        <f t="shared" si="62"/>
        <v>888476.33</v>
      </c>
      <c r="L628" s="255">
        <f t="shared" si="60"/>
        <v>3.2876712328767124E-4</v>
      </c>
      <c r="M628" s="253">
        <f t="shared" si="63"/>
        <v>292.10180712328764</v>
      </c>
    </row>
    <row r="629" spans="2:13" hidden="1" outlineLevel="1" x14ac:dyDescent="0.25">
      <c r="B629" s="251">
        <f t="shared" si="61"/>
        <v>45996</v>
      </c>
      <c r="C629" s="252" t="str">
        <f t="shared" si="58"/>
        <v>Dec</v>
      </c>
      <c r="D629" s="252" t="str">
        <f t="shared" si="59"/>
        <v>2025</v>
      </c>
      <c r="E629" s="253"/>
      <c r="F629" s="254"/>
      <c r="G629" s="254"/>
      <c r="H629" s="254"/>
      <c r="I629" s="254"/>
      <c r="J629" s="254"/>
      <c r="K629" s="253">
        <f t="shared" si="62"/>
        <v>888476.33</v>
      </c>
      <c r="L629" s="255">
        <f t="shared" si="60"/>
        <v>3.2876712328767124E-4</v>
      </c>
      <c r="M629" s="253">
        <f t="shared" si="63"/>
        <v>292.10180712328764</v>
      </c>
    </row>
    <row r="630" spans="2:13" hidden="1" outlineLevel="1" x14ac:dyDescent="0.25">
      <c r="B630" s="251">
        <f t="shared" si="61"/>
        <v>45997</v>
      </c>
      <c r="C630" s="252" t="str">
        <f t="shared" si="58"/>
        <v>Dec</v>
      </c>
      <c r="D630" s="252" t="str">
        <f t="shared" si="59"/>
        <v>2025</v>
      </c>
      <c r="E630" s="253"/>
      <c r="F630" s="254"/>
      <c r="G630" s="254"/>
      <c r="H630" s="254"/>
      <c r="I630" s="254"/>
      <c r="J630" s="254"/>
      <c r="K630" s="253">
        <f t="shared" si="62"/>
        <v>888476.33</v>
      </c>
      <c r="L630" s="255">
        <f t="shared" si="60"/>
        <v>3.2876712328767124E-4</v>
      </c>
      <c r="M630" s="253">
        <f t="shared" si="63"/>
        <v>292.10180712328764</v>
      </c>
    </row>
    <row r="631" spans="2:13" hidden="1" outlineLevel="1" x14ac:dyDescent="0.25">
      <c r="B631" s="251">
        <f t="shared" si="61"/>
        <v>45998</v>
      </c>
      <c r="C631" s="252" t="str">
        <f t="shared" si="58"/>
        <v>Dec</v>
      </c>
      <c r="D631" s="252" t="str">
        <f t="shared" si="59"/>
        <v>2025</v>
      </c>
      <c r="E631" s="253"/>
      <c r="F631" s="254"/>
      <c r="G631" s="254"/>
      <c r="H631" s="254"/>
      <c r="I631" s="254"/>
      <c r="J631" s="254"/>
      <c r="K631" s="253">
        <f t="shared" si="62"/>
        <v>888476.33</v>
      </c>
      <c r="L631" s="255">
        <f t="shared" si="60"/>
        <v>3.2876712328767124E-4</v>
      </c>
      <c r="M631" s="253">
        <f t="shared" si="63"/>
        <v>292.10180712328764</v>
      </c>
    </row>
    <row r="632" spans="2:13" hidden="1" outlineLevel="1" x14ac:dyDescent="0.25">
      <c r="B632" s="251">
        <f t="shared" si="61"/>
        <v>45999</v>
      </c>
      <c r="C632" s="252" t="str">
        <f t="shared" si="58"/>
        <v>Dec</v>
      </c>
      <c r="D632" s="252" t="str">
        <f t="shared" si="59"/>
        <v>2025</v>
      </c>
      <c r="E632" s="253"/>
      <c r="F632" s="254"/>
      <c r="G632" s="254"/>
      <c r="H632" s="254"/>
      <c r="I632" s="254"/>
      <c r="J632" s="254"/>
      <c r="K632" s="253">
        <f t="shared" si="62"/>
        <v>888476.33</v>
      </c>
      <c r="L632" s="255">
        <f t="shared" si="60"/>
        <v>3.2876712328767124E-4</v>
      </c>
      <c r="M632" s="253">
        <f t="shared" si="63"/>
        <v>292.10180712328764</v>
      </c>
    </row>
    <row r="633" spans="2:13" hidden="1" outlineLevel="1" x14ac:dyDescent="0.25">
      <c r="B633" s="251">
        <f t="shared" si="61"/>
        <v>46000</v>
      </c>
      <c r="C633" s="252" t="str">
        <f t="shared" si="58"/>
        <v>Dec</v>
      </c>
      <c r="D633" s="252" t="str">
        <f t="shared" si="59"/>
        <v>2025</v>
      </c>
      <c r="E633" s="253">
        <v>2250</v>
      </c>
      <c r="F633" s="254" t="s">
        <v>710</v>
      </c>
      <c r="G633" s="254" t="s">
        <v>940</v>
      </c>
      <c r="H633" s="254"/>
      <c r="I633" s="254" t="s">
        <v>941</v>
      </c>
      <c r="J633" s="254"/>
      <c r="K633" s="253">
        <f t="shared" si="62"/>
        <v>890726.33</v>
      </c>
      <c r="L633" s="255">
        <f t="shared" si="60"/>
        <v>3.2876712328767124E-4</v>
      </c>
      <c r="M633" s="253">
        <f t="shared" si="63"/>
        <v>292.84153315068494</v>
      </c>
    </row>
    <row r="634" spans="2:13" hidden="1" outlineLevel="1" x14ac:dyDescent="0.25">
      <c r="B634" s="251">
        <f t="shared" si="61"/>
        <v>46001</v>
      </c>
      <c r="C634" s="252" t="str">
        <f t="shared" si="58"/>
        <v>Dec</v>
      </c>
      <c r="D634" s="252" t="str">
        <f t="shared" si="59"/>
        <v>2025</v>
      </c>
      <c r="E634" s="253"/>
      <c r="F634" s="254"/>
      <c r="G634" s="254"/>
      <c r="H634" s="254"/>
      <c r="I634" s="254"/>
      <c r="J634" s="254"/>
      <c r="K634" s="253">
        <f t="shared" si="62"/>
        <v>890726.33</v>
      </c>
      <c r="L634" s="255">
        <f t="shared" si="60"/>
        <v>3.2876712328767124E-4</v>
      </c>
      <c r="M634" s="253">
        <f t="shared" si="63"/>
        <v>292.84153315068494</v>
      </c>
    </row>
    <row r="635" spans="2:13" hidden="1" outlineLevel="1" x14ac:dyDescent="0.25">
      <c r="B635" s="251">
        <f t="shared" si="61"/>
        <v>46002</v>
      </c>
      <c r="C635" s="252" t="str">
        <f t="shared" si="58"/>
        <v>Dec</v>
      </c>
      <c r="D635" s="252" t="str">
        <f t="shared" si="59"/>
        <v>2025</v>
      </c>
      <c r="E635" s="253"/>
      <c r="F635" s="254"/>
      <c r="G635" s="254"/>
      <c r="H635" s="254"/>
      <c r="I635" s="254"/>
      <c r="J635" s="254"/>
      <c r="K635" s="253">
        <f t="shared" si="62"/>
        <v>890726.33</v>
      </c>
      <c r="L635" s="255">
        <f t="shared" si="60"/>
        <v>3.2876712328767124E-4</v>
      </c>
      <c r="M635" s="253">
        <f t="shared" si="63"/>
        <v>292.84153315068494</v>
      </c>
    </row>
    <row r="636" spans="2:13" hidden="1" outlineLevel="1" x14ac:dyDescent="0.25">
      <c r="B636" s="251">
        <f t="shared" si="61"/>
        <v>46003</v>
      </c>
      <c r="C636" s="252" t="str">
        <f t="shared" si="58"/>
        <v>Dec</v>
      </c>
      <c r="D636" s="252" t="str">
        <f t="shared" si="59"/>
        <v>2025</v>
      </c>
      <c r="E636" s="253"/>
      <c r="F636" s="254"/>
      <c r="G636" s="254"/>
      <c r="H636" s="254"/>
      <c r="I636" s="254"/>
      <c r="J636" s="254"/>
      <c r="K636" s="253">
        <f t="shared" si="62"/>
        <v>890726.33</v>
      </c>
      <c r="L636" s="255">
        <f t="shared" si="60"/>
        <v>3.2876712328767124E-4</v>
      </c>
      <c r="M636" s="253">
        <f t="shared" si="63"/>
        <v>292.84153315068494</v>
      </c>
    </row>
    <row r="637" spans="2:13" hidden="1" outlineLevel="1" x14ac:dyDescent="0.25">
      <c r="B637" s="251">
        <f t="shared" si="61"/>
        <v>46004</v>
      </c>
      <c r="C637" s="252" t="str">
        <f t="shared" si="58"/>
        <v>Dec</v>
      </c>
      <c r="D637" s="252" t="str">
        <f t="shared" si="59"/>
        <v>2025</v>
      </c>
      <c r="E637" s="253"/>
      <c r="F637" s="254"/>
      <c r="G637" s="254"/>
      <c r="H637" s="254"/>
      <c r="I637" s="254"/>
      <c r="J637" s="254"/>
      <c r="K637" s="253">
        <f t="shared" si="62"/>
        <v>890726.33</v>
      </c>
      <c r="L637" s="255">
        <f t="shared" si="60"/>
        <v>3.2876712328767124E-4</v>
      </c>
      <c r="M637" s="253">
        <f t="shared" si="63"/>
        <v>292.84153315068494</v>
      </c>
    </row>
    <row r="638" spans="2:13" hidden="1" outlineLevel="1" x14ac:dyDescent="0.25">
      <c r="B638" s="251">
        <f t="shared" si="61"/>
        <v>46005</v>
      </c>
      <c r="C638" s="252" t="str">
        <f t="shared" si="58"/>
        <v>Dec</v>
      </c>
      <c r="D638" s="252" t="str">
        <f t="shared" si="59"/>
        <v>2025</v>
      </c>
      <c r="E638" s="253"/>
      <c r="F638" s="254"/>
      <c r="G638" s="254"/>
      <c r="H638" s="254"/>
      <c r="I638" s="254"/>
      <c r="J638" s="254"/>
      <c r="K638" s="253">
        <f t="shared" si="62"/>
        <v>890726.33</v>
      </c>
      <c r="L638" s="255">
        <f t="shared" si="60"/>
        <v>3.2876712328767124E-4</v>
      </c>
      <c r="M638" s="253">
        <f t="shared" si="63"/>
        <v>292.84153315068494</v>
      </c>
    </row>
    <row r="639" spans="2:13" hidden="1" outlineLevel="1" x14ac:dyDescent="0.25">
      <c r="B639" s="251">
        <f t="shared" si="61"/>
        <v>46006</v>
      </c>
      <c r="C639" s="252" t="str">
        <f t="shared" si="58"/>
        <v>Dec</v>
      </c>
      <c r="D639" s="252" t="str">
        <f t="shared" si="59"/>
        <v>2025</v>
      </c>
      <c r="E639" s="253">
        <v>30000</v>
      </c>
      <c r="F639" s="254" t="s">
        <v>728</v>
      </c>
      <c r="G639" s="254"/>
      <c r="H639" s="254" t="s">
        <v>911</v>
      </c>
      <c r="I639" s="254" t="s">
        <v>942</v>
      </c>
      <c r="J639" s="254" t="s">
        <v>54</v>
      </c>
      <c r="K639" s="253">
        <f t="shared" si="62"/>
        <v>920726.33</v>
      </c>
      <c r="L639" s="255">
        <f t="shared" si="60"/>
        <v>3.2876712328767124E-4</v>
      </c>
      <c r="M639" s="253">
        <f t="shared" si="63"/>
        <v>302.70454684931508</v>
      </c>
    </row>
    <row r="640" spans="2:13" hidden="1" outlineLevel="1" x14ac:dyDescent="0.25">
      <c r="B640" s="251">
        <f t="shared" si="61"/>
        <v>46007</v>
      </c>
      <c r="C640" s="252" t="str">
        <f t="shared" si="58"/>
        <v>Dec</v>
      </c>
      <c r="D640" s="252" t="str">
        <f t="shared" si="59"/>
        <v>2025</v>
      </c>
      <c r="E640" s="253"/>
      <c r="F640" s="254"/>
      <c r="G640" s="254"/>
      <c r="H640" s="254"/>
      <c r="I640" s="254"/>
      <c r="J640" s="254"/>
      <c r="K640" s="253">
        <f t="shared" si="62"/>
        <v>920726.33</v>
      </c>
      <c r="L640" s="255">
        <f t="shared" si="60"/>
        <v>3.2876712328767124E-4</v>
      </c>
      <c r="M640" s="253">
        <f t="shared" si="63"/>
        <v>302.70454684931508</v>
      </c>
    </row>
    <row r="641" spans="2:13" hidden="1" outlineLevel="1" x14ac:dyDescent="0.25">
      <c r="B641" s="251">
        <f t="shared" si="61"/>
        <v>46008</v>
      </c>
      <c r="C641" s="252" t="str">
        <f t="shared" si="58"/>
        <v>Dec</v>
      </c>
      <c r="D641" s="252" t="str">
        <f t="shared" si="59"/>
        <v>2025</v>
      </c>
      <c r="E641" s="253"/>
      <c r="F641" s="254"/>
      <c r="G641" s="254"/>
      <c r="H641" s="254"/>
      <c r="I641" s="254"/>
      <c r="J641" s="254"/>
      <c r="K641" s="253">
        <f t="shared" si="62"/>
        <v>920726.33</v>
      </c>
      <c r="L641" s="255">
        <f t="shared" si="60"/>
        <v>3.2876712328767124E-4</v>
      </c>
      <c r="M641" s="253">
        <f t="shared" si="63"/>
        <v>302.70454684931508</v>
      </c>
    </row>
    <row r="642" spans="2:13" hidden="1" outlineLevel="1" x14ac:dyDescent="0.25">
      <c r="B642" s="251">
        <f t="shared" si="61"/>
        <v>46009</v>
      </c>
      <c r="C642" s="252" t="str">
        <f t="shared" si="58"/>
        <v>Dec</v>
      </c>
      <c r="D642" s="252" t="str">
        <f t="shared" si="59"/>
        <v>2025</v>
      </c>
      <c r="E642" s="253"/>
      <c r="F642" s="254"/>
      <c r="G642" s="254"/>
      <c r="H642" s="254"/>
      <c r="I642" s="254"/>
      <c r="J642" s="254"/>
      <c r="K642" s="253">
        <f t="shared" si="62"/>
        <v>920726.33</v>
      </c>
      <c r="L642" s="255">
        <f t="shared" si="60"/>
        <v>3.2876712328767124E-4</v>
      </c>
      <c r="M642" s="253">
        <f t="shared" si="63"/>
        <v>302.70454684931508</v>
      </c>
    </row>
    <row r="643" spans="2:13" hidden="1" outlineLevel="1" x14ac:dyDescent="0.25">
      <c r="B643" s="251">
        <f t="shared" si="61"/>
        <v>46010</v>
      </c>
      <c r="C643" s="252" t="str">
        <f t="shared" si="58"/>
        <v>Dec</v>
      </c>
      <c r="D643" s="252" t="str">
        <f t="shared" si="59"/>
        <v>2025</v>
      </c>
      <c r="E643" s="253"/>
      <c r="F643" s="254"/>
      <c r="G643" s="254"/>
      <c r="H643" s="254"/>
      <c r="I643" s="254"/>
      <c r="J643" s="254"/>
      <c r="K643" s="253">
        <f t="shared" si="62"/>
        <v>920726.33</v>
      </c>
      <c r="L643" s="255">
        <f t="shared" si="60"/>
        <v>3.2876712328767124E-4</v>
      </c>
      <c r="M643" s="253">
        <f t="shared" si="63"/>
        <v>302.70454684931508</v>
      </c>
    </row>
    <row r="644" spans="2:13" hidden="1" outlineLevel="1" x14ac:dyDescent="0.25">
      <c r="B644" s="251">
        <f t="shared" si="61"/>
        <v>46011</v>
      </c>
      <c r="C644" s="252" t="str">
        <f t="shared" si="58"/>
        <v>Dec</v>
      </c>
      <c r="D644" s="252" t="str">
        <f t="shared" si="59"/>
        <v>2025</v>
      </c>
      <c r="E644" s="253"/>
      <c r="F644" s="254"/>
      <c r="G644" s="254"/>
      <c r="H644" s="254"/>
      <c r="I644" s="254"/>
      <c r="J644" s="254"/>
      <c r="K644" s="253">
        <f t="shared" si="62"/>
        <v>920726.33</v>
      </c>
      <c r="L644" s="255">
        <f t="shared" si="60"/>
        <v>3.2876712328767124E-4</v>
      </c>
      <c r="M644" s="253">
        <f t="shared" si="63"/>
        <v>302.70454684931508</v>
      </c>
    </row>
    <row r="645" spans="2:13" hidden="1" outlineLevel="1" x14ac:dyDescent="0.25">
      <c r="B645" s="251">
        <f t="shared" si="61"/>
        <v>46012</v>
      </c>
      <c r="C645" s="252" t="str">
        <f t="shared" si="58"/>
        <v>Dec</v>
      </c>
      <c r="D645" s="252" t="str">
        <f t="shared" si="59"/>
        <v>2025</v>
      </c>
      <c r="E645" s="253"/>
      <c r="F645" s="254"/>
      <c r="G645" s="254"/>
      <c r="H645" s="254"/>
      <c r="I645" s="254"/>
      <c r="J645" s="254"/>
      <c r="K645" s="253">
        <f t="shared" si="62"/>
        <v>920726.33</v>
      </c>
      <c r="L645" s="255">
        <f t="shared" si="60"/>
        <v>3.2876712328767124E-4</v>
      </c>
      <c r="M645" s="253">
        <f t="shared" si="63"/>
        <v>302.70454684931508</v>
      </c>
    </row>
    <row r="646" spans="2:13" hidden="1" outlineLevel="1" x14ac:dyDescent="0.25">
      <c r="B646" s="251">
        <f t="shared" si="61"/>
        <v>46013</v>
      </c>
      <c r="C646" s="252" t="str">
        <f t="shared" si="58"/>
        <v>Dec</v>
      </c>
      <c r="D646" s="252" t="str">
        <f t="shared" si="59"/>
        <v>2025</v>
      </c>
      <c r="E646" s="253"/>
      <c r="F646" s="254"/>
      <c r="G646" s="254"/>
      <c r="H646" s="254"/>
      <c r="I646" s="254"/>
      <c r="J646" s="254"/>
      <c r="K646" s="253">
        <f t="shared" si="62"/>
        <v>920726.33</v>
      </c>
      <c r="L646" s="255">
        <f t="shared" si="60"/>
        <v>3.2876712328767124E-4</v>
      </c>
      <c r="M646" s="253">
        <f t="shared" si="63"/>
        <v>302.70454684931508</v>
      </c>
    </row>
    <row r="647" spans="2:13" hidden="1" outlineLevel="1" x14ac:dyDescent="0.25">
      <c r="B647" s="251">
        <f t="shared" si="61"/>
        <v>46014</v>
      </c>
      <c r="C647" s="252" t="str">
        <f t="shared" si="58"/>
        <v>Dec</v>
      </c>
      <c r="D647" s="252" t="str">
        <f t="shared" si="59"/>
        <v>2025</v>
      </c>
      <c r="E647" s="253"/>
      <c r="F647" s="254"/>
      <c r="G647" s="254"/>
      <c r="H647" s="254"/>
      <c r="I647" s="254"/>
      <c r="J647" s="254"/>
      <c r="K647" s="253">
        <f t="shared" si="62"/>
        <v>920726.33</v>
      </c>
      <c r="L647" s="255">
        <f t="shared" si="60"/>
        <v>3.2876712328767124E-4</v>
      </c>
      <c r="M647" s="253">
        <f t="shared" si="63"/>
        <v>302.70454684931508</v>
      </c>
    </row>
    <row r="648" spans="2:13" hidden="1" outlineLevel="1" x14ac:dyDescent="0.25">
      <c r="B648" s="251">
        <f t="shared" si="61"/>
        <v>46015</v>
      </c>
      <c r="C648" s="252" t="str">
        <f t="shared" ref="C648:C655" si="64">TEXT(B648,"mmm")</f>
        <v>Dec</v>
      </c>
      <c r="D648" s="252" t="str">
        <f t="shared" ref="D648:D655" si="65">TEXT(B648,"yyyy")</f>
        <v>2025</v>
      </c>
      <c r="E648" s="253"/>
      <c r="F648" s="254"/>
      <c r="G648" s="254"/>
      <c r="H648" s="254"/>
      <c r="I648" s="254"/>
      <c r="J648" s="254"/>
      <c r="K648" s="253">
        <f t="shared" si="62"/>
        <v>920726.33</v>
      </c>
      <c r="L648" s="255">
        <f t="shared" ref="L648:L711" si="66">(0.12/365)</f>
        <v>3.2876712328767124E-4</v>
      </c>
      <c r="M648" s="253">
        <f t="shared" si="63"/>
        <v>302.70454684931508</v>
      </c>
    </row>
    <row r="649" spans="2:13" hidden="1" outlineLevel="1" x14ac:dyDescent="0.25">
      <c r="B649" s="251">
        <f t="shared" si="61"/>
        <v>46016</v>
      </c>
      <c r="C649" s="252" t="str">
        <f t="shared" si="64"/>
        <v>Dec</v>
      </c>
      <c r="D649" s="252" t="str">
        <f t="shared" si="65"/>
        <v>2025</v>
      </c>
      <c r="E649" s="253"/>
      <c r="F649" s="254"/>
      <c r="G649" s="254"/>
      <c r="H649" s="254"/>
      <c r="I649" s="254"/>
      <c r="J649" s="254"/>
      <c r="K649" s="253">
        <f t="shared" si="62"/>
        <v>920726.33</v>
      </c>
      <c r="L649" s="255">
        <f t="shared" si="66"/>
        <v>3.2876712328767124E-4</v>
      </c>
      <c r="M649" s="253">
        <f t="shared" si="63"/>
        <v>302.70454684931508</v>
      </c>
    </row>
    <row r="650" spans="2:13" hidden="1" outlineLevel="1" x14ac:dyDescent="0.25">
      <c r="B650" s="251">
        <f t="shared" si="61"/>
        <v>46017</v>
      </c>
      <c r="C650" s="252" t="str">
        <f t="shared" si="64"/>
        <v>Dec</v>
      </c>
      <c r="D650" s="252" t="str">
        <f t="shared" si="65"/>
        <v>2025</v>
      </c>
      <c r="E650" s="253"/>
      <c r="F650" s="254"/>
      <c r="G650" s="254"/>
      <c r="H650" s="254"/>
      <c r="I650" s="254"/>
      <c r="J650" s="254"/>
      <c r="K650" s="253">
        <f t="shared" si="62"/>
        <v>920726.33</v>
      </c>
      <c r="L650" s="255">
        <f t="shared" si="66"/>
        <v>3.2876712328767124E-4</v>
      </c>
      <c r="M650" s="253">
        <f t="shared" si="63"/>
        <v>302.70454684931508</v>
      </c>
    </row>
    <row r="651" spans="2:13" hidden="1" outlineLevel="1" x14ac:dyDescent="0.25">
      <c r="B651" s="251">
        <f t="shared" ref="B651:B655" si="67">+B650+1</f>
        <v>46018</v>
      </c>
      <c r="C651" s="252" t="str">
        <f t="shared" si="64"/>
        <v>Dec</v>
      </c>
      <c r="D651" s="252" t="str">
        <f t="shared" si="65"/>
        <v>2025</v>
      </c>
      <c r="E651" s="253"/>
      <c r="F651" s="254"/>
      <c r="G651" s="254"/>
      <c r="H651" s="254"/>
      <c r="I651" s="254"/>
      <c r="J651" s="254"/>
      <c r="K651" s="253">
        <f t="shared" si="62"/>
        <v>920726.33</v>
      </c>
      <c r="L651" s="255">
        <f t="shared" si="66"/>
        <v>3.2876712328767124E-4</v>
      </c>
      <c r="M651" s="253">
        <f t="shared" si="63"/>
        <v>302.70454684931508</v>
      </c>
    </row>
    <row r="652" spans="2:13" hidden="1" outlineLevel="1" x14ac:dyDescent="0.25">
      <c r="B652" s="251">
        <f t="shared" si="67"/>
        <v>46019</v>
      </c>
      <c r="C652" s="252" t="str">
        <f t="shared" si="64"/>
        <v>Dec</v>
      </c>
      <c r="D652" s="252" t="str">
        <f t="shared" si="65"/>
        <v>2025</v>
      </c>
      <c r="E652" s="253"/>
      <c r="F652" s="254"/>
      <c r="G652" s="254"/>
      <c r="H652" s="254"/>
      <c r="I652" s="254"/>
      <c r="J652" s="254"/>
      <c r="K652" s="253">
        <f t="shared" si="62"/>
        <v>920726.33</v>
      </c>
      <c r="L652" s="255">
        <f t="shared" si="66"/>
        <v>3.2876712328767124E-4</v>
      </c>
      <c r="M652" s="253">
        <f t="shared" si="63"/>
        <v>302.70454684931508</v>
      </c>
    </row>
    <row r="653" spans="2:13" hidden="1" outlineLevel="1" x14ac:dyDescent="0.25">
      <c r="B653" s="251">
        <f t="shared" si="67"/>
        <v>46020</v>
      </c>
      <c r="C653" s="252" t="str">
        <f t="shared" si="64"/>
        <v>Dec</v>
      </c>
      <c r="D653" s="252" t="str">
        <f t="shared" si="65"/>
        <v>2025</v>
      </c>
      <c r="E653" s="253"/>
      <c r="F653" s="254"/>
      <c r="G653" s="254"/>
      <c r="H653" s="254"/>
      <c r="I653" s="254"/>
      <c r="J653" s="254"/>
      <c r="K653" s="253">
        <f t="shared" si="62"/>
        <v>920726.33</v>
      </c>
      <c r="L653" s="255">
        <f t="shared" si="66"/>
        <v>3.2876712328767124E-4</v>
      </c>
      <c r="M653" s="253">
        <f t="shared" si="63"/>
        <v>302.70454684931508</v>
      </c>
    </row>
    <row r="654" spans="2:13" hidden="1" outlineLevel="1" x14ac:dyDescent="0.25">
      <c r="B654" s="251">
        <f t="shared" si="67"/>
        <v>46021</v>
      </c>
      <c r="C654" s="252" t="str">
        <f t="shared" si="64"/>
        <v>Dec</v>
      </c>
      <c r="D654" s="252" t="str">
        <f t="shared" si="65"/>
        <v>2025</v>
      </c>
      <c r="E654" s="253"/>
      <c r="F654" s="254"/>
      <c r="G654" s="254"/>
      <c r="H654" s="254"/>
      <c r="I654" s="254"/>
      <c r="J654" s="254"/>
      <c r="K654" s="253">
        <f t="shared" si="62"/>
        <v>920726.33</v>
      </c>
      <c r="L654" s="255">
        <f t="shared" si="66"/>
        <v>3.2876712328767124E-4</v>
      </c>
      <c r="M654" s="253">
        <f t="shared" si="63"/>
        <v>302.70454684931508</v>
      </c>
    </row>
    <row r="655" spans="2:13" collapsed="1" x14ac:dyDescent="0.25">
      <c r="B655" s="251">
        <f t="shared" si="67"/>
        <v>46022</v>
      </c>
      <c r="C655" s="252" t="str">
        <f t="shared" si="64"/>
        <v>Dec</v>
      </c>
      <c r="D655" s="252" t="str">
        <f t="shared" si="65"/>
        <v>2025</v>
      </c>
      <c r="E655" s="253"/>
      <c r="F655" s="254"/>
      <c r="G655" s="254"/>
      <c r="H655" s="254"/>
      <c r="I655" s="254"/>
      <c r="J655" s="254"/>
      <c r="K655" s="253">
        <f t="shared" si="62"/>
        <v>920726.33</v>
      </c>
      <c r="L655" s="255">
        <f t="shared" si="66"/>
        <v>3.2876712328767124E-4</v>
      </c>
      <c r="M655" s="253">
        <f t="shared" si="63"/>
        <v>302.70454684931508</v>
      </c>
    </row>
    <row r="656" spans="2:13" ht="15.75" thickBot="1" x14ac:dyDescent="0.3">
      <c r="B656" s="251"/>
      <c r="C656" s="252"/>
      <c r="D656" s="252"/>
      <c r="E656" s="253"/>
      <c r="F656" s="254"/>
      <c r="G656" s="254"/>
      <c r="H656" s="254"/>
      <c r="I656" s="254"/>
      <c r="J656" s="254"/>
      <c r="K656" s="253">
        <f t="shared" si="62"/>
        <v>920726.33</v>
      </c>
      <c r="L656" s="255">
        <f t="shared" si="66"/>
        <v>3.2876712328767124E-4</v>
      </c>
      <c r="M656" s="253"/>
    </row>
    <row r="657" spans="2:13" hidden="1" outlineLevel="1" x14ac:dyDescent="0.25">
      <c r="B657" s="251">
        <v>46023</v>
      </c>
      <c r="C657" s="252" t="s">
        <v>943</v>
      </c>
      <c r="D657" s="252">
        <v>2026</v>
      </c>
      <c r="E657" s="253"/>
      <c r="F657" s="254"/>
      <c r="G657" s="254"/>
      <c r="H657" s="254"/>
      <c r="I657" s="254"/>
      <c r="J657" s="254"/>
      <c r="K657" s="253">
        <f t="shared" si="62"/>
        <v>920726.33</v>
      </c>
      <c r="L657" s="255">
        <f t="shared" si="66"/>
        <v>3.2876712328767124E-4</v>
      </c>
      <c r="M657" s="253">
        <f t="shared" si="63"/>
        <v>302.70454684931508</v>
      </c>
    </row>
    <row r="658" spans="2:13" hidden="1" outlineLevel="1" x14ac:dyDescent="0.25">
      <c r="B658" s="251">
        <v>46024</v>
      </c>
      <c r="C658" s="252" t="s">
        <v>943</v>
      </c>
      <c r="D658" s="252">
        <v>2026</v>
      </c>
      <c r="E658" s="253"/>
      <c r="F658" s="254"/>
      <c r="G658" s="254"/>
      <c r="H658" s="254"/>
      <c r="I658" s="254"/>
      <c r="J658" s="254"/>
      <c r="K658" s="253">
        <f t="shared" si="62"/>
        <v>920726.33</v>
      </c>
      <c r="L658" s="255">
        <f t="shared" si="66"/>
        <v>3.2876712328767124E-4</v>
      </c>
      <c r="M658" s="253">
        <f t="shared" si="63"/>
        <v>302.70454684931508</v>
      </c>
    </row>
    <row r="659" spans="2:13" hidden="1" outlineLevel="1" x14ac:dyDescent="0.25">
      <c r="B659" s="251">
        <v>46025</v>
      </c>
      <c r="C659" s="252" t="s">
        <v>943</v>
      </c>
      <c r="D659" s="252">
        <v>2026</v>
      </c>
      <c r="E659" s="253"/>
      <c r="F659" s="254"/>
      <c r="G659" s="254"/>
      <c r="H659" s="254"/>
      <c r="I659" s="254"/>
      <c r="J659" s="254"/>
      <c r="K659" s="253">
        <f t="shared" ref="K659:K722" si="68">K658+E659</f>
        <v>920726.33</v>
      </c>
      <c r="L659" s="255">
        <f t="shared" si="66"/>
        <v>3.2876712328767124E-4</v>
      </c>
      <c r="M659" s="253">
        <f t="shared" ref="M659:M722" si="69">K659*L659</f>
        <v>302.70454684931508</v>
      </c>
    </row>
    <row r="660" spans="2:13" hidden="1" outlineLevel="1" x14ac:dyDescent="0.25">
      <c r="B660" s="251">
        <v>46026</v>
      </c>
      <c r="C660" s="252" t="s">
        <v>943</v>
      </c>
      <c r="D660" s="252">
        <v>2026</v>
      </c>
      <c r="E660" s="253"/>
      <c r="F660" s="254"/>
      <c r="G660" s="254"/>
      <c r="H660" s="254"/>
      <c r="I660" s="254"/>
      <c r="J660" s="254"/>
      <c r="K660" s="253">
        <f t="shared" si="68"/>
        <v>920726.33</v>
      </c>
      <c r="L660" s="255">
        <f t="shared" si="66"/>
        <v>3.2876712328767124E-4</v>
      </c>
      <c r="M660" s="253">
        <f t="shared" si="69"/>
        <v>302.70454684931508</v>
      </c>
    </row>
    <row r="661" spans="2:13" hidden="1" outlineLevel="1" x14ac:dyDescent="0.25">
      <c r="B661" s="251">
        <v>46027</v>
      </c>
      <c r="C661" s="252" t="s">
        <v>943</v>
      </c>
      <c r="D661" s="252">
        <v>2026</v>
      </c>
      <c r="E661" s="253"/>
      <c r="F661" s="254"/>
      <c r="G661" s="254"/>
      <c r="H661" s="254"/>
      <c r="I661" s="254"/>
      <c r="J661" s="254"/>
      <c r="K661" s="253">
        <f t="shared" si="68"/>
        <v>920726.33</v>
      </c>
      <c r="L661" s="255">
        <f t="shared" si="66"/>
        <v>3.2876712328767124E-4</v>
      </c>
      <c r="M661" s="253">
        <f t="shared" si="69"/>
        <v>302.70454684931508</v>
      </c>
    </row>
    <row r="662" spans="2:13" hidden="1" outlineLevel="1" x14ac:dyDescent="0.25">
      <c r="B662" s="251">
        <v>46028</v>
      </c>
      <c r="C662" s="252" t="s">
        <v>943</v>
      </c>
      <c r="D662" s="252">
        <v>2026</v>
      </c>
      <c r="E662" s="253"/>
      <c r="F662" s="254"/>
      <c r="G662" s="254"/>
      <c r="H662" s="254"/>
      <c r="I662" s="254"/>
      <c r="J662" s="254"/>
      <c r="K662" s="253">
        <f t="shared" si="68"/>
        <v>920726.33</v>
      </c>
      <c r="L662" s="255">
        <f t="shared" si="66"/>
        <v>3.2876712328767124E-4</v>
      </c>
      <c r="M662" s="253">
        <f t="shared" si="69"/>
        <v>302.70454684931508</v>
      </c>
    </row>
    <row r="663" spans="2:13" hidden="1" outlineLevel="1" x14ac:dyDescent="0.25">
      <c r="B663" s="251">
        <v>46029</v>
      </c>
      <c r="C663" s="252" t="s">
        <v>943</v>
      </c>
      <c r="D663" s="252">
        <v>2026</v>
      </c>
      <c r="E663" s="253"/>
      <c r="F663" s="254"/>
      <c r="G663" s="254"/>
      <c r="H663" s="254"/>
      <c r="I663" s="254"/>
      <c r="J663" s="254"/>
      <c r="K663" s="253">
        <f t="shared" si="68"/>
        <v>920726.33</v>
      </c>
      <c r="L663" s="255">
        <f t="shared" si="66"/>
        <v>3.2876712328767124E-4</v>
      </c>
      <c r="M663" s="253">
        <f t="shared" si="69"/>
        <v>302.70454684931508</v>
      </c>
    </row>
    <row r="664" spans="2:13" hidden="1" outlineLevel="1" x14ac:dyDescent="0.25">
      <c r="B664" s="251">
        <v>46030</v>
      </c>
      <c r="C664" s="252" t="s">
        <v>943</v>
      </c>
      <c r="D664" s="252">
        <v>2026</v>
      </c>
      <c r="E664" s="253"/>
      <c r="F664" s="254"/>
      <c r="G664" s="254"/>
      <c r="H664" s="254"/>
      <c r="I664" s="254"/>
      <c r="J664" s="254"/>
      <c r="K664" s="253">
        <f t="shared" si="68"/>
        <v>920726.33</v>
      </c>
      <c r="L664" s="255">
        <f t="shared" si="66"/>
        <v>3.2876712328767124E-4</v>
      </c>
      <c r="M664" s="253">
        <f t="shared" si="69"/>
        <v>302.70454684931508</v>
      </c>
    </row>
    <row r="665" spans="2:13" hidden="1" outlineLevel="1" x14ac:dyDescent="0.25">
      <c r="B665" s="251">
        <v>46031</v>
      </c>
      <c r="C665" s="252" t="s">
        <v>943</v>
      </c>
      <c r="D665" s="252">
        <v>2026</v>
      </c>
      <c r="E665" s="253"/>
      <c r="F665" s="254"/>
      <c r="G665" s="254"/>
      <c r="H665" s="254"/>
      <c r="I665" s="254"/>
      <c r="J665" s="254"/>
      <c r="K665" s="253">
        <f t="shared" si="68"/>
        <v>920726.33</v>
      </c>
      <c r="L665" s="255">
        <f t="shared" si="66"/>
        <v>3.2876712328767124E-4</v>
      </c>
      <c r="M665" s="253">
        <f t="shared" si="69"/>
        <v>302.70454684931508</v>
      </c>
    </row>
    <row r="666" spans="2:13" hidden="1" outlineLevel="1" x14ac:dyDescent="0.25">
      <c r="B666" s="251">
        <v>46032</v>
      </c>
      <c r="C666" s="252" t="s">
        <v>943</v>
      </c>
      <c r="D666" s="252">
        <v>2026</v>
      </c>
      <c r="E666" s="253"/>
      <c r="F666" s="254"/>
      <c r="G666" s="254"/>
      <c r="H666" s="254"/>
      <c r="I666" s="254"/>
      <c r="J666" s="254"/>
      <c r="K666" s="253">
        <f t="shared" si="68"/>
        <v>920726.33</v>
      </c>
      <c r="L666" s="255">
        <f t="shared" si="66"/>
        <v>3.2876712328767124E-4</v>
      </c>
      <c r="M666" s="253">
        <f t="shared" si="69"/>
        <v>302.70454684931508</v>
      </c>
    </row>
    <row r="667" spans="2:13" hidden="1" outlineLevel="1" x14ac:dyDescent="0.25">
      <c r="B667" s="251">
        <v>46033</v>
      </c>
      <c r="C667" s="252" t="s">
        <v>943</v>
      </c>
      <c r="D667" s="252">
        <v>2026</v>
      </c>
      <c r="E667" s="253"/>
      <c r="F667" s="254"/>
      <c r="G667" s="254"/>
      <c r="H667" s="254"/>
      <c r="I667" s="254"/>
      <c r="J667" s="254"/>
      <c r="K667" s="253">
        <f t="shared" si="68"/>
        <v>920726.33</v>
      </c>
      <c r="L667" s="255">
        <f t="shared" si="66"/>
        <v>3.2876712328767124E-4</v>
      </c>
      <c r="M667" s="253">
        <f t="shared" si="69"/>
        <v>302.70454684931508</v>
      </c>
    </row>
    <row r="668" spans="2:13" hidden="1" outlineLevel="1" x14ac:dyDescent="0.25">
      <c r="B668" s="251">
        <v>46034</v>
      </c>
      <c r="C668" s="252" t="s">
        <v>943</v>
      </c>
      <c r="D668" s="252">
        <v>2026</v>
      </c>
      <c r="E668" s="253">
        <f>40000-650</f>
        <v>39350</v>
      </c>
      <c r="F668" s="254" t="s">
        <v>944</v>
      </c>
      <c r="G668" s="254"/>
      <c r="H668" s="254" t="s">
        <v>911</v>
      </c>
      <c r="I668" s="254" t="s">
        <v>945</v>
      </c>
      <c r="J668" s="412" t="s">
        <v>935</v>
      </c>
      <c r="K668" s="253">
        <f t="shared" si="68"/>
        <v>960076.33</v>
      </c>
      <c r="L668" s="255">
        <f t="shared" si="66"/>
        <v>3.2876712328767124E-4</v>
      </c>
      <c r="M668" s="253">
        <f t="shared" si="69"/>
        <v>315.64153315068495</v>
      </c>
    </row>
    <row r="669" spans="2:13" hidden="1" outlineLevel="1" x14ac:dyDescent="0.25">
      <c r="B669" s="251">
        <v>46035</v>
      </c>
      <c r="C669" s="252" t="s">
        <v>943</v>
      </c>
      <c r="D669" s="252">
        <v>2026</v>
      </c>
      <c r="E669" s="253"/>
      <c r="F669" s="254"/>
      <c r="G669" s="254"/>
      <c r="H669" s="254"/>
      <c r="I669" s="254"/>
      <c r="J669" s="254"/>
      <c r="K669" s="253">
        <f t="shared" si="68"/>
        <v>960076.33</v>
      </c>
      <c r="L669" s="255">
        <f t="shared" si="66"/>
        <v>3.2876712328767124E-4</v>
      </c>
      <c r="M669" s="253">
        <f t="shared" si="69"/>
        <v>315.64153315068495</v>
      </c>
    </row>
    <row r="670" spans="2:13" hidden="1" outlineLevel="1" x14ac:dyDescent="0.25">
      <c r="B670" s="251">
        <v>46036</v>
      </c>
      <c r="C670" s="252" t="s">
        <v>943</v>
      </c>
      <c r="D670" s="252">
        <v>2026</v>
      </c>
      <c r="E670" s="253">
        <v>-7500</v>
      </c>
      <c r="F670" s="254" t="s">
        <v>480</v>
      </c>
      <c r="G670" s="254"/>
      <c r="H670" s="413" t="s">
        <v>911</v>
      </c>
      <c r="I670" s="254" t="s">
        <v>929</v>
      </c>
      <c r="J670" s="412" t="s">
        <v>935</v>
      </c>
      <c r="K670" s="253">
        <f t="shared" si="68"/>
        <v>952576.33</v>
      </c>
      <c r="L670" s="255">
        <f t="shared" si="66"/>
        <v>3.2876712328767124E-4</v>
      </c>
      <c r="M670" s="253">
        <f t="shared" si="69"/>
        <v>313.17577972602737</v>
      </c>
    </row>
    <row r="671" spans="2:13" hidden="1" outlineLevel="1" x14ac:dyDescent="0.25">
      <c r="B671" s="251">
        <v>46037</v>
      </c>
      <c r="C671" s="252" t="s">
        <v>943</v>
      </c>
      <c r="D671" s="252">
        <v>2026</v>
      </c>
      <c r="E671" s="253"/>
      <c r="F671" s="254"/>
      <c r="G671" s="254"/>
      <c r="H671" s="254"/>
      <c r="I671" s="254"/>
      <c r="J671" s="254"/>
      <c r="K671" s="253">
        <f t="shared" si="68"/>
        <v>952576.33</v>
      </c>
      <c r="L671" s="255">
        <f t="shared" si="66"/>
        <v>3.2876712328767124E-4</v>
      </c>
      <c r="M671" s="253">
        <f t="shared" si="69"/>
        <v>313.17577972602737</v>
      </c>
    </row>
    <row r="672" spans="2:13" hidden="1" outlineLevel="1" x14ac:dyDescent="0.25">
      <c r="B672" s="251">
        <v>46038</v>
      </c>
      <c r="C672" s="252" t="s">
        <v>943</v>
      </c>
      <c r="D672" s="252">
        <v>2026</v>
      </c>
      <c r="E672" s="253">
        <v>26000</v>
      </c>
      <c r="F672" s="254" t="s">
        <v>728</v>
      </c>
      <c r="G672" s="254"/>
      <c r="H672" s="413" t="s">
        <v>911</v>
      </c>
      <c r="I672" s="254" t="s">
        <v>946</v>
      </c>
      <c r="J672" s="254" t="s">
        <v>935</v>
      </c>
      <c r="K672" s="253">
        <f t="shared" si="68"/>
        <v>978576.33</v>
      </c>
      <c r="L672" s="255">
        <f t="shared" si="66"/>
        <v>3.2876712328767124E-4</v>
      </c>
      <c r="M672" s="253">
        <f t="shared" si="69"/>
        <v>321.72372493150687</v>
      </c>
    </row>
    <row r="673" spans="2:15" hidden="1" outlineLevel="1" x14ac:dyDescent="0.25">
      <c r="B673" s="251">
        <v>46039</v>
      </c>
      <c r="C673" s="252" t="s">
        <v>943</v>
      </c>
      <c r="D673" s="252">
        <v>2026</v>
      </c>
      <c r="E673" s="253"/>
      <c r="F673" s="254"/>
      <c r="G673" s="254"/>
      <c r="H673" s="254"/>
      <c r="I673" s="254"/>
      <c r="J673" s="254"/>
      <c r="K673" s="253">
        <f t="shared" si="68"/>
        <v>978576.33</v>
      </c>
      <c r="L673" s="255">
        <f t="shared" si="66"/>
        <v>3.2876712328767124E-4</v>
      </c>
      <c r="M673" s="253">
        <f t="shared" si="69"/>
        <v>321.72372493150687</v>
      </c>
    </row>
    <row r="674" spans="2:15" hidden="1" outlineLevel="1" x14ac:dyDescent="0.25">
      <c r="B674" s="251">
        <v>46040</v>
      </c>
      <c r="C674" s="252" t="s">
        <v>943</v>
      </c>
      <c r="D674" s="252">
        <v>2026</v>
      </c>
      <c r="E674" s="253"/>
      <c r="F674" s="254"/>
      <c r="G674" s="254"/>
      <c r="H674" s="254"/>
      <c r="I674" s="254"/>
      <c r="J674" s="254"/>
      <c r="K674" s="253">
        <f t="shared" si="68"/>
        <v>978576.33</v>
      </c>
      <c r="L674" s="255">
        <f t="shared" si="66"/>
        <v>3.2876712328767124E-4</v>
      </c>
      <c r="M674" s="253">
        <f t="shared" si="69"/>
        <v>321.72372493150687</v>
      </c>
    </row>
    <row r="675" spans="2:15" hidden="1" outlineLevel="1" x14ac:dyDescent="0.25">
      <c r="B675" s="251">
        <v>46041</v>
      </c>
      <c r="C675" s="252" t="s">
        <v>943</v>
      </c>
      <c r="D675" s="252">
        <v>2026</v>
      </c>
      <c r="E675" s="253"/>
      <c r="F675" s="254"/>
      <c r="G675" s="254"/>
      <c r="H675" s="254"/>
      <c r="I675" s="254"/>
      <c r="J675" s="254"/>
      <c r="K675" s="253">
        <f t="shared" si="68"/>
        <v>978576.33</v>
      </c>
      <c r="L675" s="255">
        <f t="shared" si="66"/>
        <v>3.2876712328767124E-4</v>
      </c>
      <c r="M675" s="253">
        <f t="shared" si="69"/>
        <v>321.72372493150687</v>
      </c>
    </row>
    <row r="676" spans="2:15" hidden="1" outlineLevel="1" x14ac:dyDescent="0.25">
      <c r="B676" s="251">
        <v>46042</v>
      </c>
      <c r="C676" s="252" t="s">
        <v>943</v>
      </c>
      <c r="D676" s="252">
        <v>2026</v>
      </c>
      <c r="E676" s="253"/>
      <c r="F676" s="254"/>
      <c r="G676" s="254"/>
      <c r="H676" s="254"/>
      <c r="I676" s="254"/>
      <c r="J676" s="254"/>
      <c r="K676" s="253">
        <f t="shared" si="68"/>
        <v>978576.33</v>
      </c>
      <c r="L676" s="255">
        <f t="shared" si="66"/>
        <v>3.2876712328767124E-4</v>
      </c>
      <c r="M676" s="253">
        <f t="shared" si="69"/>
        <v>321.72372493150687</v>
      </c>
    </row>
    <row r="677" spans="2:15" hidden="1" outlineLevel="1" x14ac:dyDescent="0.25">
      <c r="B677" s="251">
        <v>46043</v>
      </c>
      <c r="C677" s="252" t="s">
        <v>943</v>
      </c>
      <c r="D677" s="252">
        <v>2026</v>
      </c>
      <c r="E677" s="253"/>
      <c r="F677" s="254"/>
      <c r="G677" s="254"/>
      <c r="H677" s="254"/>
      <c r="I677" s="254"/>
      <c r="J677" s="254"/>
      <c r="K677" s="253">
        <f t="shared" si="68"/>
        <v>978576.33</v>
      </c>
      <c r="L677" s="255">
        <f t="shared" si="66"/>
        <v>3.2876712328767124E-4</v>
      </c>
      <c r="M677" s="253">
        <f t="shared" si="69"/>
        <v>321.72372493150687</v>
      </c>
    </row>
    <row r="678" spans="2:15" hidden="1" outlineLevel="1" x14ac:dyDescent="0.25">
      <c r="B678" s="251">
        <v>46044</v>
      </c>
      <c r="C678" s="252" t="s">
        <v>943</v>
      </c>
      <c r="D678" s="252">
        <v>2026</v>
      </c>
      <c r="E678" s="253"/>
      <c r="F678" s="254"/>
      <c r="G678" s="254"/>
      <c r="H678" s="254"/>
      <c r="I678" s="254"/>
      <c r="J678" s="254"/>
      <c r="K678" s="253">
        <f t="shared" si="68"/>
        <v>978576.33</v>
      </c>
      <c r="L678" s="255">
        <f t="shared" si="66"/>
        <v>3.2876712328767124E-4</v>
      </c>
      <c r="M678" s="253">
        <f t="shared" si="69"/>
        <v>321.72372493150687</v>
      </c>
    </row>
    <row r="679" spans="2:15" hidden="1" outlineLevel="1" x14ac:dyDescent="0.25">
      <c r="B679" s="251">
        <v>46045</v>
      </c>
      <c r="C679" s="252" t="s">
        <v>943</v>
      </c>
      <c r="D679" s="252">
        <v>2026</v>
      </c>
      <c r="E679" s="253"/>
      <c r="F679" s="254"/>
      <c r="G679" s="254"/>
      <c r="H679" s="254"/>
      <c r="I679" s="254"/>
      <c r="J679" s="254"/>
      <c r="K679" s="253">
        <f t="shared" si="68"/>
        <v>978576.33</v>
      </c>
      <c r="L679" s="255">
        <f t="shared" si="66"/>
        <v>3.2876712328767124E-4</v>
      </c>
      <c r="M679" s="253">
        <f t="shared" si="69"/>
        <v>321.72372493150687</v>
      </c>
    </row>
    <row r="680" spans="2:15" hidden="1" outlineLevel="1" x14ac:dyDescent="0.25">
      <c r="B680" s="251">
        <v>46046</v>
      </c>
      <c r="C680" s="252" t="s">
        <v>943</v>
      </c>
      <c r="D680" s="252">
        <v>2026</v>
      </c>
      <c r="E680" s="253"/>
      <c r="F680" s="254"/>
      <c r="G680" s="254"/>
      <c r="H680" s="254"/>
      <c r="I680" s="254"/>
      <c r="J680" s="254"/>
      <c r="K680" s="253">
        <f t="shared" si="68"/>
        <v>978576.33</v>
      </c>
      <c r="L680" s="255">
        <f t="shared" si="66"/>
        <v>3.2876712328767124E-4</v>
      </c>
      <c r="M680" s="253">
        <f t="shared" si="69"/>
        <v>321.72372493150687</v>
      </c>
    </row>
    <row r="681" spans="2:15" hidden="1" outlineLevel="1" x14ac:dyDescent="0.25">
      <c r="B681" s="251">
        <v>46047</v>
      </c>
      <c r="C681" s="252" t="s">
        <v>943</v>
      </c>
      <c r="D681" s="252">
        <v>2026</v>
      </c>
      <c r="E681" s="253"/>
      <c r="F681" s="254"/>
      <c r="G681" s="254"/>
      <c r="H681" s="254"/>
      <c r="I681" s="254"/>
      <c r="J681" s="254"/>
      <c r="K681" s="253">
        <f t="shared" si="68"/>
        <v>978576.33</v>
      </c>
      <c r="L681" s="255">
        <f t="shared" si="66"/>
        <v>3.2876712328767124E-4</v>
      </c>
      <c r="M681" s="253">
        <f t="shared" si="69"/>
        <v>321.72372493150687</v>
      </c>
    </row>
    <row r="682" spans="2:15" hidden="1" outlineLevel="1" x14ac:dyDescent="0.25">
      <c r="B682" s="251">
        <v>46048</v>
      </c>
      <c r="C682" s="252" t="s">
        <v>943</v>
      </c>
      <c r="D682" s="252">
        <v>2026</v>
      </c>
      <c r="E682" s="253">
        <v>-7500</v>
      </c>
      <c r="F682" s="254" t="s">
        <v>480</v>
      </c>
      <c r="G682" s="254"/>
      <c r="H682" s="254" t="s">
        <v>911</v>
      </c>
      <c r="I682" s="254" t="s">
        <v>929</v>
      </c>
      <c r="J682" s="254" t="s">
        <v>935</v>
      </c>
      <c r="K682" s="253">
        <f t="shared" si="68"/>
        <v>971076.33</v>
      </c>
      <c r="L682" s="255">
        <f t="shared" si="66"/>
        <v>3.2876712328767124E-4</v>
      </c>
      <c r="M682" s="253">
        <f t="shared" si="69"/>
        <v>319.25797150684929</v>
      </c>
    </row>
    <row r="683" spans="2:15" hidden="1" outlineLevel="1" x14ac:dyDescent="0.25">
      <c r="B683" s="251">
        <v>46049</v>
      </c>
      <c r="C683" s="252" t="s">
        <v>943</v>
      </c>
      <c r="D683" s="252">
        <v>2026</v>
      </c>
      <c r="E683" s="253"/>
      <c r="F683" s="254"/>
      <c r="G683" s="254"/>
      <c r="H683" s="254"/>
      <c r="I683" s="254"/>
      <c r="J683" s="254"/>
      <c r="K683" s="253">
        <f t="shared" si="68"/>
        <v>971076.33</v>
      </c>
      <c r="L683" s="255">
        <f t="shared" si="66"/>
        <v>3.2876712328767124E-4</v>
      </c>
      <c r="M683" s="253">
        <f t="shared" si="69"/>
        <v>319.25797150684929</v>
      </c>
    </row>
    <row r="684" spans="2:15" hidden="1" outlineLevel="1" x14ac:dyDescent="0.25">
      <c r="B684" s="251">
        <v>46050</v>
      </c>
      <c r="C684" s="252" t="s">
        <v>943</v>
      </c>
      <c r="D684" s="252">
        <v>2026</v>
      </c>
      <c r="E684" s="253"/>
      <c r="F684" s="254"/>
      <c r="G684" s="254"/>
      <c r="H684" s="254"/>
      <c r="I684" s="254"/>
      <c r="J684" s="254"/>
      <c r="K684" s="253">
        <f t="shared" si="68"/>
        <v>971076.33</v>
      </c>
      <c r="L684" s="255">
        <f t="shared" si="66"/>
        <v>3.2876712328767124E-4</v>
      </c>
      <c r="M684" s="253">
        <f t="shared" si="69"/>
        <v>319.25797150684929</v>
      </c>
    </row>
    <row r="685" spans="2:15" hidden="1" outlineLevel="1" x14ac:dyDescent="0.25">
      <c r="B685" s="251">
        <v>46051</v>
      </c>
      <c r="C685" s="252" t="s">
        <v>943</v>
      </c>
      <c r="D685" s="252">
        <v>2026</v>
      </c>
      <c r="E685" s="253"/>
      <c r="F685" s="254"/>
      <c r="G685" s="254"/>
      <c r="H685" s="254"/>
      <c r="I685" s="254"/>
      <c r="J685" s="254"/>
      <c r="K685" s="253">
        <f t="shared" si="68"/>
        <v>971076.33</v>
      </c>
      <c r="L685" s="255">
        <f t="shared" si="66"/>
        <v>3.2876712328767124E-4</v>
      </c>
      <c r="M685" s="253">
        <f t="shared" si="69"/>
        <v>319.25797150684929</v>
      </c>
    </row>
    <row r="686" spans="2:15" ht="15.75" hidden="1" outlineLevel="1" thickBot="1" x14ac:dyDescent="0.3">
      <c r="B686" s="251">
        <v>46052</v>
      </c>
      <c r="C686" s="252" t="s">
        <v>943</v>
      </c>
      <c r="D686" s="252">
        <v>2026</v>
      </c>
      <c r="E686" s="253"/>
      <c r="F686" s="254"/>
      <c r="G686" s="254"/>
      <c r="H686" s="254"/>
      <c r="I686" s="254"/>
      <c r="J686" s="254"/>
      <c r="K686" s="253">
        <f t="shared" si="68"/>
        <v>971076.33</v>
      </c>
      <c r="L686" s="255">
        <f t="shared" si="66"/>
        <v>3.2876712328767124E-4</v>
      </c>
      <c r="M686" s="253">
        <f t="shared" si="69"/>
        <v>319.25797150684929</v>
      </c>
    </row>
    <row r="687" spans="2:15" ht="15.75" collapsed="1" thickBot="1" x14ac:dyDescent="0.3">
      <c r="B687" s="251">
        <v>46053</v>
      </c>
      <c r="C687" s="252" t="s">
        <v>943</v>
      </c>
      <c r="D687" s="252">
        <v>2026</v>
      </c>
      <c r="E687" s="253"/>
      <c r="F687" s="254"/>
      <c r="G687" s="254"/>
      <c r="H687" s="254"/>
      <c r="I687" s="254"/>
      <c r="J687" s="254"/>
      <c r="K687" s="253">
        <f>K686+E687</f>
        <v>971076.33</v>
      </c>
      <c r="L687" s="255">
        <f t="shared" si="66"/>
        <v>3.2876712328767124E-4</v>
      </c>
      <c r="M687" s="253">
        <f t="shared" si="69"/>
        <v>319.25797150684929</v>
      </c>
      <c r="N687" s="411">
        <f>SUM(M657:M687)</f>
        <v>9720.1697194520548</v>
      </c>
      <c r="O687" s="19"/>
    </row>
    <row r="688" spans="2:15" ht="15.75" thickBot="1" x14ac:dyDescent="0.3">
      <c r="B688" s="251"/>
      <c r="C688" s="252"/>
      <c r="D688" s="252"/>
      <c r="E688" s="253"/>
      <c r="F688" s="254"/>
      <c r="G688" s="254"/>
      <c r="H688" s="254"/>
      <c r="I688" s="254"/>
      <c r="J688" s="254"/>
      <c r="K688" s="253"/>
      <c r="L688" s="255"/>
      <c r="M688" s="253"/>
    </row>
    <row r="689" spans="2:13" hidden="1" outlineLevel="1" x14ac:dyDescent="0.25">
      <c r="B689" s="251">
        <v>46054</v>
      </c>
      <c r="C689" s="252" t="s">
        <v>947</v>
      </c>
      <c r="D689" s="252">
        <v>2026</v>
      </c>
      <c r="E689" s="253"/>
      <c r="F689" s="254"/>
      <c r="G689" s="254"/>
      <c r="H689" s="254"/>
      <c r="I689" s="254"/>
      <c r="J689" s="254"/>
      <c r="K689" s="253">
        <f>K687+E689</f>
        <v>971076.33</v>
      </c>
      <c r="L689" s="255">
        <f t="shared" si="66"/>
        <v>3.2876712328767124E-4</v>
      </c>
      <c r="M689" s="253">
        <f t="shared" si="69"/>
        <v>319.25797150684929</v>
      </c>
    </row>
    <row r="690" spans="2:13" hidden="1" outlineLevel="1" x14ac:dyDescent="0.25">
      <c r="B690" s="251">
        <v>46055</v>
      </c>
      <c r="C690" s="252" t="s">
        <v>947</v>
      </c>
      <c r="D690" s="252">
        <v>2026</v>
      </c>
      <c r="E690" s="253"/>
      <c r="F690" s="254"/>
      <c r="G690" s="254"/>
      <c r="H690" s="254"/>
      <c r="I690" s="254"/>
      <c r="J690" s="254"/>
      <c r="K690" s="253">
        <f t="shared" si="68"/>
        <v>971076.33</v>
      </c>
      <c r="L690" s="255">
        <f t="shared" si="66"/>
        <v>3.2876712328767124E-4</v>
      </c>
      <c r="M690" s="253">
        <f t="shared" si="69"/>
        <v>319.25797150684929</v>
      </c>
    </row>
    <row r="691" spans="2:13" hidden="1" outlineLevel="1" x14ac:dyDescent="0.25">
      <c r="B691" s="251">
        <v>46056</v>
      </c>
      <c r="C691" s="252" t="s">
        <v>947</v>
      </c>
      <c r="D691" s="252">
        <v>2026</v>
      </c>
      <c r="E691" s="253"/>
      <c r="F691" s="254"/>
      <c r="G691" s="254"/>
      <c r="H691" s="254"/>
      <c r="I691" s="254"/>
      <c r="J691" s="254"/>
      <c r="K691" s="253">
        <f t="shared" si="68"/>
        <v>971076.33</v>
      </c>
      <c r="L691" s="255">
        <f t="shared" si="66"/>
        <v>3.2876712328767124E-4</v>
      </c>
      <c r="M691" s="253">
        <f t="shared" si="69"/>
        <v>319.25797150684929</v>
      </c>
    </row>
    <row r="692" spans="2:13" hidden="1" outlineLevel="1" x14ac:dyDescent="0.25">
      <c r="B692" s="251">
        <v>46057</v>
      </c>
      <c r="C692" s="252" t="s">
        <v>947</v>
      </c>
      <c r="D692" s="252">
        <v>2026</v>
      </c>
      <c r="E692" s="253"/>
      <c r="F692" s="254"/>
      <c r="G692" s="254"/>
      <c r="H692" s="254"/>
      <c r="I692" s="254"/>
      <c r="J692" s="254"/>
      <c r="K692" s="253">
        <f t="shared" si="68"/>
        <v>971076.33</v>
      </c>
      <c r="L692" s="255">
        <f t="shared" si="66"/>
        <v>3.2876712328767124E-4</v>
      </c>
      <c r="M692" s="253">
        <f t="shared" si="69"/>
        <v>319.25797150684929</v>
      </c>
    </row>
    <row r="693" spans="2:13" hidden="1" outlineLevel="1" x14ac:dyDescent="0.25">
      <c r="B693" s="251">
        <v>46058</v>
      </c>
      <c r="C693" s="252" t="s">
        <v>947</v>
      </c>
      <c r="D693" s="252">
        <v>2026</v>
      </c>
      <c r="E693" s="253"/>
      <c r="F693" s="254"/>
      <c r="G693" s="254"/>
      <c r="H693" s="254"/>
      <c r="I693" s="254"/>
      <c r="J693" s="254"/>
      <c r="K693" s="253">
        <f t="shared" si="68"/>
        <v>971076.33</v>
      </c>
      <c r="L693" s="255">
        <f t="shared" si="66"/>
        <v>3.2876712328767124E-4</v>
      </c>
      <c r="M693" s="253">
        <f t="shared" si="69"/>
        <v>319.25797150684929</v>
      </c>
    </row>
    <row r="694" spans="2:13" hidden="1" outlineLevel="1" x14ac:dyDescent="0.25">
      <c r="B694" s="251">
        <v>46059</v>
      </c>
      <c r="C694" s="252" t="s">
        <v>947</v>
      </c>
      <c r="D694" s="252">
        <v>2026</v>
      </c>
      <c r="E694" s="253"/>
      <c r="F694" s="254"/>
      <c r="G694" s="254"/>
      <c r="H694" s="254"/>
      <c r="I694" s="254"/>
      <c r="J694" s="254"/>
      <c r="K694" s="253">
        <f t="shared" si="68"/>
        <v>971076.33</v>
      </c>
      <c r="L694" s="255">
        <f t="shared" si="66"/>
        <v>3.2876712328767124E-4</v>
      </c>
      <c r="M694" s="253">
        <f t="shared" si="69"/>
        <v>319.25797150684929</v>
      </c>
    </row>
    <row r="695" spans="2:13" hidden="1" outlineLevel="1" x14ac:dyDescent="0.25">
      <c r="B695" s="251">
        <v>46060</v>
      </c>
      <c r="C695" s="252" t="s">
        <v>947</v>
      </c>
      <c r="D695" s="252">
        <v>2026</v>
      </c>
      <c r="E695" s="253"/>
      <c r="F695" s="254"/>
      <c r="G695" s="254"/>
      <c r="H695" s="254"/>
      <c r="I695" s="254"/>
      <c r="J695" s="254"/>
      <c r="K695" s="253">
        <f t="shared" si="68"/>
        <v>971076.33</v>
      </c>
      <c r="L695" s="255">
        <f t="shared" si="66"/>
        <v>3.2876712328767124E-4</v>
      </c>
      <c r="M695" s="253">
        <f t="shared" si="69"/>
        <v>319.25797150684929</v>
      </c>
    </row>
    <row r="696" spans="2:13" hidden="1" outlineLevel="1" x14ac:dyDescent="0.25">
      <c r="B696" s="251">
        <v>46061</v>
      </c>
      <c r="C696" s="252" t="s">
        <v>947</v>
      </c>
      <c r="D696" s="252">
        <v>2026</v>
      </c>
      <c r="E696" s="253"/>
      <c r="F696" s="254"/>
      <c r="G696" s="254"/>
      <c r="H696" s="254"/>
      <c r="I696" s="254"/>
      <c r="J696" s="254"/>
      <c r="K696" s="253">
        <f t="shared" si="68"/>
        <v>971076.33</v>
      </c>
      <c r="L696" s="255">
        <f t="shared" si="66"/>
        <v>3.2876712328767124E-4</v>
      </c>
      <c r="M696" s="253">
        <f t="shared" si="69"/>
        <v>319.25797150684929</v>
      </c>
    </row>
    <row r="697" spans="2:13" hidden="1" outlineLevel="1" x14ac:dyDescent="0.25">
      <c r="B697" s="251">
        <v>46062</v>
      </c>
      <c r="C697" s="252" t="s">
        <v>947</v>
      </c>
      <c r="D697" s="252">
        <v>2026</v>
      </c>
      <c r="E697" s="253"/>
      <c r="F697" s="254"/>
      <c r="G697" s="254"/>
      <c r="H697" s="254"/>
      <c r="I697" s="254"/>
      <c r="J697" s="254"/>
      <c r="K697" s="253">
        <f t="shared" si="68"/>
        <v>971076.33</v>
      </c>
      <c r="L697" s="255">
        <f t="shared" si="66"/>
        <v>3.2876712328767124E-4</v>
      </c>
      <c r="M697" s="253">
        <f t="shared" si="69"/>
        <v>319.25797150684929</v>
      </c>
    </row>
    <row r="698" spans="2:13" hidden="1" outlineLevel="1" x14ac:dyDescent="0.25">
      <c r="B698" s="251">
        <v>46063</v>
      </c>
      <c r="C698" s="252" t="s">
        <v>947</v>
      </c>
      <c r="D698" s="252">
        <v>2026</v>
      </c>
      <c r="E698" s="253"/>
      <c r="F698" s="254"/>
      <c r="G698" s="254"/>
      <c r="H698" s="254"/>
      <c r="I698" s="254"/>
      <c r="J698" s="254"/>
      <c r="K698" s="253">
        <f t="shared" si="68"/>
        <v>971076.33</v>
      </c>
      <c r="L698" s="255">
        <f t="shared" si="66"/>
        <v>3.2876712328767124E-4</v>
      </c>
      <c r="M698" s="253">
        <f t="shared" si="69"/>
        <v>319.25797150684929</v>
      </c>
    </row>
    <row r="699" spans="2:13" hidden="1" outlineLevel="1" x14ac:dyDescent="0.25">
      <c r="B699" s="251">
        <v>46064</v>
      </c>
      <c r="C699" s="252" t="s">
        <v>947</v>
      </c>
      <c r="D699" s="252">
        <v>2026</v>
      </c>
      <c r="E699" s="253"/>
      <c r="F699" s="254"/>
      <c r="G699" s="254"/>
      <c r="H699" s="254"/>
      <c r="I699" s="254"/>
      <c r="J699" s="254"/>
      <c r="K699" s="253">
        <f t="shared" si="68"/>
        <v>971076.33</v>
      </c>
      <c r="L699" s="255">
        <f t="shared" si="66"/>
        <v>3.2876712328767124E-4</v>
      </c>
      <c r="M699" s="253">
        <f t="shared" si="69"/>
        <v>319.25797150684929</v>
      </c>
    </row>
    <row r="700" spans="2:13" hidden="1" outlineLevel="1" x14ac:dyDescent="0.25">
      <c r="B700" s="251">
        <v>46065</v>
      </c>
      <c r="C700" s="252" t="s">
        <v>947</v>
      </c>
      <c r="D700" s="252">
        <v>2026</v>
      </c>
      <c r="E700" s="253">
        <v>-7500</v>
      </c>
      <c r="F700" s="254" t="s">
        <v>480</v>
      </c>
      <c r="G700" s="254" t="s">
        <v>315</v>
      </c>
      <c r="H700" s="254" t="s">
        <v>911</v>
      </c>
      <c r="I700" s="254" t="s">
        <v>929</v>
      </c>
      <c r="J700" s="254" t="s">
        <v>935</v>
      </c>
      <c r="K700" s="253">
        <f t="shared" si="68"/>
        <v>963576.33</v>
      </c>
      <c r="L700" s="255">
        <f t="shared" si="66"/>
        <v>3.2876712328767124E-4</v>
      </c>
      <c r="M700" s="253">
        <f t="shared" si="69"/>
        <v>316.79221808219177</v>
      </c>
    </row>
    <row r="701" spans="2:13" hidden="1" outlineLevel="1" x14ac:dyDescent="0.25">
      <c r="B701" s="251">
        <v>46066</v>
      </c>
      <c r="C701" s="252" t="s">
        <v>947</v>
      </c>
      <c r="D701" s="252">
        <v>2026</v>
      </c>
      <c r="E701" s="253"/>
      <c r="F701" s="254"/>
      <c r="G701" s="254"/>
      <c r="H701" s="254"/>
      <c r="I701" s="254"/>
      <c r="J701" s="254"/>
      <c r="K701" s="253">
        <f t="shared" si="68"/>
        <v>963576.33</v>
      </c>
      <c r="L701" s="255">
        <f t="shared" si="66"/>
        <v>3.2876712328767124E-4</v>
      </c>
      <c r="M701" s="253">
        <f t="shared" si="69"/>
        <v>316.79221808219177</v>
      </c>
    </row>
    <row r="702" spans="2:13" hidden="1" outlineLevel="1" x14ac:dyDescent="0.25">
      <c r="B702" s="251">
        <v>46067</v>
      </c>
      <c r="C702" s="252" t="s">
        <v>947</v>
      </c>
      <c r="D702" s="252">
        <v>2026</v>
      </c>
      <c r="E702" s="253"/>
      <c r="F702" s="254"/>
      <c r="G702" s="254"/>
      <c r="H702" s="254"/>
      <c r="I702" s="254"/>
      <c r="J702" s="254"/>
      <c r="K702" s="253">
        <f t="shared" si="68"/>
        <v>963576.33</v>
      </c>
      <c r="L702" s="255">
        <f t="shared" si="66"/>
        <v>3.2876712328767124E-4</v>
      </c>
      <c r="M702" s="253">
        <f t="shared" si="69"/>
        <v>316.79221808219177</v>
      </c>
    </row>
    <row r="703" spans="2:13" hidden="1" outlineLevel="1" x14ac:dyDescent="0.25">
      <c r="B703" s="251">
        <v>46068</v>
      </c>
      <c r="C703" s="252" t="s">
        <v>947</v>
      </c>
      <c r="D703" s="252">
        <v>2026</v>
      </c>
      <c r="E703" s="253"/>
      <c r="F703" s="254"/>
      <c r="G703" s="254"/>
      <c r="H703" s="254"/>
      <c r="I703" s="254"/>
      <c r="J703" s="254"/>
      <c r="K703" s="253">
        <f t="shared" si="68"/>
        <v>963576.33</v>
      </c>
      <c r="L703" s="255">
        <f t="shared" si="66"/>
        <v>3.2876712328767124E-4</v>
      </c>
      <c r="M703" s="253">
        <f t="shared" si="69"/>
        <v>316.79221808219177</v>
      </c>
    </row>
    <row r="704" spans="2:13" hidden="1" outlineLevel="1" x14ac:dyDescent="0.25">
      <c r="B704" s="251">
        <v>46069</v>
      </c>
      <c r="C704" s="252" t="s">
        <v>947</v>
      </c>
      <c r="D704" s="252">
        <v>2026</v>
      </c>
      <c r="E704" s="253"/>
      <c r="F704" s="254"/>
      <c r="G704" s="254"/>
      <c r="H704" s="254"/>
      <c r="I704" s="254"/>
      <c r="J704" s="254"/>
      <c r="K704" s="253">
        <f t="shared" si="68"/>
        <v>963576.33</v>
      </c>
      <c r="L704" s="255">
        <f t="shared" si="66"/>
        <v>3.2876712328767124E-4</v>
      </c>
      <c r="M704" s="253">
        <f t="shared" si="69"/>
        <v>316.79221808219177</v>
      </c>
    </row>
    <row r="705" spans="2:14" hidden="1" outlineLevel="1" x14ac:dyDescent="0.25">
      <c r="B705" s="251">
        <v>46070</v>
      </c>
      <c r="C705" s="252" t="s">
        <v>947</v>
      </c>
      <c r="D705" s="252">
        <v>2026</v>
      </c>
      <c r="E705" s="253">
        <v>-32.28</v>
      </c>
      <c r="F705" s="254" t="s">
        <v>480</v>
      </c>
      <c r="G705" s="254" t="s">
        <v>315</v>
      </c>
      <c r="H705" s="254" t="s">
        <v>1096</v>
      </c>
      <c r="I705" s="254" t="s">
        <v>1097</v>
      </c>
      <c r="J705" s="254" t="s">
        <v>125</v>
      </c>
      <c r="K705" s="253">
        <f t="shared" si="68"/>
        <v>963544.04999999993</v>
      </c>
      <c r="L705" s="255">
        <f t="shared" si="66"/>
        <v>3.2876712328767124E-4</v>
      </c>
      <c r="M705" s="253">
        <f t="shared" si="69"/>
        <v>316.78160547945203</v>
      </c>
    </row>
    <row r="706" spans="2:14" hidden="1" outlineLevel="1" x14ac:dyDescent="0.25">
      <c r="B706" s="251">
        <v>46071</v>
      </c>
      <c r="C706" s="252" t="s">
        <v>947</v>
      </c>
      <c r="D706" s="252">
        <v>2026</v>
      </c>
      <c r="E706" s="253"/>
      <c r="F706" s="254"/>
      <c r="G706" s="254"/>
      <c r="H706" s="254"/>
      <c r="I706" s="254"/>
      <c r="J706" s="254"/>
      <c r="K706" s="253">
        <f t="shared" si="68"/>
        <v>963544.04999999993</v>
      </c>
      <c r="L706" s="255">
        <f t="shared" si="66"/>
        <v>3.2876712328767124E-4</v>
      </c>
      <c r="M706" s="253">
        <f t="shared" si="69"/>
        <v>316.78160547945203</v>
      </c>
    </row>
    <row r="707" spans="2:14" hidden="1" outlineLevel="1" x14ac:dyDescent="0.25">
      <c r="B707" s="251">
        <v>46072</v>
      </c>
      <c r="C707" s="252" t="s">
        <v>947</v>
      </c>
      <c r="D707" s="252">
        <v>2026</v>
      </c>
      <c r="E707" s="253"/>
      <c r="F707" s="254"/>
      <c r="G707" s="254"/>
      <c r="H707" s="254"/>
      <c r="I707" s="254"/>
      <c r="J707" s="254"/>
      <c r="K707" s="253">
        <f t="shared" si="68"/>
        <v>963544.04999999993</v>
      </c>
      <c r="L707" s="255">
        <f t="shared" si="66"/>
        <v>3.2876712328767124E-4</v>
      </c>
      <c r="M707" s="253">
        <f t="shared" si="69"/>
        <v>316.78160547945203</v>
      </c>
    </row>
    <row r="708" spans="2:14" hidden="1" outlineLevel="1" x14ac:dyDescent="0.25">
      <c r="B708" s="251">
        <v>46073</v>
      </c>
      <c r="C708" s="252" t="s">
        <v>947</v>
      </c>
      <c r="D708" s="252">
        <v>2026</v>
      </c>
      <c r="E708" s="253"/>
      <c r="F708" s="254"/>
      <c r="G708" s="254"/>
      <c r="H708" s="254"/>
      <c r="I708" s="254"/>
      <c r="J708" s="254"/>
      <c r="K708" s="253">
        <f t="shared" si="68"/>
        <v>963544.04999999993</v>
      </c>
      <c r="L708" s="255">
        <f t="shared" si="66"/>
        <v>3.2876712328767124E-4</v>
      </c>
      <c r="M708" s="253">
        <f t="shared" si="69"/>
        <v>316.78160547945203</v>
      </c>
    </row>
    <row r="709" spans="2:14" hidden="1" outlineLevel="1" x14ac:dyDescent="0.25">
      <c r="B709" s="251">
        <v>46074</v>
      </c>
      <c r="C709" s="252" t="s">
        <v>947</v>
      </c>
      <c r="D709" s="252">
        <v>2026</v>
      </c>
      <c r="E709" s="253"/>
      <c r="F709" s="254"/>
      <c r="G709" s="254"/>
      <c r="H709" s="254"/>
      <c r="I709" s="254"/>
      <c r="J709" s="254"/>
      <c r="K709" s="253">
        <f t="shared" si="68"/>
        <v>963544.04999999993</v>
      </c>
      <c r="L709" s="255">
        <f t="shared" si="66"/>
        <v>3.2876712328767124E-4</v>
      </c>
      <c r="M709" s="253">
        <f t="shared" si="69"/>
        <v>316.78160547945203</v>
      </c>
    </row>
    <row r="710" spans="2:14" hidden="1" outlineLevel="1" x14ac:dyDescent="0.25">
      <c r="B710" s="251">
        <v>46075</v>
      </c>
      <c r="C710" s="252" t="s">
        <v>947</v>
      </c>
      <c r="D710" s="252">
        <v>2026</v>
      </c>
      <c r="E710" s="253"/>
      <c r="F710" s="254"/>
      <c r="G710" s="254"/>
      <c r="H710" s="254"/>
      <c r="I710" s="254"/>
      <c r="J710" s="254"/>
      <c r="K710" s="253">
        <f t="shared" si="68"/>
        <v>963544.04999999993</v>
      </c>
      <c r="L710" s="255">
        <f t="shared" si="66"/>
        <v>3.2876712328767124E-4</v>
      </c>
      <c r="M710" s="253">
        <f t="shared" si="69"/>
        <v>316.78160547945203</v>
      </c>
    </row>
    <row r="711" spans="2:14" hidden="1" outlineLevel="1" x14ac:dyDescent="0.25">
      <c r="B711" s="251">
        <v>46076</v>
      </c>
      <c r="C711" s="252" t="s">
        <v>947</v>
      </c>
      <c r="D711" s="252">
        <v>2026</v>
      </c>
      <c r="E711" s="253"/>
      <c r="F711" s="254"/>
      <c r="G711" s="254"/>
      <c r="H711" s="254"/>
      <c r="I711" s="254"/>
      <c r="J711" s="254"/>
      <c r="K711" s="253">
        <f t="shared" si="68"/>
        <v>963544.04999999993</v>
      </c>
      <c r="L711" s="255">
        <f t="shared" si="66"/>
        <v>3.2876712328767124E-4</v>
      </c>
      <c r="M711" s="253">
        <f t="shared" si="69"/>
        <v>316.78160547945203</v>
      </c>
    </row>
    <row r="712" spans="2:14" hidden="1" outlineLevel="1" x14ac:dyDescent="0.25">
      <c r="B712" s="251">
        <v>46077</v>
      </c>
      <c r="C712" s="252" t="s">
        <v>947</v>
      </c>
      <c r="D712" s="252">
        <v>2026</v>
      </c>
      <c r="E712" s="253"/>
      <c r="F712" s="254"/>
      <c r="G712" s="254"/>
      <c r="H712" s="254"/>
      <c r="I712" s="254"/>
      <c r="J712" s="254"/>
      <c r="K712" s="253">
        <f t="shared" si="68"/>
        <v>963544.04999999993</v>
      </c>
      <c r="L712" s="255">
        <f t="shared" ref="L712:L775" si="70">(0.12/365)</f>
        <v>3.2876712328767124E-4</v>
      </c>
      <c r="M712" s="253">
        <f t="shared" si="69"/>
        <v>316.78160547945203</v>
      </c>
    </row>
    <row r="713" spans="2:14" hidden="1" outlineLevel="1" x14ac:dyDescent="0.25">
      <c r="B713" s="251">
        <v>46078</v>
      </c>
      <c r="C713" s="252" t="s">
        <v>947</v>
      </c>
      <c r="D713" s="252">
        <v>2026</v>
      </c>
      <c r="E713" s="253">
        <v>-7500</v>
      </c>
      <c r="F713" s="254" t="s">
        <v>480</v>
      </c>
      <c r="G713" s="254" t="s">
        <v>315</v>
      </c>
      <c r="H713" s="254" t="s">
        <v>911</v>
      </c>
      <c r="I713" s="254" t="s">
        <v>929</v>
      </c>
      <c r="J713" s="254" t="s">
        <v>935</v>
      </c>
      <c r="K713" s="253">
        <f t="shared" si="68"/>
        <v>956044.04999999993</v>
      </c>
      <c r="L713" s="255">
        <f t="shared" si="70"/>
        <v>3.2876712328767124E-4</v>
      </c>
      <c r="M713" s="253">
        <f t="shared" si="69"/>
        <v>314.3158520547945</v>
      </c>
    </row>
    <row r="714" spans="2:14" hidden="1" outlineLevel="1" x14ac:dyDescent="0.25">
      <c r="B714" s="251">
        <v>46079</v>
      </c>
      <c r="C714" s="252" t="s">
        <v>947</v>
      </c>
      <c r="D714" s="252">
        <v>2026</v>
      </c>
      <c r="E714" s="253"/>
      <c r="F714" s="254"/>
      <c r="G714" s="254"/>
      <c r="H714" s="254"/>
      <c r="I714" s="254"/>
      <c r="J714" s="254"/>
      <c r="K714" s="253">
        <f t="shared" si="68"/>
        <v>956044.04999999993</v>
      </c>
      <c r="L714" s="255">
        <f t="shared" si="70"/>
        <v>3.2876712328767124E-4</v>
      </c>
      <c r="M714" s="253">
        <f t="shared" si="69"/>
        <v>314.3158520547945</v>
      </c>
    </row>
    <row r="715" spans="2:14" ht="15.75" hidden="1" outlineLevel="1" thickBot="1" x14ac:dyDescent="0.3">
      <c r="B715" s="251">
        <v>46080</v>
      </c>
      <c r="C715" s="252" t="s">
        <v>947</v>
      </c>
      <c r="D715" s="252">
        <v>2026</v>
      </c>
      <c r="E715" s="253">
        <f>-190.84-50</f>
        <v>-240.84</v>
      </c>
      <c r="F715" s="254" t="s">
        <v>1098</v>
      </c>
      <c r="G715" s="254" t="s">
        <v>315</v>
      </c>
      <c r="H715" s="254" t="s">
        <v>1096</v>
      </c>
      <c r="I715" s="254" t="s">
        <v>1097</v>
      </c>
      <c r="J715" s="254" t="s">
        <v>125</v>
      </c>
      <c r="K715" s="253">
        <f t="shared" si="68"/>
        <v>955803.21</v>
      </c>
      <c r="L715" s="255">
        <f t="shared" si="70"/>
        <v>3.2876712328767124E-4</v>
      </c>
      <c r="M715" s="253">
        <f t="shared" si="69"/>
        <v>314.23667178082189</v>
      </c>
    </row>
    <row r="716" spans="2:14" ht="15.75" collapsed="1" thickBot="1" x14ac:dyDescent="0.3">
      <c r="B716" s="251">
        <v>46081</v>
      </c>
      <c r="C716" s="252" t="s">
        <v>947</v>
      </c>
      <c r="D716" s="252">
        <v>2026</v>
      </c>
      <c r="E716" s="253"/>
      <c r="F716" s="254"/>
      <c r="G716" s="254"/>
      <c r="H716" s="254"/>
      <c r="I716" s="254"/>
      <c r="J716" s="254"/>
      <c r="K716" s="253">
        <f>K715+E716</f>
        <v>955803.21</v>
      </c>
      <c r="L716" s="255">
        <f t="shared" si="70"/>
        <v>3.2876712328767124E-4</v>
      </c>
      <c r="M716" s="253">
        <f t="shared" si="69"/>
        <v>314.23667178082189</v>
      </c>
      <c r="N716" s="411">
        <f>SUM(M689:M716)</f>
        <v>8887.1566684931495</v>
      </c>
    </row>
    <row r="717" spans="2:14" ht="15.75" thickBot="1" x14ac:dyDescent="0.3">
      <c r="B717" s="251"/>
      <c r="C717" s="252"/>
      <c r="D717" s="252"/>
      <c r="E717" s="253"/>
      <c r="F717" s="254"/>
      <c r="G717" s="254"/>
      <c r="H717" s="254"/>
      <c r="I717" s="254"/>
      <c r="J717" s="254"/>
      <c r="K717" s="253">
        <f t="shared" si="68"/>
        <v>955803.21</v>
      </c>
      <c r="L717" s="255">
        <f t="shared" si="70"/>
        <v>3.2876712328767124E-4</v>
      </c>
      <c r="M717" s="253"/>
    </row>
    <row r="718" spans="2:14" hidden="1" outlineLevel="1" x14ac:dyDescent="0.25">
      <c r="B718" s="251">
        <v>46082</v>
      </c>
      <c r="C718" s="252" t="s">
        <v>1091</v>
      </c>
      <c r="D718" s="252">
        <v>2026</v>
      </c>
      <c r="E718" s="253"/>
      <c r="F718" s="254"/>
      <c r="G718" s="254"/>
      <c r="H718" s="254"/>
      <c r="I718" s="254"/>
      <c r="J718" s="254"/>
      <c r="K718" s="253">
        <f t="shared" si="68"/>
        <v>955803.21</v>
      </c>
      <c r="L718" s="255">
        <f t="shared" si="70"/>
        <v>3.2876712328767124E-4</v>
      </c>
      <c r="M718" s="253">
        <f t="shared" si="69"/>
        <v>314.23667178082189</v>
      </c>
    </row>
    <row r="719" spans="2:14" hidden="1" outlineLevel="1" x14ac:dyDescent="0.25">
      <c r="B719" s="251">
        <v>46083</v>
      </c>
      <c r="C719" s="252" t="s">
        <v>1091</v>
      </c>
      <c r="D719" s="252">
        <v>2026</v>
      </c>
      <c r="E719" s="253"/>
      <c r="F719" s="254"/>
      <c r="G719" s="254"/>
      <c r="H719" s="254"/>
      <c r="I719" s="254"/>
      <c r="J719" s="254"/>
      <c r="K719" s="253">
        <f t="shared" si="68"/>
        <v>955803.21</v>
      </c>
      <c r="L719" s="255">
        <f t="shared" si="70"/>
        <v>3.2876712328767124E-4</v>
      </c>
      <c r="M719" s="253">
        <f t="shared" si="69"/>
        <v>314.23667178082189</v>
      </c>
    </row>
    <row r="720" spans="2:14" hidden="1" outlineLevel="1" x14ac:dyDescent="0.25">
      <c r="B720" s="251">
        <v>46084</v>
      </c>
      <c r="C720" s="252" t="s">
        <v>1091</v>
      </c>
      <c r="D720" s="252">
        <v>2026</v>
      </c>
      <c r="E720" s="253">
        <v>20000</v>
      </c>
      <c r="F720" s="254" t="s">
        <v>728</v>
      </c>
      <c r="G720" s="254"/>
      <c r="H720" s="254" t="s">
        <v>911</v>
      </c>
      <c r="I720" s="254" t="s">
        <v>1090</v>
      </c>
      <c r="J720" s="254" t="s">
        <v>125</v>
      </c>
      <c r="K720" s="253">
        <f t="shared" si="68"/>
        <v>975803.21</v>
      </c>
      <c r="L720" s="255">
        <f t="shared" si="70"/>
        <v>3.2876712328767124E-4</v>
      </c>
      <c r="M720" s="253">
        <f t="shared" si="69"/>
        <v>320.81201424657536</v>
      </c>
    </row>
    <row r="721" spans="2:13" hidden="1" outlineLevel="1" x14ac:dyDescent="0.25">
      <c r="B721" s="251">
        <v>46085</v>
      </c>
      <c r="C721" s="252" t="s">
        <v>1091</v>
      </c>
      <c r="D721" s="252">
        <v>2026</v>
      </c>
      <c r="E721" s="253"/>
      <c r="F721" s="254"/>
      <c r="G721" s="254"/>
      <c r="H721" s="254"/>
      <c r="I721" s="254"/>
      <c r="J721" s="254"/>
      <c r="K721" s="253">
        <f t="shared" si="68"/>
        <v>975803.21</v>
      </c>
      <c r="L721" s="255">
        <f t="shared" si="70"/>
        <v>3.2876712328767124E-4</v>
      </c>
      <c r="M721" s="253">
        <f t="shared" si="69"/>
        <v>320.81201424657536</v>
      </c>
    </row>
    <row r="722" spans="2:13" hidden="1" outlineLevel="1" x14ac:dyDescent="0.25">
      <c r="B722" s="251">
        <v>46086</v>
      </c>
      <c r="C722" s="252" t="s">
        <v>1091</v>
      </c>
      <c r="D722" s="252">
        <v>2026</v>
      </c>
      <c r="E722" s="253"/>
      <c r="F722" s="254"/>
      <c r="G722" s="254"/>
      <c r="H722" s="254"/>
      <c r="I722" s="254"/>
      <c r="J722" s="254"/>
      <c r="K722" s="253">
        <f t="shared" si="68"/>
        <v>975803.21</v>
      </c>
      <c r="L722" s="255">
        <f t="shared" si="70"/>
        <v>3.2876712328767124E-4</v>
      </c>
      <c r="M722" s="253">
        <f t="shared" si="69"/>
        <v>320.81201424657536</v>
      </c>
    </row>
    <row r="723" spans="2:13" hidden="1" outlineLevel="1" x14ac:dyDescent="0.25">
      <c r="B723" s="251">
        <v>46087</v>
      </c>
      <c r="C723" s="252" t="s">
        <v>1091</v>
      </c>
      <c r="D723" s="252">
        <v>2026</v>
      </c>
      <c r="E723" s="253"/>
      <c r="F723" s="254"/>
      <c r="G723" s="254"/>
      <c r="H723" s="254"/>
      <c r="I723" s="254"/>
      <c r="J723" s="254"/>
      <c r="K723" s="253">
        <f t="shared" ref="K723:K786" si="71">K722+E723</f>
        <v>975803.21</v>
      </c>
      <c r="L723" s="255">
        <f t="shared" si="70"/>
        <v>3.2876712328767124E-4</v>
      </c>
      <c r="M723" s="253">
        <f t="shared" ref="M723:M786" si="72">K723*L723</f>
        <v>320.81201424657536</v>
      </c>
    </row>
    <row r="724" spans="2:13" hidden="1" outlineLevel="1" x14ac:dyDescent="0.25">
      <c r="B724" s="251">
        <v>46088</v>
      </c>
      <c r="C724" s="252" t="s">
        <v>1091</v>
      </c>
      <c r="D724" s="252">
        <v>2026</v>
      </c>
      <c r="E724" s="253"/>
      <c r="F724" s="254"/>
      <c r="G724" s="254"/>
      <c r="H724" s="254"/>
      <c r="I724" s="254"/>
      <c r="J724" s="254"/>
      <c r="K724" s="253">
        <f t="shared" si="71"/>
        <v>975803.21</v>
      </c>
      <c r="L724" s="255">
        <f t="shared" si="70"/>
        <v>3.2876712328767124E-4</v>
      </c>
      <c r="M724" s="253">
        <f t="shared" si="72"/>
        <v>320.81201424657536</v>
      </c>
    </row>
    <row r="725" spans="2:13" hidden="1" outlineLevel="1" x14ac:dyDescent="0.25">
      <c r="B725" s="251">
        <v>46089</v>
      </c>
      <c r="C725" s="252" t="s">
        <v>1091</v>
      </c>
      <c r="D725" s="252">
        <v>2026</v>
      </c>
      <c r="E725" s="253"/>
      <c r="F725" s="254"/>
      <c r="G725" s="254"/>
      <c r="H725" s="254"/>
      <c r="I725" s="254"/>
      <c r="J725" s="254"/>
      <c r="K725" s="253">
        <f t="shared" si="71"/>
        <v>975803.21</v>
      </c>
      <c r="L725" s="255">
        <f t="shared" si="70"/>
        <v>3.2876712328767124E-4</v>
      </c>
      <c r="M725" s="253">
        <f t="shared" si="72"/>
        <v>320.81201424657536</v>
      </c>
    </row>
    <row r="726" spans="2:13" hidden="1" outlineLevel="1" x14ac:dyDescent="0.25">
      <c r="B726" s="251">
        <v>46090</v>
      </c>
      <c r="C726" s="252" t="s">
        <v>1091</v>
      </c>
      <c r="D726" s="252">
        <v>2026</v>
      </c>
      <c r="E726" s="253"/>
      <c r="F726" s="254"/>
      <c r="G726" s="254"/>
      <c r="H726" s="254"/>
      <c r="I726" s="254"/>
      <c r="J726" s="254"/>
      <c r="K726" s="253">
        <f t="shared" si="71"/>
        <v>975803.21</v>
      </c>
      <c r="L726" s="255">
        <f t="shared" si="70"/>
        <v>3.2876712328767124E-4</v>
      </c>
      <c r="M726" s="253">
        <f t="shared" si="72"/>
        <v>320.81201424657536</v>
      </c>
    </row>
    <row r="727" spans="2:13" hidden="1" outlineLevel="1" x14ac:dyDescent="0.25">
      <c r="B727" s="251">
        <v>46091</v>
      </c>
      <c r="C727" s="252" t="s">
        <v>1091</v>
      </c>
      <c r="D727" s="252">
        <v>2026</v>
      </c>
      <c r="E727" s="253">
        <v>30000</v>
      </c>
      <c r="F727" s="254" t="s">
        <v>728</v>
      </c>
      <c r="G727" s="254"/>
      <c r="H727" s="254" t="s">
        <v>911</v>
      </c>
      <c r="I727" s="254" t="s">
        <v>1092</v>
      </c>
      <c r="J727" s="254" t="s">
        <v>125</v>
      </c>
      <c r="K727" s="253">
        <f t="shared" si="71"/>
        <v>1005803.21</v>
      </c>
      <c r="L727" s="255">
        <f t="shared" si="70"/>
        <v>3.2876712328767124E-4</v>
      </c>
      <c r="M727" s="253">
        <f t="shared" si="72"/>
        <v>330.6750279452055</v>
      </c>
    </row>
    <row r="728" spans="2:13" hidden="1" outlineLevel="1" x14ac:dyDescent="0.25">
      <c r="B728" s="251">
        <v>46092</v>
      </c>
      <c r="C728" s="252" t="s">
        <v>1091</v>
      </c>
      <c r="D728" s="252">
        <v>2026</v>
      </c>
      <c r="E728" s="253"/>
      <c r="F728" s="254"/>
      <c r="G728" s="254"/>
      <c r="H728" s="254"/>
      <c r="I728" s="254"/>
      <c r="J728" s="254"/>
      <c r="K728" s="253">
        <f t="shared" si="71"/>
        <v>1005803.21</v>
      </c>
      <c r="L728" s="255">
        <f t="shared" si="70"/>
        <v>3.2876712328767124E-4</v>
      </c>
      <c r="M728" s="253">
        <f t="shared" si="72"/>
        <v>330.6750279452055</v>
      </c>
    </row>
    <row r="729" spans="2:13" hidden="1" outlineLevel="1" x14ac:dyDescent="0.25">
      <c r="B729" s="251">
        <v>46093</v>
      </c>
      <c r="C729" s="252" t="s">
        <v>1091</v>
      </c>
      <c r="D729" s="252">
        <v>2026</v>
      </c>
      <c r="E729" s="253"/>
      <c r="F729" s="254"/>
      <c r="G729" s="254"/>
      <c r="H729" s="254"/>
      <c r="I729" s="254"/>
      <c r="J729" s="254"/>
      <c r="K729" s="253">
        <f t="shared" si="71"/>
        <v>1005803.21</v>
      </c>
      <c r="L729" s="255">
        <f t="shared" si="70"/>
        <v>3.2876712328767124E-4</v>
      </c>
      <c r="M729" s="253">
        <f t="shared" si="72"/>
        <v>330.6750279452055</v>
      </c>
    </row>
    <row r="730" spans="2:13" hidden="1" outlineLevel="1" x14ac:dyDescent="0.25">
      <c r="B730" s="251">
        <v>46094</v>
      </c>
      <c r="C730" s="252" t="s">
        <v>1091</v>
      </c>
      <c r="D730" s="252">
        <v>2026</v>
      </c>
      <c r="E730" s="253"/>
      <c r="F730" s="254"/>
      <c r="G730" s="254"/>
      <c r="H730" s="254"/>
      <c r="I730" s="254"/>
      <c r="J730" s="254"/>
      <c r="K730" s="253">
        <f t="shared" si="71"/>
        <v>1005803.21</v>
      </c>
      <c r="L730" s="255">
        <f t="shared" si="70"/>
        <v>3.2876712328767124E-4</v>
      </c>
      <c r="M730" s="253">
        <f t="shared" si="72"/>
        <v>330.6750279452055</v>
      </c>
    </row>
    <row r="731" spans="2:13" hidden="1" outlineLevel="1" x14ac:dyDescent="0.25">
      <c r="B731" s="251">
        <v>46095</v>
      </c>
      <c r="C731" s="252" t="s">
        <v>1091</v>
      </c>
      <c r="D731" s="252">
        <v>2026</v>
      </c>
      <c r="E731" s="253"/>
      <c r="F731" s="254"/>
      <c r="G731" s="254"/>
      <c r="H731" s="254"/>
      <c r="I731" s="254"/>
      <c r="J731" s="254"/>
      <c r="K731" s="253">
        <f t="shared" si="71"/>
        <v>1005803.21</v>
      </c>
      <c r="L731" s="255">
        <f t="shared" si="70"/>
        <v>3.2876712328767124E-4</v>
      </c>
      <c r="M731" s="253">
        <f t="shared" si="72"/>
        <v>330.6750279452055</v>
      </c>
    </row>
    <row r="732" spans="2:13" hidden="1" outlineLevel="1" x14ac:dyDescent="0.25">
      <c r="B732" s="251">
        <v>46096</v>
      </c>
      <c r="C732" s="252" t="s">
        <v>1091</v>
      </c>
      <c r="D732" s="252">
        <v>2026</v>
      </c>
      <c r="E732" s="253"/>
      <c r="F732" s="254"/>
      <c r="G732" s="254"/>
      <c r="H732" s="254"/>
      <c r="I732" s="254"/>
      <c r="J732" s="254"/>
      <c r="K732" s="253">
        <f t="shared" si="71"/>
        <v>1005803.21</v>
      </c>
      <c r="L732" s="255">
        <f t="shared" si="70"/>
        <v>3.2876712328767124E-4</v>
      </c>
      <c r="M732" s="253">
        <f t="shared" si="72"/>
        <v>330.6750279452055</v>
      </c>
    </row>
    <row r="733" spans="2:13" hidden="1" outlineLevel="1" x14ac:dyDescent="0.25">
      <c r="B733" s="251">
        <v>46097</v>
      </c>
      <c r="C733" s="252" t="s">
        <v>1091</v>
      </c>
      <c r="D733" s="252">
        <v>2026</v>
      </c>
      <c r="E733" s="253"/>
      <c r="F733" s="254"/>
      <c r="G733" s="254"/>
      <c r="H733" s="254"/>
      <c r="I733" s="254"/>
      <c r="J733" s="254"/>
      <c r="K733" s="253">
        <f t="shared" si="71"/>
        <v>1005803.21</v>
      </c>
      <c r="L733" s="255">
        <f t="shared" si="70"/>
        <v>3.2876712328767124E-4</v>
      </c>
      <c r="M733" s="253">
        <f t="shared" si="72"/>
        <v>330.6750279452055</v>
      </c>
    </row>
    <row r="734" spans="2:13" hidden="1" outlineLevel="1" x14ac:dyDescent="0.25">
      <c r="B734" s="251">
        <v>46098</v>
      </c>
      <c r="C734" s="252" t="s">
        <v>1091</v>
      </c>
      <c r="D734" s="252">
        <v>2026</v>
      </c>
      <c r="E734" s="253"/>
      <c r="F734" s="254"/>
      <c r="G734" s="254"/>
      <c r="H734" s="254"/>
      <c r="I734" s="254"/>
      <c r="J734" s="254"/>
      <c r="K734" s="253">
        <f t="shared" si="71"/>
        <v>1005803.21</v>
      </c>
      <c r="L734" s="255">
        <f t="shared" si="70"/>
        <v>3.2876712328767124E-4</v>
      </c>
      <c r="M734" s="253">
        <f t="shared" si="72"/>
        <v>330.6750279452055</v>
      </c>
    </row>
    <row r="735" spans="2:13" hidden="1" outlineLevel="1" x14ac:dyDescent="0.25">
      <c r="B735" s="251">
        <v>46099</v>
      </c>
      <c r="C735" s="252" t="s">
        <v>1091</v>
      </c>
      <c r="D735" s="252">
        <v>2026</v>
      </c>
      <c r="E735" s="253"/>
      <c r="F735" s="254"/>
      <c r="G735" s="254"/>
      <c r="H735" s="254"/>
      <c r="I735" s="254"/>
      <c r="J735" s="254"/>
      <c r="K735" s="253">
        <f t="shared" si="71"/>
        <v>1005803.21</v>
      </c>
      <c r="L735" s="255">
        <f t="shared" si="70"/>
        <v>3.2876712328767124E-4</v>
      </c>
      <c r="M735" s="253">
        <f t="shared" si="72"/>
        <v>330.6750279452055</v>
      </c>
    </row>
    <row r="736" spans="2:13" hidden="1" outlineLevel="1" x14ac:dyDescent="0.25">
      <c r="B736" s="251">
        <v>46100</v>
      </c>
      <c r="C736" s="252" t="s">
        <v>1091</v>
      </c>
      <c r="D736" s="252">
        <v>2026</v>
      </c>
      <c r="E736" s="253"/>
      <c r="F736" s="254"/>
      <c r="G736" s="254"/>
      <c r="H736" s="254"/>
      <c r="I736" s="254"/>
      <c r="J736" s="254"/>
      <c r="K736" s="253">
        <f t="shared" si="71"/>
        <v>1005803.21</v>
      </c>
      <c r="L736" s="255">
        <f t="shared" si="70"/>
        <v>3.2876712328767124E-4</v>
      </c>
      <c r="M736" s="253">
        <f t="shared" si="72"/>
        <v>330.6750279452055</v>
      </c>
    </row>
    <row r="737" spans="2:14" hidden="1" outlineLevel="1" x14ac:dyDescent="0.25">
      <c r="B737" s="251">
        <v>46101</v>
      </c>
      <c r="C737" s="252" t="s">
        <v>1091</v>
      </c>
      <c r="D737" s="252">
        <v>2026</v>
      </c>
      <c r="E737" s="253"/>
      <c r="F737" s="254"/>
      <c r="G737" s="254"/>
      <c r="H737" s="254"/>
      <c r="I737" s="254"/>
      <c r="J737" s="254"/>
      <c r="K737" s="253">
        <f t="shared" si="71"/>
        <v>1005803.21</v>
      </c>
      <c r="L737" s="255">
        <f t="shared" si="70"/>
        <v>3.2876712328767124E-4</v>
      </c>
      <c r="M737" s="253">
        <f t="shared" si="72"/>
        <v>330.6750279452055</v>
      </c>
    </row>
    <row r="738" spans="2:14" hidden="1" outlineLevel="1" x14ac:dyDescent="0.25">
      <c r="B738" s="251">
        <v>46102</v>
      </c>
      <c r="C738" s="252" t="s">
        <v>1091</v>
      </c>
      <c r="D738" s="252">
        <v>2026</v>
      </c>
      <c r="E738" s="253"/>
      <c r="F738" s="254"/>
      <c r="G738" s="254"/>
      <c r="H738" s="254"/>
      <c r="I738" s="254"/>
      <c r="J738" s="254"/>
      <c r="K738" s="253">
        <f t="shared" si="71"/>
        <v>1005803.21</v>
      </c>
      <c r="L738" s="255">
        <f t="shared" si="70"/>
        <v>3.2876712328767124E-4</v>
      </c>
      <c r="M738" s="253">
        <f t="shared" si="72"/>
        <v>330.6750279452055</v>
      </c>
    </row>
    <row r="739" spans="2:14" hidden="1" outlineLevel="1" x14ac:dyDescent="0.25">
      <c r="B739" s="251">
        <v>46103</v>
      </c>
      <c r="C739" s="252" t="s">
        <v>1091</v>
      </c>
      <c r="D739" s="252">
        <v>2026</v>
      </c>
      <c r="E739" s="253"/>
      <c r="F739" s="254"/>
      <c r="G739" s="254"/>
      <c r="H739" s="254"/>
      <c r="I739" s="254"/>
      <c r="J739" s="254"/>
      <c r="K739" s="253">
        <f t="shared" si="71"/>
        <v>1005803.21</v>
      </c>
      <c r="L739" s="255">
        <f t="shared" si="70"/>
        <v>3.2876712328767124E-4</v>
      </c>
      <c r="M739" s="253">
        <f t="shared" si="72"/>
        <v>330.6750279452055</v>
      </c>
    </row>
    <row r="740" spans="2:14" hidden="1" outlineLevel="1" x14ac:dyDescent="0.25">
      <c r="B740" s="251">
        <v>46104</v>
      </c>
      <c r="C740" s="252" t="s">
        <v>1091</v>
      </c>
      <c r="D740" s="252">
        <v>2026</v>
      </c>
      <c r="E740" s="253"/>
      <c r="F740" s="254"/>
      <c r="G740" s="254"/>
      <c r="H740" s="254"/>
      <c r="I740" s="254"/>
      <c r="J740" s="254"/>
      <c r="K740" s="253">
        <f t="shared" si="71"/>
        <v>1005803.21</v>
      </c>
      <c r="L740" s="255">
        <f t="shared" si="70"/>
        <v>3.2876712328767124E-4</v>
      </c>
      <c r="M740" s="253">
        <f t="shared" si="72"/>
        <v>330.6750279452055</v>
      </c>
    </row>
    <row r="741" spans="2:14" hidden="1" outlineLevel="1" x14ac:dyDescent="0.25">
      <c r="B741" s="251">
        <v>46105</v>
      </c>
      <c r="C741" s="252" t="s">
        <v>1091</v>
      </c>
      <c r="D741" s="252">
        <v>2026</v>
      </c>
      <c r="E741" s="253">
        <v>10000</v>
      </c>
      <c r="F741" s="254" t="s">
        <v>728</v>
      </c>
      <c r="G741" s="254"/>
      <c r="H741" s="254" t="s">
        <v>911</v>
      </c>
      <c r="I741" s="254" t="s">
        <v>1093</v>
      </c>
      <c r="J741" s="254" t="s">
        <v>125</v>
      </c>
      <c r="K741" s="253">
        <f t="shared" si="71"/>
        <v>1015803.21</v>
      </c>
      <c r="L741" s="255">
        <f t="shared" si="70"/>
        <v>3.2876712328767124E-4</v>
      </c>
      <c r="M741" s="253">
        <f t="shared" si="72"/>
        <v>333.96269917808218</v>
      </c>
    </row>
    <row r="742" spans="2:14" hidden="1" outlineLevel="1" x14ac:dyDescent="0.25">
      <c r="B742" s="251">
        <v>46106</v>
      </c>
      <c r="C742" s="252" t="s">
        <v>1091</v>
      </c>
      <c r="D742" s="252">
        <v>2026</v>
      </c>
      <c r="E742" s="253">
        <v>-2574.7399999999998</v>
      </c>
      <c r="F742" s="254" t="s">
        <v>480</v>
      </c>
      <c r="G742" s="254"/>
      <c r="H742" s="254" t="s">
        <v>1094</v>
      </c>
      <c r="I742" s="254" t="s">
        <v>1095</v>
      </c>
      <c r="J742" s="254" t="s">
        <v>125</v>
      </c>
      <c r="K742" s="253">
        <f t="shared" si="71"/>
        <v>1013228.47</v>
      </c>
      <c r="L742" s="255">
        <f t="shared" si="70"/>
        <v>3.2876712328767124E-4</v>
      </c>
      <c r="M742" s="253">
        <f t="shared" si="72"/>
        <v>333.11620931506849</v>
      </c>
    </row>
    <row r="743" spans="2:14" hidden="1" outlineLevel="1" x14ac:dyDescent="0.25">
      <c r="B743" s="251">
        <v>46107</v>
      </c>
      <c r="C743" s="252" t="s">
        <v>1091</v>
      </c>
      <c r="D743" s="252">
        <v>2026</v>
      </c>
      <c r="E743" s="253"/>
      <c r="F743" s="254"/>
      <c r="G743" s="254"/>
      <c r="H743" s="254"/>
      <c r="I743" s="254"/>
      <c r="J743" s="254"/>
      <c r="K743" s="253">
        <f t="shared" si="71"/>
        <v>1013228.47</v>
      </c>
      <c r="L743" s="255">
        <f t="shared" si="70"/>
        <v>3.2876712328767124E-4</v>
      </c>
      <c r="M743" s="253">
        <f t="shared" si="72"/>
        <v>333.11620931506849</v>
      </c>
    </row>
    <row r="744" spans="2:14" hidden="1" outlineLevel="1" x14ac:dyDescent="0.25">
      <c r="B744" s="251">
        <v>46108</v>
      </c>
      <c r="C744" s="252" t="s">
        <v>1091</v>
      </c>
      <c r="D744" s="252">
        <v>2026</v>
      </c>
      <c r="E744" s="253"/>
      <c r="F744" s="254"/>
      <c r="G744" s="254"/>
      <c r="H744" s="254"/>
      <c r="I744" s="254"/>
      <c r="J744" s="254"/>
      <c r="K744" s="253">
        <f t="shared" si="71"/>
        <v>1013228.47</v>
      </c>
      <c r="L744" s="255">
        <f t="shared" si="70"/>
        <v>3.2876712328767124E-4</v>
      </c>
      <c r="M744" s="253">
        <f t="shared" si="72"/>
        <v>333.11620931506849</v>
      </c>
    </row>
    <row r="745" spans="2:14" hidden="1" outlineLevel="1" x14ac:dyDescent="0.25">
      <c r="B745" s="251">
        <v>46109</v>
      </c>
      <c r="C745" s="252" t="s">
        <v>1091</v>
      </c>
      <c r="D745" s="252">
        <v>2026</v>
      </c>
      <c r="E745" s="253"/>
      <c r="F745" s="254"/>
      <c r="G745" s="254"/>
      <c r="H745" s="254"/>
      <c r="I745" s="254"/>
      <c r="J745" s="254"/>
      <c r="K745" s="253">
        <f t="shared" si="71"/>
        <v>1013228.47</v>
      </c>
      <c r="L745" s="255">
        <f t="shared" si="70"/>
        <v>3.2876712328767124E-4</v>
      </c>
      <c r="M745" s="253">
        <f t="shared" si="72"/>
        <v>333.11620931506849</v>
      </c>
    </row>
    <row r="746" spans="2:14" hidden="1" outlineLevel="1" x14ac:dyDescent="0.25">
      <c r="B746" s="251">
        <v>46110</v>
      </c>
      <c r="C746" s="252" t="s">
        <v>1091</v>
      </c>
      <c r="D746" s="252">
        <v>2026</v>
      </c>
      <c r="E746" s="253"/>
      <c r="F746" s="254"/>
      <c r="G746" s="254"/>
      <c r="H746" s="254"/>
      <c r="I746" s="254"/>
      <c r="J746" s="254"/>
      <c r="K746" s="253">
        <f t="shared" si="71"/>
        <v>1013228.47</v>
      </c>
      <c r="L746" s="255">
        <f t="shared" si="70"/>
        <v>3.2876712328767124E-4</v>
      </c>
      <c r="M746" s="253">
        <f t="shared" si="72"/>
        <v>333.11620931506849</v>
      </c>
    </row>
    <row r="747" spans="2:14" ht="15.75" hidden="1" outlineLevel="1" thickBot="1" x14ac:dyDescent="0.3">
      <c r="B747" s="251">
        <v>46111</v>
      </c>
      <c r="C747" s="252" t="s">
        <v>1091</v>
      </c>
      <c r="D747" s="252">
        <v>2026</v>
      </c>
      <c r="E747" s="253"/>
      <c r="F747" s="254"/>
      <c r="G747" s="254"/>
      <c r="H747" s="254"/>
      <c r="I747" s="254"/>
      <c r="J747" s="254"/>
      <c r="K747" s="253">
        <f t="shared" si="71"/>
        <v>1013228.47</v>
      </c>
      <c r="L747" s="255">
        <f t="shared" si="70"/>
        <v>3.2876712328767124E-4</v>
      </c>
      <c r="M747" s="253">
        <f t="shared" si="72"/>
        <v>333.11620931506849</v>
      </c>
    </row>
    <row r="748" spans="2:14" ht="15.75" collapsed="1" thickBot="1" x14ac:dyDescent="0.3">
      <c r="B748" s="251">
        <v>46112</v>
      </c>
      <c r="C748" s="252" t="s">
        <v>1091</v>
      </c>
      <c r="D748" s="252">
        <v>2026</v>
      </c>
      <c r="E748" s="253"/>
      <c r="F748" s="254"/>
      <c r="G748" s="254"/>
      <c r="H748" s="254"/>
      <c r="I748" s="254"/>
      <c r="J748" s="254"/>
      <c r="K748" s="253">
        <f t="shared" si="71"/>
        <v>1013228.47</v>
      </c>
      <c r="L748" s="255">
        <f t="shared" si="70"/>
        <v>3.2876712328767124E-4</v>
      </c>
      <c r="M748" s="253">
        <f t="shared" si="72"/>
        <v>333.11620931506849</v>
      </c>
      <c r="N748" s="411">
        <f>SUM(M718:M748)</f>
        <v>10169.38399890411</v>
      </c>
    </row>
    <row r="749" spans="2:14" ht="15.75" thickBot="1" x14ac:dyDescent="0.3">
      <c r="B749" s="251"/>
      <c r="C749" s="252"/>
      <c r="D749" s="252"/>
      <c r="E749" s="253"/>
      <c r="F749" s="254"/>
      <c r="G749" s="254"/>
      <c r="H749" s="254"/>
      <c r="I749" s="254"/>
      <c r="J749" s="254"/>
      <c r="K749" s="253">
        <f t="shared" si="71"/>
        <v>1013228.47</v>
      </c>
      <c r="L749" s="255">
        <f t="shared" si="70"/>
        <v>3.2876712328767124E-4</v>
      </c>
      <c r="M749" s="253"/>
    </row>
    <row r="750" spans="2:14" hidden="1" outlineLevel="1" x14ac:dyDescent="0.25">
      <c r="B750" s="251">
        <v>46113</v>
      </c>
      <c r="C750" s="252"/>
      <c r="D750" s="252"/>
      <c r="E750" s="253"/>
      <c r="F750" s="254"/>
      <c r="G750" s="254"/>
      <c r="H750" s="254"/>
      <c r="I750" s="254"/>
      <c r="J750" s="254"/>
      <c r="K750" s="253">
        <f t="shared" si="71"/>
        <v>1013228.47</v>
      </c>
      <c r="L750" s="255">
        <f t="shared" si="70"/>
        <v>3.2876712328767124E-4</v>
      </c>
      <c r="M750" s="253">
        <f t="shared" si="72"/>
        <v>333.11620931506849</v>
      </c>
    </row>
    <row r="751" spans="2:14" hidden="1" outlineLevel="1" x14ac:dyDescent="0.25">
      <c r="B751" s="251">
        <v>46114</v>
      </c>
      <c r="C751" s="252"/>
      <c r="D751" s="252"/>
      <c r="E751" s="253"/>
      <c r="F751" s="254"/>
      <c r="G751" s="254"/>
      <c r="H751" s="254"/>
      <c r="I751" s="254"/>
      <c r="J751" s="254"/>
      <c r="K751" s="253">
        <f t="shared" si="71"/>
        <v>1013228.47</v>
      </c>
      <c r="L751" s="255">
        <f t="shared" si="70"/>
        <v>3.2876712328767124E-4</v>
      </c>
      <c r="M751" s="253">
        <f t="shared" si="72"/>
        <v>333.11620931506849</v>
      </c>
    </row>
    <row r="752" spans="2:14" hidden="1" outlineLevel="1" x14ac:dyDescent="0.25">
      <c r="B752" s="251">
        <v>46115</v>
      </c>
      <c r="C752" s="252"/>
      <c r="D752" s="252"/>
      <c r="E752" s="253"/>
      <c r="F752" s="254"/>
      <c r="G752" s="254"/>
      <c r="H752" s="254"/>
      <c r="I752" s="254"/>
      <c r="J752" s="254"/>
      <c r="K752" s="253">
        <f t="shared" si="71"/>
        <v>1013228.47</v>
      </c>
      <c r="L752" s="255">
        <f t="shared" si="70"/>
        <v>3.2876712328767124E-4</v>
      </c>
      <c r="M752" s="253">
        <f t="shared" si="72"/>
        <v>333.11620931506849</v>
      </c>
    </row>
    <row r="753" spans="2:13" hidden="1" outlineLevel="1" x14ac:dyDescent="0.25">
      <c r="B753" s="251">
        <v>46116</v>
      </c>
      <c r="C753" s="252"/>
      <c r="D753" s="252"/>
      <c r="E753" s="253"/>
      <c r="F753" s="254"/>
      <c r="G753" s="254"/>
      <c r="H753" s="254"/>
      <c r="I753" s="254"/>
      <c r="J753" s="254"/>
      <c r="K753" s="253">
        <f t="shared" si="71"/>
        <v>1013228.47</v>
      </c>
      <c r="L753" s="255">
        <f t="shared" si="70"/>
        <v>3.2876712328767124E-4</v>
      </c>
      <c r="M753" s="253">
        <f t="shared" si="72"/>
        <v>333.11620931506849</v>
      </c>
    </row>
    <row r="754" spans="2:13" hidden="1" outlineLevel="1" x14ac:dyDescent="0.25">
      <c r="B754" s="251">
        <v>46117</v>
      </c>
      <c r="C754" s="252"/>
      <c r="D754" s="252"/>
      <c r="E754" s="253"/>
      <c r="F754" s="254"/>
      <c r="G754" s="254"/>
      <c r="H754" s="254"/>
      <c r="I754" s="254"/>
      <c r="J754" s="254"/>
      <c r="K754" s="253">
        <f t="shared" si="71"/>
        <v>1013228.47</v>
      </c>
      <c r="L754" s="255">
        <f t="shared" si="70"/>
        <v>3.2876712328767124E-4</v>
      </c>
      <c r="M754" s="253">
        <f t="shared" si="72"/>
        <v>333.11620931506849</v>
      </c>
    </row>
    <row r="755" spans="2:13" hidden="1" outlineLevel="1" x14ac:dyDescent="0.25">
      <c r="B755" s="251">
        <v>46118</v>
      </c>
      <c r="C755" s="252"/>
      <c r="D755" s="252"/>
      <c r="E755" s="253"/>
      <c r="F755" s="254"/>
      <c r="G755" s="254"/>
      <c r="H755" s="254"/>
      <c r="I755" s="254"/>
      <c r="J755" s="254"/>
      <c r="K755" s="253">
        <f t="shared" si="71"/>
        <v>1013228.47</v>
      </c>
      <c r="L755" s="255">
        <f t="shared" si="70"/>
        <v>3.2876712328767124E-4</v>
      </c>
      <c r="M755" s="253">
        <f t="shared" si="72"/>
        <v>333.11620931506849</v>
      </c>
    </row>
    <row r="756" spans="2:13" hidden="1" outlineLevel="1" x14ac:dyDescent="0.25">
      <c r="B756" s="251">
        <v>46119</v>
      </c>
      <c r="C756" s="252"/>
      <c r="D756" s="252"/>
      <c r="E756" s="253"/>
      <c r="F756" s="254"/>
      <c r="G756" s="254"/>
      <c r="H756" s="254"/>
      <c r="I756" s="254"/>
      <c r="J756" s="254"/>
      <c r="K756" s="253">
        <f t="shared" si="71"/>
        <v>1013228.47</v>
      </c>
      <c r="L756" s="255">
        <f t="shared" si="70"/>
        <v>3.2876712328767124E-4</v>
      </c>
      <c r="M756" s="253">
        <f t="shared" si="72"/>
        <v>333.11620931506849</v>
      </c>
    </row>
    <row r="757" spans="2:13" hidden="1" outlineLevel="1" x14ac:dyDescent="0.25">
      <c r="B757" s="251">
        <v>46120</v>
      </c>
      <c r="C757" s="252"/>
      <c r="D757" s="252"/>
      <c r="E757" s="253"/>
      <c r="F757" s="254"/>
      <c r="G757" s="254"/>
      <c r="H757" s="254"/>
      <c r="I757" s="254"/>
      <c r="J757" s="254"/>
      <c r="K757" s="253">
        <f t="shared" si="71"/>
        <v>1013228.47</v>
      </c>
      <c r="L757" s="255">
        <f t="shared" si="70"/>
        <v>3.2876712328767124E-4</v>
      </c>
      <c r="M757" s="253">
        <f t="shared" si="72"/>
        <v>333.11620931506849</v>
      </c>
    </row>
    <row r="758" spans="2:13" hidden="1" outlineLevel="1" x14ac:dyDescent="0.25">
      <c r="B758" s="251">
        <v>46121</v>
      </c>
      <c r="C758" s="252"/>
      <c r="D758" s="252"/>
      <c r="E758" s="253"/>
      <c r="F758" s="254"/>
      <c r="G758" s="254"/>
      <c r="H758" s="254"/>
      <c r="I758" s="254"/>
      <c r="J758" s="254"/>
      <c r="K758" s="253">
        <f t="shared" si="71"/>
        <v>1013228.47</v>
      </c>
      <c r="L758" s="255">
        <f t="shared" si="70"/>
        <v>3.2876712328767124E-4</v>
      </c>
      <c r="M758" s="253">
        <f t="shared" si="72"/>
        <v>333.11620931506849</v>
      </c>
    </row>
    <row r="759" spans="2:13" hidden="1" outlineLevel="1" x14ac:dyDescent="0.25">
      <c r="B759" s="251">
        <v>46122</v>
      </c>
      <c r="C759" s="252"/>
      <c r="D759" s="252"/>
      <c r="E759" s="253"/>
      <c r="F759" s="254"/>
      <c r="G759" s="254"/>
      <c r="H759" s="254"/>
      <c r="I759" s="254"/>
      <c r="J759" s="254"/>
      <c r="K759" s="253">
        <f t="shared" si="71"/>
        <v>1013228.47</v>
      </c>
      <c r="L759" s="255">
        <f t="shared" si="70"/>
        <v>3.2876712328767124E-4</v>
      </c>
      <c r="M759" s="253">
        <f t="shared" si="72"/>
        <v>333.11620931506849</v>
      </c>
    </row>
    <row r="760" spans="2:13" hidden="1" outlineLevel="1" x14ac:dyDescent="0.25">
      <c r="B760" s="251">
        <v>46123</v>
      </c>
      <c r="C760" s="252"/>
      <c r="D760" s="252"/>
      <c r="E760" s="253"/>
      <c r="F760" s="254"/>
      <c r="G760" s="254"/>
      <c r="H760" s="254"/>
      <c r="I760" s="254"/>
      <c r="J760" s="254"/>
      <c r="K760" s="253">
        <f t="shared" si="71"/>
        <v>1013228.47</v>
      </c>
      <c r="L760" s="255">
        <f t="shared" si="70"/>
        <v>3.2876712328767124E-4</v>
      </c>
      <c r="M760" s="253">
        <f t="shared" si="72"/>
        <v>333.11620931506849</v>
      </c>
    </row>
    <row r="761" spans="2:13" hidden="1" outlineLevel="1" x14ac:dyDescent="0.25">
      <c r="B761" s="251">
        <v>46124</v>
      </c>
      <c r="C761" s="252"/>
      <c r="D761" s="252"/>
      <c r="E761" s="253"/>
      <c r="F761" s="254"/>
      <c r="G761" s="254"/>
      <c r="H761" s="254"/>
      <c r="I761" s="254"/>
      <c r="J761" s="254"/>
      <c r="K761" s="253">
        <f t="shared" si="71"/>
        <v>1013228.47</v>
      </c>
      <c r="L761" s="255">
        <f t="shared" si="70"/>
        <v>3.2876712328767124E-4</v>
      </c>
      <c r="M761" s="253">
        <f t="shared" si="72"/>
        <v>333.11620931506849</v>
      </c>
    </row>
    <row r="762" spans="2:13" hidden="1" outlineLevel="1" x14ac:dyDescent="0.25">
      <c r="B762" s="251">
        <v>46125</v>
      </c>
      <c r="C762" s="252"/>
      <c r="D762" s="252"/>
      <c r="E762" s="253"/>
      <c r="F762" s="254"/>
      <c r="G762" s="254"/>
      <c r="H762" s="254"/>
      <c r="I762" s="254"/>
      <c r="J762" s="254"/>
      <c r="K762" s="253">
        <f t="shared" si="71"/>
        <v>1013228.47</v>
      </c>
      <c r="L762" s="255">
        <f t="shared" si="70"/>
        <v>3.2876712328767124E-4</v>
      </c>
      <c r="M762" s="253">
        <f t="shared" si="72"/>
        <v>333.11620931506849</v>
      </c>
    </row>
    <row r="763" spans="2:13" hidden="1" outlineLevel="1" x14ac:dyDescent="0.25">
      <c r="B763" s="251">
        <v>46126</v>
      </c>
      <c r="C763" s="252"/>
      <c r="D763" s="252"/>
      <c r="E763" s="253"/>
      <c r="F763" s="254"/>
      <c r="G763" s="254"/>
      <c r="H763" s="254"/>
      <c r="I763" s="254"/>
      <c r="J763" s="254"/>
      <c r="K763" s="253">
        <f t="shared" si="71"/>
        <v>1013228.47</v>
      </c>
      <c r="L763" s="255">
        <f t="shared" si="70"/>
        <v>3.2876712328767124E-4</v>
      </c>
      <c r="M763" s="253">
        <f t="shared" si="72"/>
        <v>333.11620931506849</v>
      </c>
    </row>
    <row r="764" spans="2:13" hidden="1" outlineLevel="1" x14ac:dyDescent="0.25">
      <c r="B764" s="251">
        <v>46127</v>
      </c>
      <c r="C764" s="252"/>
      <c r="D764" s="252"/>
      <c r="E764" s="253"/>
      <c r="F764" s="254"/>
      <c r="G764" s="254"/>
      <c r="H764" s="254"/>
      <c r="I764" s="254"/>
      <c r="J764" s="254"/>
      <c r="K764" s="253">
        <f t="shared" si="71"/>
        <v>1013228.47</v>
      </c>
      <c r="L764" s="255">
        <f t="shared" si="70"/>
        <v>3.2876712328767124E-4</v>
      </c>
      <c r="M764" s="253">
        <f t="shared" si="72"/>
        <v>333.11620931506849</v>
      </c>
    </row>
    <row r="765" spans="2:13" hidden="1" outlineLevel="1" x14ac:dyDescent="0.25">
      <c r="B765" s="251">
        <v>46128</v>
      </c>
      <c r="C765" s="252"/>
      <c r="D765" s="252"/>
      <c r="E765" s="253"/>
      <c r="F765" s="254"/>
      <c r="G765" s="254"/>
      <c r="H765" s="254"/>
      <c r="I765" s="254"/>
      <c r="J765" s="254"/>
      <c r="K765" s="253">
        <f t="shared" si="71"/>
        <v>1013228.47</v>
      </c>
      <c r="L765" s="255">
        <f t="shared" si="70"/>
        <v>3.2876712328767124E-4</v>
      </c>
      <c r="M765" s="253">
        <f t="shared" si="72"/>
        <v>333.11620931506849</v>
      </c>
    </row>
    <row r="766" spans="2:13" hidden="1" outlineLevel="1" x14ac:dyDescent="0.25">
      <c r="B766" s="251">
        <v>46129</v>
      </c>
      <c r="C766" s="252"/>
      <c r="D766" s="252"/>
      <c r="E766" s="253"/>
      <c r="F766" s="254"/>
      <c r="G766" s="254"/>
      <c r="H766" s="254"/>
      <c r="I766" s="254"/>
      <c r="J766" s="254"/>
      <c r="K766" s="253">
        <f t="shared" si="71"/>
        <v>1013228.47</v>
      </c>
      <c r="L766" s="255">
        <f t="shared" si="70"/>
        <v>3.2876712328767124E-4</v>
      </c>
      <c r="M766" s="253">
        <f t="shared" si="72"/>
        <v>333.11620931506849</v>
      </c>
    </row>
    <row r="767" spans="2:13" hidden="1" outlineLevel="1" x14ac:dyDescent="0.25">
      <c r="B767" s="251">
        <v>46130</v>
      </c>
      <c r="C767" s="252"/>
      <c r="D767" s="252"/>
      <c r="E767" s="253"/>
      <c r="F767" s="254"/>
      <c r="G767" s="254"/>
      <c r="H767" s="254"/>
      <c r="I767" s="254"/>
      <c r="J767" s="254"/>
      <c r="K767" s="253">
        <f t="shared" si="71"/>
        <v>1013228.47</v>
      </c>
      <c r="L767" s="255">
        <f t="shared" si="70"/>
        <v>3.2876712328767124E-4</v>
      </c>
      <c r="M767" s="253">
        <f t="shared" si="72"/>
        <v>333.11620931506849</v>
      </c>
    </row>
    <row r="768" spans="2:13" hidden="1" outlineLevel="1" x14ac:dyDescent="0.25">
      <c r="B768" s="251">
        <v>46131</v>
      </c>
      <c r="C768" s="252"/>
      <c r="D768" s="252"/>
      <c r="E768" s="253"/>
      <c r="F768" s="254"/>
      <c r="G768" s="254"/>
      <c r="H768" s="254"/>
      <c r="I768" s="254"/>
      <c r="J768" s="254"/>
      <c r="K768" s="253">
        <f t="shared" si="71"/>
        <v>1013228.47</v>
      </c>
      <c r="L768" s="255">
        <f t="shared" si="70"/>
        <v>3.2876712328767124E-4</v>
      </c>
      <c r="M768" s="253">
        <f t="shared" si="72"/>
        <v>333.11620931506849</v>
      </c>
    </row>
    <row r="769" spans="2:14" hidden="1" outlineLevel="1" x14ac:dyDescent="0.25">
      <c r="B769" s="251">
        <v>46132</v>
      </c>
      <c r="C769" s="252"/>
      <c r="D769" s="252"/>
      <c r="E769" s="253"/>
      <c r="F769" s="254"/>
      <c r="G769" s="254"/>
      <c r="H769" s="254"/>
      <c r="I769" s="254"/>
      <c r="J769" s="254"/>
      <c r="K769" s="253">
        <f t="shared" si="71"/>
        <v>1013228.47</v>
      </c>
      <c r="L769" s="255">
        <f t="shared" si="70"/>
        <v>3.2876712328767124E-4</v>
      </c>
      <c r="M769" s="253">
        <f t="shared" si="72"/>
        <v>333.11620931506849</v>
      </c>
    </row>
    <row r="770" spans="2:14" hidden="1" outlineLevel="1" x14ac:dyDescent="0.25">
      <c r="B770" s="251">
        <v>46133</v>
      </c>
      <c r="C770" s="252"/>
      <c r="D770" s="252"/>
      <c r="E770" s="253"/>
      <c r="F770" s="254"/>
      <c r="G770" s="254"/>
      <c r="H770" s="254"/>
      <c r="I770" s="254"/>
      <c r="J770" s="254"/>
      <c r="K770" s="253">
        <f t="shared" si="71"/>
        <v>1013228.47</v>
      </c>
      <c r="L770" s="255">
        <f t="shared" si="70"/>
        <v>3.2876712328767124E-4</v>
      </c>
      <c r="M770" s="253">
        <f t="shared" si="72"/>
        <v>333.11620931506849</v>
      </c>
    </row>
    <row r="771" spans="2:14" hidden="1" outlineLevel="1" x14ac:dyDescent="0.25">
      <c r="B771" s="251">
        <v>46134</v>
      </c>
      <c r="C771" s="252"/>
      <c r="D771" s="252"/>
      <c r="E771" s="253"/>
      <c r="F771" s="254"/>
      <c r="G771" s="254"/>
      <c r="H771" s="254"/>
      <c r="I771" s="254"/>
      <c r="J771" s="254"/>
      <c r="K771" s="253">
        <f t="shared" si="71"/>
        <v>1013228.47</v>
      </c>
      <c r="L771" s="255">
        <f t="shared" si="70"/>
        <v>3.2876712328767124E-4</v>
      </c>
      <c r="M771" s="253">
        <f t="shared" si="72"/>
        <v>333.11620931506849</v>
      </c>
    </row>
    <row r="772" spans="2:14" hidden="1" outlineLevel="1" x14ac:dyDescent="0.25">
      <c r="B772" s="251">
        <v>46135</v>
      </c>
      <c r="C772" s="252"/>
      <c r="D772" s="252"/>
      <c r="E772" s="253"/>
      <c r="F772" s="254"/>
      <c r="G772" s="254"/>
      <c r="H772" s="254"/>
      <c r="I772" s="254"/>
      <c r="J772" s="254"/>
      <c r="K772" s="253">
        <f t="shared" si="71"/>
        <v>1013228.47</v>
      </c>
      <c r="L772" s="255">
        <f t="shared" si="70"/>
        <v>3.2876712328767124E-4</v>
      </c>
      <c r="M772" s="253">
        <f t="shared" si="72"/>
        <v>333.11620931506849</v>
      </c>
    </row>
    <row r="773" spans="2:14" hidden="1" outlineLevel="1" x14ac:dyDescent="0.25">
      <c r="B773" s="251">
        <v>46136</v>
      </c>
      <c r="C773" s="252"/>
      <c r="D773" s="252"/>
      <c r="E773" s="253"/>
      <c r="F773" s="254"/>
      <c r="G773" s="254"/>
      <c r="H773" s="254"/>
      <c r="I773" s="254"/>
      <c r="J773" s="254"/>
      <c r="K773" s="253">
        <f t="shared" si="71"/>
        <v>1013228.47</v>
      </c>
      <c r="L773" s="255">
        <f t="shared" si="70"/>
        <v>3.2876712328767124E-4</v>
      </c>
      <c r="M773" s="253">
        <f t="shared" si="72"/>
        <v>333.11620931506849</v>
      </c>
    </row>
    <row r="774" spans="2:14" hidden="1" outlineLevel="1" x14ac:dyDescent="0.25">
      <c r="B774" s="251">
        <v>46137</v>
      </c>
      <c r="C774" s="252"/>
      <c r="D774" s="252"/>
      <c r="E774" s="253"/>
      <c r="F774" s="254"/>
      <c r="G774" s="254"/>
      <c r="H774" s="254"/>
      <c r="I774" s="254"/>
      <c r="J774" s="254"/>
      <c r="K774" s="253">
        <f t="shared" si="71"/>
        <v>1013228.47</v>
      </c>
      <c r="L774" s="255">
        <f t="shared" si="70"/>
        <v>3.2876712328767124E-4</v>
      </c>
      <c r="M774" s="253">
        <f t="shared" si="72"/>
        <v>333.11620931506849</v>
      </c>
    </row>
    <row r="775" spans="2:14" hidden="1" outlineLevel="1" x14ac:dyDescent="0.25">
      <c r="B775" s="251">
        <v>46138</v>
      </c>
      <c r="C775" s="252"/>
      <c r="D775" s="252"/>
      <c r="E775" s="253"/>
      <c r="F775" s="254"/>
      <c r="G775" s="254"/>
      <c r="H775" s="254"/>
      <c r="I775" s="254"/>
      <c r="J775" s="254"/>
      <c r="K775" s="253">
        <f t="shared" si="71"/>
        <v>1013228.47</v>
      </c>
      <c r="L775" s="255">
        <f t="shared" si="70"/>
        <v>3.2876712328767124E-4</v>
      </c>
      <c r="M775" s="253">
        <f t="shared" si="72"/>
        <v>333.11620931506849</v>
      </c>
    </row>
    <row r="776" spans="2:14" hidden="1" outlineLevel="1" x14ac:dyDescent="0.25">
      <c r="B776" s="251">
        <v>46139</v>
      </c>
      <c r="C776" s="252"/>
      <c r="D776" s="252"/>
      <c r="E776" s="253"/>
      <c r="F776" s="254"/>
      <c r="G776" s="254"/>
      <c r="H776" s="254"/>
      <c r="I776" s="254"/>
      <c r="J776" s="254"/>
      <c r="K776" s="253">
        <f t="shared" si="71"/>
        <v>1013228.47</v>
      </c>
      <c r="L776" s="255">
        <f t="shared" ref="L776:L839" si="73">(0.12/365)</f>
        <v>3.2876712328767124E-4</v>
      </c>
      <c r="M776" s="253">
        <f t="shared" si="72"/>
        <v>333.11620931506849</v>
      </c>
    </row>
    <row r="777" spans="2:14" hidden="1" outlineLevel="1" x14ac:dyDescent="0.25">
      <c r="B777" s="251">
        <v>46140</v>
      </c>
      <c r="C777" s="252"/>
      <c r="D777" s="252"/>
      <c r="E777" s="253"/>
      <c r="F777" s="254"/>
      <c r="G777" s="254"/>
      <c r="H777" s="254"/>
      <c r="I777" s="254"/>
      <c r="J777" s="254"/>
      <c r="K777" s="253">
        <f t="shared" si="71"/>
        <v>1013228.47</v>
      </c>
      <c r="L777" s="255">
        <f t="shared" si="73"/>
        <v>3.2876712328767124E-4</v>
      </c>
      <c r="M777" s="253">
        <f t="shared" si="72"/>
        <v>333.11620931506849</v>
      </c>
    </row>
    <row r="778" spans="2:14" hidden="1" outlineLevel="1" x14ac:dyDescent="0.25">
      <c r="B778" s="251">
        <v>46141</v>
      </c>
      <c r="C778" s="252"/>
      <c r="D778" s="252"/>
      <c r="E778" s="253"/>
      <c r="F778" s="254"/>
      <c r="G778" s="254"/>
      <c r="H778" s="254"/>
      <c r="I778" s="254"/>
      <c r="J778" s="254"/>
      <c r="K778" s="253">
        <f t="shared" si="71"/>
        <v>1013228.47</v>
      </c>
      <c r="L778" s="255">
        <f t="shared" si="73"/>
        <v>3.2876712328767124E-4</v>
      </c>
      <c r="M778" s="253">
        <f t="shared" si="72"/>
        <v>333.11620931506849</v>
      </c>
    </row>
    <row r="779" spans="2:14" ht="15.75" collapsed="1" thickBot="1" x14ac:dyDescent="0.3">
      <c r="B779" s="251">
        <v>46142</v>
      </c>
      <c r="C779" s="252"/>
      <c r="D779" s="252"/>
      <c r="E779" s="253"/>
      <c r="F779" s="254"/>
      <c r="G779" s="254"/>
      <c r="H779" s="254"/>
      <c r="I779" s="254"/>
      <c r="J779" s="254"/>
      <c r="K779" s="253">
        <f t="shared" si="71"/>
        <v>1013228.47</v>
      </c>
      <c r="L779" s="255">
        <f t="shared" si="73"/>
        <v>3.2876712328767124E-4</v>
      </c>
      <c r="M779" s="253">
        <f t="shared" si="72"/>
        <v>333.11620931506849</v>
      </c>
      <c r="N779" s="411">
        <f>SUM(M750:M779)</f>
        <v>9993.4862794520577</v>
      </c>
    </row>
    <row r="780" spans="2:14" ht="15.75" thickBot="1" x14ac:dyDescent="0.3">
      <c r="B780" s="251"/>
      <c r="C780" s="252"/>
      <c r="D780" s="252"/>
      <c r="E780" s="253"/>
      <c r="F780" s="254"/>
      <c r="G780" s="254"/>
      <c r="H780" s="254"/>
      <c r="I780" s="254"/>
      <c r="J780" s="254"/>
      <c r="K780" s="253">
        <f t="shared" si="71"/>
        <v>1013228.47</v>
      </c>
      <c r="L780" s="255">
        <f t="shared" si="73"/>
        <v>3.2876712328767124E-4</v>
      </c>
      <c r="M780" s="253"/>
    </row>
    <row r="781" spans="2:14" hidden="1" outlineLevel="1" x14ac:dyDescent="0.25">
      <c r="B781" s="251">
        <v>46143</v>
      </c>
      <c r="C781" s="252"/>
      <c r="D781" s="252"/>
      <c r="E781" s="253"/>
      <c r="F781" s="254"/>
      <c r="G781" s="254"/>
      <c r="H781" s="254"/>
      <c r="I781" s="254"/>
      <c r="J781" s="254"/>
      <c r="K781" s="253">
        <f t="shared" si="71"/>
        <v>1013228.47</v>
      </c>
      <c r="L781" s="255">
        <f t="shared" si="73"/>
        <v>3.2876712328767124E-4</v>
      </c>
      <c r="M781" s="253">
        <f t="shared" si="72"/>
        <v>333.11620931506849</v>
      </c>
    </row>
    <row r="782" spans="2:14" hidden="1" outlineLevel="1" x14ac:dyDescent="0.25">
      <c r="B782" s="251">
        <v>46144</v>
      </c>
      <c r="C782" s="252"/>
      <c r="D782" s="252"/>
      <c r="E782" s="253"/>
      <c r="F782" s="254"/>
      <c r="G782" s="254"/>
      <c r="H782" s="254"/>
      <c r="I782" s="254"/>
      <c r="J782" s="254"/>
      <c r="K782" s="253">
        <f t="shared" si="71"/>
        <v>1013228.47</v>
      </c>
      <c r="L782" s="255">
        <f t="shared" si="73"/>
        <v>3.2876712328767124E-4</v>
      </c>
      <c r="M782" s="253">
        <f t="shared" si="72"/>
        <v>333.11620931506849</v>
      </c>
    </row>
    <row r="783" spans="2:14" hidden="1" outlineLevel="1" x14ac:dyDescent="0.25">
      <c r="B783" s="251">
        <v>46145</v>
      </c>
      <c r="C783" s="252"/>
      <c r="D783" s="252"/>
      <c r="E783" s="253"/>
      <c r="F783" s="254"/>
      <c r="G783" s="254"/>
      <c r="H783" s="254"/>
      <c r="I783" s="254"/>
      <c r="J783" s="254"/>
      <c r="K783" s="253">
        <f t="shared" si="71"/>
        <v>1013228.47</v>
      </c>
      <c r="L783" s="255">
        <f t="shared" si="73"/>
        <v>3.2876712328767124E-4</v>
      </c>
      <c r="M783" s="253">
        <f t="shared" si="72"/>
        <v>333.11620931506849</v>
      </c>
    </row>
    <row r="784" spans="2:14" hidden="1" outlineLevel="1" x14ac:dyDescent="0.25">
      <c r="B784" s="251">
        <v>46146</v>
      </c>
      <c r="C784" s="252"/>
      <c r="D784" s="252"/>
      <c r="E784" s="253"/>
      <c r="F784" s="254"/>
      <c r="G784" s="254"/>
      <c r="H784" s="254"/>
      <c r="I784" s="254"/>
      <c r="J784" s="254"/>
      <c r="K784" s="253">
        <f t="shared" si="71"/>
        <v>1013228.47</v>
      </c>
      <c r="L784" s="255">
        <f t="shared" si="73"/>
        <v>3.2876712328767124E-4</v>
      </c>
      <c r="M784" s="253">
        <f t="shared" si="72"/>
        <v>333.11620931506849</v>
      </c>
    </row>
    <row r="785" spans="2:13" hidden="1" outlineLevel="1" x14ac:dyDescent="0.25">
      <c r="B785" s="251">
        <v>46147</v>
      </c>
      <c r="C785" s="252"/>
      <c r="D785" s="252"/>
      <c r="E785" s="253"/>
      <c r="F785" s="254"/>
      <c r="G785" s="254"/>
      <c r="H785" s="254"/>
      <c r="I785" s="254"/>
      <c r="J785" s="254"/>
      <c r="K785" s="253">
        <f t="shared" si="71"/>
        <v>1013228.47</v>
      </c>
      <c r="L785" s="255">
        <f t="shared" si="73"/>
        <v>3.2876712328767124E-4</v>
      </c>
      <c r="M785" s="253">
        <f t="shared" si="72"/>
        <v>333.11620931506849</v>
      </c>
    </row>
    <row r="786" spans="2:13" hidden="1" outlineLevel="1" x14ac:dyDescent="0.25">
      <c r="B786" s="251">
        <v>46148</v>
      </c>
      <c r="C786" s="252"/>
      <c r="D786" s="252"/>
      <c r="E786" s="253"/>
      <c r="F786" s="254"/>
      <c r="G786" s="254"/>
      <c r="H786" s="254"/>
      <c r="I786" s="254"/>
      <c r="J786" s="254"/>
      <c r="K786" s="253">
        <f t="shared" si="71"/>
        <v>1013228.47</v>
      </c>
      <c r="L786" s="255">
        <f t="shared" si="73"/>
        <v>3.2876712328767124E-4</v>
      </c>
      <c r="M786" s="253">
        <f t="shared" si="72"/>
        <v>333.11620931506849</v>
      </c>
    </row>
    <row r="787" spans="2:13" hidden="1" outlineLevel="1" x14ac:dyDescent="0.25">
      <c r="B787" s="251">
        <v>46149</v>
      </c>
      <c r="C787" s="252"/>
      <c r="D787" s="252"/>
      <c r="E787" s="253"/>
      <c r="F787" s="254"/>
      <c r="G787" s="254"/>
      <c r="H787" s="254"/>
      <c r="I787" s="254"/>
      <c r="J787" s="254"/>
      <c r="K787" s="253">
        <f t="shared" ref="K787:K850" si="74">K786+E787</f>
        <v>1013228.47</v>
      </c>
      <c r="L787" s="255">
        <f t="shared" si="73"/>
        <v>3.2876712328767124E-4</v>
      </c>
      <c r="M787" s="253">
        <f t="shared" ref="M787:M850" si="75">K787*L787</f>
        <v>333.11620931506849</v>
      </c>
    </row>
    <row r="788" spans="2:13" hidden="1" outlineLevel="1" x14ac:dyDescent="0.25">
      <c r="B788" s="251">
        <v>46150</v>
      </c>
      <c r="C788" s="252"/>
      <c r="D788" s="252"/>
      <c r="E788" s="253"/>
      <c r="F788" s="254"/>
      <c r="G788" s="254"/>
      <c r="H788" s="254"/>
      <c r="I788" s="254"/>
      <c r="J788" s="254"/>
      <c r="K788" s="253">
        <f t="shared" si="74"/>
        <v>1013228.47</v>
      </c>
      <c r="L788" s="255">
        <f t="shared" si="73"/>
        <v>3.2876712328767124E-4</v>
      </c>
      <c r="M788" s="253">
        <f t="shared" si="75"/>
        <v>333.11620931506849</v>
      </c>
    </row>
    <row r="789" spans="2:13" hidden="1" outlineLevel="1" x14ac:dyDescent="0.25">
      <c r="B789" s="251">
        <v>46151</v>
      </c>
      <c r="C789" s="252"/>
      <c r="D789" s="252"/>
      <c r="E789" s="253"/>
      <c r="F789" s="254"/>
      <c r="G789" s="254"/>
      <c r="H789" s="254"/>
      <c r="I789" s="254"/>
      <c r="J789" s="254"/>
      <c r="K789" s="253">
        <f t="shared" si="74"/>
        <v>1013228.47</v>
      </c>
      <c r="L789" s="255">
        <f t="shared" si="73"/>
        <v>3.2876712328767124E-4</v>
      </c>
      <c r="M789" s="253">
        <f t="shared" si="75"/>
        <v>333.11620931506849</v>
      </c>
    </row>
    <row r="790" spans="2:13" hidden="1" outlineLevel="1" x14ac:dyDescent="0.25">
      <c r="B790" s="251">
        <v>46152</v>
      </c>
      <c r="C790" s="252"/>
      <c r="D790" s="252"/>
      <c r="E790" s="253"/>
      <c r="F790" s="254"/>
      <c r="G790" s="254"/>
      <c r="H790" s="254"/>
      <c r="I790" s="254"/>
      <c r="J790" s="254"/>
      <c r="K790" s="253">
        <f t="shared" si="74"/>
        <v>1013228.47</v>
      </c>
      <c r="L790" s="255">
        <f t="shared" si="73"/>
        <v>3.2876712328767124E-4</v>
      </c>
      <c r="M790" s="253">
        <f t="shared" si="75"/>
        <v>333.11620931506849</v>
      </c>
    </row>
    <row r="791" spans="2:13" hidden="1" outlineLevel="1" x14ac:dyDescent="0.25">
      <c r="B791" s="251">
        <v>46153</v>
      </c>
      <c r="C791" s="252"/>
      <c r="D791" s="252"/>
      <c r="E791" s="253"/>
      <c r="F791" s="254"/>
      <c r="G791" s="254"/>
      <c r="H791" s="254"/>
      <c r="I791" s="254"/>
      <c r="J791" s="254"/>
      <c r="K791" s="253">
        <f t="shared" si="74"/>
        <v>1013228.47</v>
      </c>
      <c r="L791" s="255">
        <f t="shared" si="73"/>
        <v>3.2876712328767124E-4</v>
      </c>
      <c r="M791" s="253">
        <f t="shared" si="75"/>
        <v>333.11620931506849</v>
      </c>
    </row>
    <row r="792" spans="2:13" hidden="1" outlineLevel="1" x14ac:dyDescent="0.25">
      <c r="B792" s="251">
        <v>46154</v>
      </c>
      <c r="C792" s="252"/>
      <c r="D792" s="252"/>
      <c r="E792" s="253"/>
      <c r="F792" s="254"/>
      <c r="G792" s="254"/>
      <c r="H792" s="254"/>
      <c r="I792" s="254"/>
      <c r="J792" s="254"/>
      <c r="K792" s="253">
        <f t="shared" si="74"/>
        <v>1013228.47</v>
      </c>
      <c r="L792" s="255">
        <f t="shared" si="73"/>
        <v>3.2876712328767124E-4</v>
      </c>
      <c r="M792" s="253">
        <f t="shared" si="75"/>
        <v>333.11620931506849</v>
      </c>
    </row>
    <row r="793" spans="2:13" hidden="1" outlineLevel="1" x14ac:dyDescent="0.25">
      <c r="B793" s="251">
        <v>46155</v>
      </c>
      <c r="C793" s="252"/>
      <c r="D793" s="252"/>
      <c r="E793" s="253"/>
      <c r="F793" s="254"/>
      <c r="G793" s="254"/>
      <c r="H793" s="254"/>
      <c r="I793" s="254"/>
      <c r="J793" s="254"/>
      <c r="K793" s="253">
        <f t="shared" si="74"/>
        <v>1013228.47</v>
      </c>
      <c r="L793" s="255">
        <f t="shared" si="73"/>
        <v>3.2876712328767124E-4</v>
      </c>
      <c r="M793" s="253">
        <f t="shared" si="75"/>
        <v>333.11620931506849</v>
      </c>
    </row>
    <row r="794" spans="2:13" hidden="1" outlineLevel="1" x14ac:dyDescent="0.25">
      <c r="B794" s="251">
        <v>46156</v>
      </c>
      <c r="C794" s="252"/>
      <c r="D794" s="252"/>
      <c r="E794" s="253"/>
      <c r="F794" s="254"/>
      <c r="G794" s="254"/>
      <c r="H794" s="254"/>
      <c r="I794" s="254"/>
      <c r="J794" s="254"/>
      <c r="K794" s="253">
        <f t="shared" si="74"/>
        <v>1013228.47</v>
      </c>
      <c r="L794" s="255">
        <f t="shared" si="73"/>
        <v>3.2876712328767124E-4</v>
      </c>
      <c r="M794" s="253">
        <f t="shared" si="75"/>
        <v>333.11620931506849</v>
      </c>
    </row>
    <row r="795" spans="2:13" hidden="1" outlineLevel="1" x14ac:dyDescent="0.25">
      <c r="B795" s="251">
        <v>46157</v>
      </c>
      <c r="C795" s="252"/>
      <c r="D795" s="252"/>
      <c r="E795" s="253"/>
      <c r="F795" s="254"/>
      <c r="G795" s="254"/>
      <c r="H795" s="254"/>
      <c r="I795" s="254"/>
      <c r="J795" s="254"/>
      <c r="K795" s="253">
        <f t="shared" si="74"/>
        <v>1013228.47</v>
      </c>
      <c r="L795" s="255">
        <f t="shared" si="73"/>
        <v>3.2876712328767124E-4</v>
      </c>
      <c r="M795" s="253">
        <f t="shared" si="75"/>
        <v>333.11620931506849</v>
      </c>
    </row>
    <row r="796" spans="2:13" hidden="1" outlineLevel="1" x14ac:dyDescent="0.25">
      <c r="B796" s="251">
        <v>46158</v>
      </c>
      <c r="C796" s="252"/>
      <c r="D796" s="252"/>
      <c r="E796" s="253"/>
      <c r="F796" s="254"/>
      <c r="G796" s="254"/>
      <c r="H796" s="254"/>
      <c r="I796" s="254"/>
      <c r="J796" s="254"/>
      <c r="K796" s="253">
        <f t="shared" si="74"/>
        <v>1013228.47</v>
      </c>
      <c r="L796" s="255">
        <f t="shared" si="73"/>
        <v>3.2876712328767124E-4</v>
      </c>
      <c r="M796" s="253">
        <f t="shared" si="75"/>
        <v>333.11620931506849</v>
      </c>
    </row>
    <row r="797" spans="2:13" hidden="1" outlineLevel="1" x14ac:dyDescent="0.25">
      <c r="B797" s="251">
        <v>46159</v>
      </c>
      <c r="C797" s="252"/>
      <c r="D797" s="252"/>
      <c r="E797" s="253"/>
      <c r="F797" s="254"/>
      <c r="G797" s="254"/>
      <c r="H797" s="254"/>
      <c r="I797" s="254"/>
      <c r="J797" s="254"/>
      <c r="K797" s="253">
        <f t="shared" si="74"/>
        <v>1013228.47</v>
      </c>
      <c r="L797" s="255">
        <f t="shared" si="73"/>
        <v>3.2876712328767124E-4</v>
      </c>
      <c r="M797" s="253">
        <f t="shared" si="75"/>
        <v>333.11620931506849</v>
      </c>
    </row>
    <row r="798" spans="2:13" hidden="1" outlineLevel="1" x14ac:dyDescent="0.25">
      <c r="B798" s="251">
        <v>46160</v>
      </c>
      <c r="C798" s="252"/>
      <c r="D798" s="252"/>
      <c r="E798" s="253"/>
      <c r="F798" s="254"/>
      <c r="G798" s="254"/>
      <c r="H798" s="254"/>
      <c r="I798" s="254"/>
      <c r="J798" s="254"/>
      <c r="K798" s="253">
        <f t="shared" si="74"/>
        <v>1013228.47</v>
      </c>
      <c r="L798" s="255">
        <f t="shared" si="73"/>
        <v>3.2876712328767124E-4</v>
      </c>
      <c r="M798" s="253">
        <f t="shared" si="75"/>
        <v>333.11620931506849</v>
      </c>
    </row>
    <row r="799" spans="2:13" hidden="1" outlineLevel="1" x14ac:dyDescent="0.25">
      <c r="B799" s="251">
        <v>46161</v>
      </c>
      <c r="C799" s="252"/>
      <c r="D799" s="252"/>
      <c r="E799" s="253"/>
      <c r="F799" s="254"/>
      <c r="G799" s="254"/>
      <c r="H799" s="254"/>
      <c r="I799" s="254"/>
      <c r="J799" s="254"/>
      <c r="K799" s="253">
        <f t="shared" si="74"/>
        <v>1013228.47</v>
      </c>
      <c r="L799" s="255">
        <f t="shared" si="73"/>
        <v>3.2876712328767124E-4</v>
      </c>
      <c r="M799" s="253">
        <f t="shared" si="75"/>
        <v>333.11620931506849</v>
      </c>
    </row>
    <row r="800" spans="2:13" hidden="1" outlineLevel="1" x14ac:dyDescent="0.25">
      <c r="B800" s="251">
        <v>46162</v>
      </c>
      <c r="C800" s="252"/>
      <c r="D800" s="252"/>
      <c r="E800" s="253"/>
      <c r="F800" s="254"/>
      <c r="G800" s="254"/>
      <c r="H800" s="254"/>
      <c r="I800" s="254"/>
      <c r="J800" s="254"/>
      <c r="K800" s="253">
        <f t="shared" si="74"/>
        <v>1013228.47</v>
      </c>
      <c r="L800" s="255">
        <f t="shared" si="73"/>
        <v>3.2876712328767124E-4</v>
      </c>
      <c r="M800" s="253">
        <f t="shared" si="75"/>
        <v>333.11620931506849</v>
      </c>
    </row>
    <row r="801" spans="2:14" hidden="1" outlineLevel="1" x14ac:dyDescent="0.25">
      <c r="B801" s="251">
        <v>46163</v>
      </c>
      <c r="C801" s="252"/>
      <c r="D801" s="252"/>
      <c r="E801" s="253"/>
      <c r="F801" s="254"/>
      <c r="G801" s="254"/>
      <c r="H801" s="254"/>
      <c r="I801" s="254"/>
      <c r="J801" s="254"/>
      <c r="K801" s="253">
        <f t="shared" si="74"/>
        <v>1013228.47</v>
      </c>
      <c r="L801" s="255">
        <f t="shared" si="73"/>
        <v>3.2876712328767124E-4</v>
      </c>
      <c r="M801" s="253">
        <f t="shared" si="75"/>
        <v>333.11620931506849</v>
      </c>
    </row>
    <row r="802" spans="2:14" hidden="1" outlineLevel="1" x14ac:dyDescent="0.25">
      <c r="B802" s="251">
        <v>46164</v>
      </c>
      <c r="C802" s="252"/>
      <c r="D802" s="252"/>
      <c r="E802" s="253"/>
      <c r="F802" s="254"/>
      <c r="G802" s="254"/>
      <c r="H802" s="254"/>
      <c r="I802" s="254"/>
      <c r="J802" s="254"/>
      <c r="K802" s="253">
        <f t="shared" si="74"/>
        <v>1013228.47</v>
      </c>
      <c r="L802" s="255">
        <f t="shared" si="73"/>
        <v>3.2876712328767124E-4</v>
      </c>
      <c r="M802" s="253">
        <f t="shared" si="75"/>
        <v>333.11620931506849</v>
      </c>
    </row>
    <row r="803" spans="2:14" hidden="1" outlineLevel="1" x14ac:dyDescent="0.25">
      <c r="B803" s="251">
        <v>46165</v>
      </c>
      <c r="C803" s="252"/>
      <c r="D803" s="252"/>
      <c r="E803" s="253"/>
      <c r="F803" s="254"/>
      <c r="G803" s="254"/>
      <c r="H803" s="254"/>
      <c r="I803" s="254"/>
      <c r="J803" s="254"/>
      <c r="K803" s="253">
        <f t="shared" si="74"/>
        <v>1013228.47</v>
      </c>
      <c r="L803" s="255">
        <f t="shared" si="73"/>
        <v>3.2876712328767124E-4</v>
      </c>
      <c r="M803" s="253">
        <f t="shared" si="75"/>
        <v>333.11620931506849</v>
      </c>
    </row>
    <row r="804" spans="2:14" hidden="1" outlineLevel="1" x14ac:dyDescent="0.25">
      <c r="B804" s="251">
        <v>46166</v>
      </c>
      <c r="C804" s="252"/>
      <c r="D804" s="252"/>
      <c r="E804" s="253"/>
      <c r="F804" s="254"/>
      <c r="G804" s="254"/>
      <c r="H804" s="254"/>
      <c r="I804" s="254"/>
      <c r="J804" s="254"/>
      <c r="K804" s="253">
        <f t="shared" si="74"/>
        <v>1013228.47</v>
      </c>
      <c r="L804" s="255">
        <f t="shared" si="73"/>
        <v>3.2876712328767124E-4</v>
      </c>
      <c r="M804" s="253">
        <f t="shared" si="75"/>
        <v>333.11620931506849</v>
      </c>
    </row>
    <row r="805" spans="2:14" hidden="1" outlineLevel="1" x14ac:dyDescent="0.25">
      <c r="B805" s="251">
        <v>46167</v>
      </c>
      <c r="C805" s="252"/>
      <c r="D805" s="252"/>
      <c r="E805" s="253"/>
      <c r="F805" s="254"/>
      <c r="G805" s="254"/>
      <c r="H805" s="254"/>
      <c r="I805" s="254"/>
      <c r="J805" s="254"/>
      <c r="K805" s="253">
        <f t="shared" si="74"/>
        <v>1013228.47</v>
      </c>
      <c r="L805" s="255">
        <f t="shared" si="73"/>
        <v>3.2876712328767124E-4</v>
      </c>
      <c r="M805" s="253">
        <f t="shared" si="75"/>
        <v>333.11620931506849</v>
      </c>
    </row>
    <row r="806" spans="2:14" hidden="1" outlineLevel="1" x14ac:dyDescent="0.25">
      <c r="B806" s="251">
        <v>46168</v>
      </c>
      <c r="C806" s="252"/>
      <c r="D806" s="252"/>
      <c r="E806" s="253"/>
      <c r="F806" s="254"/>
      <c r="G806" s="254"/>
      <c r="H806" s="254"/>
      <c r="I806" s="254"/>
      <c r="J806" s="254"/>
      <c r="K806" s="253">
        <f t="shared" si="74"/>
        <v>1013228.47</v>
      </c>
      <c r="L806" s="255">
        <f t="shared" si="73"/>
        <v>3.2876712328767124E-4</v>
      </c>
      <c r="M806" s="253">
        <f t="shared" si="75"/>
        <v>333.11620931506849</v>
      </c>
    </row>
    <row r="807" spans="2:14" hidden="1" outlineLevel="1" x14ac:dyDescent="0.25">
      <c r="B807" s="251">
        <v>46169</v>
      </c>
      <c r="C807" s="252"/>
      <c r="D807" s="252"/>
      <c r="E807" s="253"/>
      <c r="F807" s="254"/>
      <c r="G807" s="254"/>
      <c r="H807" s="254"/>
      <c r="I807" s="254"/>
      <c r="J807" s="254"/>
      <c r="K807" s="253">
        <f t="shared" si="74"/>
        <v>1013228.47</v>
      </c>
      <c r="L807" s="255">
        <f t="shared" si="73"/>
        <v>3.2876712328767124E-4</v>
      </c>
      <c r="M807" s="253">
        <f t="shared" si="75"/>
        <v>333.11620931506849</v>
      </c>
    </row>
    <row r="808" spans="2:14" hidden="1" outlineLevel="1" x14ac:dyDescent="0.25">
      <c r="B808" s="251">
        <v>46170</v>
      </c>
      <c r="C808" s="252"/>
      <c r="D808" s="252"/>
      <c r="E808" s="253"/>
      <c r="F808" s="254"/>
      <c r="G808" s="254"/>
      <c r="H808" s="254"/>
      <c r="I808" s="254"/>
      <c r="J808" s="254"/>
      <c r="K808" s="253">
        <f t="shared" si="74"/>
        <v>1013228.47</v>
      </c>
      <c r="L808" s="255">
        <f t="shared" si="73"/>
        <v>3.2876712328767124E-4</v>
      </c>
      <c r="M808" s="253">
        <f t="shared" si="75"/>
        <v>333.11620931506849</v>
      </c>
    </row>
    <row r="809" spans="2:14" hidden="1" outlineLevel="1" x14ac:dyDescent="0.25">
      <c r="B809" s="251">
        <v>46171</v>
      </c>
      <c r="C809" s="252"/>
      <c r="D809" s="252"/>
      <c r="E809" s="253"/>
      <c r="F809" s="254"/>
      <c r="G809" s="254"/>
      <c r="H809" s="254"/>
      <c r="I809" s="254"/>
      <c r="J809" s="254"/>
      <c r="K809" s="253">
        <f t="shared" si="74"/>
        <v>1013228.47</v>
      </c>
      <c r="L809" s="255">
        <f t="shared" si="73"/>
        <v>3.2876712328767124E-4</v>
      </c>
      <c r="M809" s="253">
        <f t="shared" si="75"/>
        <v>333.11620931506849</v>
      </c>
    </row>
    <row r="810" spans="2:14" hidden="1" outlineLevel="1" x14ac:dyDescent="0.25">
      <c r="B810" s="251">
        <v>46172</v>
      </c>
      <c r="C810" s="252"/>
      <c r="D810" s="252"/>
      <c r="E810" s="253"/>
      <c r="F810" s="254"/>
      <c r="G810" s="254"/>
      <c r="H810" s="254"/>
      <c r="I810" s="254"/>
      <c r="J810" s="254"/>
      <c r="K810" s="253">
        <f t="shared" si="74"/>
        <v>1013228.47</v>
      </c>
      <c r="L810" s="255">
        <f t="shared" si="73"/>
        <v>3.2876712328767124E-4</v>
      </c>
      <c r="M810" s="253">
        <f t="shared" si="75"/>
        <v>333.11620931506849</v>
      </c>
    </row>
    <row r="811" spans="2:14" ht="15.75" collapsed="1" thickBot="1" x14ac:dyDescent="0.3">
      <c r="B811" s="251">
        <v>46173</v>
      </c>
      <c r="C811" s="252"/>
      <c r="D811" s="252"/>
      <c r="E811" s="253"/>
      <c r="F811" s="254"/>
      <c r="G811" s="254"/>
      <c r="H811" s="254"/>
      <c r="I811" s="254"/>
      <c r="J811" s="254"/>
      <c r="K811" s="253">
        <f t="shared" si="74"/>
        <v>1013228.47</v>
      </c>
      <c r="L811" s="255">
        <f t="shared" si="73"/>
        <v>3.2876712328767124E-4</v>
      </c>
      <c r="M811" s="253">
        <f t="shared" si="75"/>
        <v>333.11620931506849</v>
      </c>
      <c r="N811" s="411">
        <f>SUM(M781:M811)</f>
        <v>10326.602488767126</v>
      </c>
    </row>
    <row r="812" spans="2:14" ht="15.75" thickBot="1" x14ac:dyDescent="0.3">
      <c r="B812" s="251"/>
      <c r="C812" s="252"/>
      <c r="D812" s="252"/>
      <c r="E812" s="253"/>
      <c r="F812" s="254"/>
      <c r="G812" s="254"/>
      <c r="H812" s="254"/>
      <c r="I812" s="254"/>
      <c r="J812" s="254"/>
      <c r="K812" s="253">
        <f t="shared" si="74"/>
        <v>1013228.47</v>
      </c>
      <c r="L812" s="255">
        <f t="shared" si="73"/>
        <v>3.2876712328767124E-4</v>
      </c>
      <c r="M812" s="253"/>
    </row>
    <row r="813" spans="2:14" hidden="1" outlineLevel="1" x14ac:dyDescent="0.25">
      <c r="B813" s="251">
        <v>46174</v>
      </c>
      <c r="C813" s="252"/>
      <c r="D813" s="252"/>
      <c r="E813" s="253"/>
      <c r="F813" s="254"/>
      <c r="G813" s="254"/>
      <c r="H813" s="254"/>
      <c r="I813" s="254"/>
      <c r="J813" s="254"/>
      <c r="K813" s="253">
        <f t="shared" si="74"/>
        <v>1013228.47</v>
      </c>
      <c r="L813" s="255">
        <f t="shared" si="73"/>
        <v>3.2876712328767124E-4</v>
      </c>
      <c r="M813" s="253">
        <f t="shared" si="75"/>
        <v>333.11620931506849</v>
      </c>
    </row>
    <row r="814" spans="2:14" hidden="1" outlineLevel="1" x14ac:dyDescent="0.25">
      <c r="B814" s="251">
        <v>46175</v>
      </c>
      <c r="C814" s="252"/>
      <c r="D814" s="252"/>
      <c r="E814" s="253"/>
      <c r="F814" s="254"/>
      <c r="G814" s="254"/>
      <c r="H814" s="254"/>
      <c r="I814" s="254"/>
      <c r="J814" s="254"/>
      <c r="K814" s="253">
        <f t="shared" si="74"/>
        <v>1013228.47</v>
      </c>
      <c r="L814" s="255">
        <f t="shared" si="73"/>
        <v>3.2876712328767124E-4</v>
      </c>
      <c r="M814" s="253">
        <f t="shared" si="75"/>
        <v>333.11620931506849</v>
      </c>
    </row>
    <row r="815" spans="2:14" hidden="1" outlineLevel="1" x14ac:dyDescent="0.25">
      <c r="B815" s="251">
        <v>46176</v>
      </c>
      <c r="C815" s="252"/>
      <c r="D815" s="252"/>
      <c r="E815" s="253"/>
      <c r="F815" s="254"/>
      <c r="G815" s="254"/>
      <c r="H815" s="254"/>
      <c r="I815" s="254"/>
      <c r="J815" s="254"/>
      <c r="K815" s="253">
        <f t="shared" si="74"/>
        <v>1013228.47</v>
      </c>
      <c r="L815" s="255">
        <f t="shared" si="73"/>
        <v>3.2876712328767124E-4</v>
      </c>
      <c r="M815" s="253">
        <f t="shared" si="75"/>
        <v>333.11620931506849</v>
      </c>
    </row>
    <row r="816" spans="2:14" hidden="1" outlineLevel="1" x14ac:dyDescent="0.25">
      <c r="B816" s="251">
        <v>46177</v>
      </c>
      <c r="C816" s="252"/>
      <c r="D816" s="252"/>
      <c r="E816" s="253"/>
      <c r="F816" s="254"/>
      <c r="G816" s="254"/>
      <c r="H816" s="254"/>
      <c r="I816" s="254"/>
      <c r="J816" s="254"/>
      <c r="K816" s="253">
        <f t="shared" si="74"/>
        <v>1013228.47</v>
      </c>
      <c r="L816" s="255">
        <f t="shared" si="73"/>
        <v>3.2876712328767124E-4</v>
      </c>
      <c r="M816" s="253">
        <f t="shared" si="75"/>
        <v>333.11620931506849</v>
      </c>
    </row>
    <row r="817" spans="2:13" hidden="1" outlineLevel="1" x14ac:dyDescent="0.25">
      <c r="B817" s="251">
        <v>46178</v>
      </c>
      <c r="C817" s="252"/>
      <c r="D817" s="252"/>
      <c r="E817" s="253"/>
      <c r="F817" s="254"/>
      <c r="G817" s="254"/>
      <c r="H817" s="254"/>
      <c r="I817" s="254"/>
      <c r="J817" s="254"/>
      <c r="K817" s="253">
        <f t="shared" si="74"/>
        <v>1013228.47</v>
      </c>
      <c r="L817" s="255">
        <f t="shared" si="73"/>
        <v>3.2876712328767124E-4</v>
      </c>
      <c r="M817" s="253">
        <f t="shared" si="75"/>
        <v>333.11620931506849</v>
      </c>
    </row>
    <row r="818" spans="2:13" hidden="1" outlineLevel="1" x14ac:dyDescent="0.25">
      <c r="B818" s="251">
        <v>46179</v>
      </c>
      <c r="C818" s="252"/>
      <c r="D818" s="252"/>
      <c r="E818" s="253"/>
      <c r="F818" s="254"/>
      <c r="G818" s="254"/>
      <c r="H818" s="254"/>
      <c r="I818" s="254"/>
      <c r="J818" s="254"/>
      <c r="K818" s="253">
        <f t="shared" si="74"/>
        <v>1013228.47</v>
      </c>
      <c r="L818" s="255">
        <f t="shared" si="73"/>
        <v>3.2876712328767124E-4</v>
      </c>
      <c r="M818" s="253">
        <f t="shared" si="75"/>
        <v>333.11620931506849</v>
      </c>
    </row>
    <row r="819" spans="2:13" hidden="1" outlineLevel="1" x14ac:dyDescent="0.25">
      <c r="B819" s="251">
        <v>46180</v>
      </c>
      <c r="C819" s="252"/>
      <c r="D819" s="252"/>
      <c r="E819" s="253"/>
      <c r="F819" s="254"/>
      <c r="G819" s="254"/>
      <c r="H819" s="254"/>
      <c r="I819" s="254"/>
      <c r="J819" s="254"/>
      <c r="K819" s="253">
        <f t="shared" si="74"/>
        <v>1013228.47</v>
      </c>
      <c r="L819" s="255">
        <f t="shared" si="73"/>
        <v>3.2876712328767124E-4</v>
      </c>
      <c r="M819" s="253">
        <f t="shared" si="75"/>
        <v>333.11620931506849</v>
      </c>
    </row>
    <row r="820" spans="2:13" hidden="1" outlineLevel="1" x14ac:dyDescent="0.25">
      <c r="B820" s="251">
        <v>46181</v>
      </c>
      <c r="C820" s="252"/>
      <c r="D820" s="252"/>
      <c r="E820" s="253"/>
      <c r="F820" s="254"/>
      <c r="G820" s="254"/>
      <c r="H820" s="254"/>
      <c r="I820" s="254"/>
      <c r="J820" s="254"/>
      <c r="K820" s="253">
        <f t="shared" si="74"/>
        <v>1013228.47</v>
      </c>
      <c r="L820" s="255">
        <f t="shared" si="73"/>
        <v>3.2876712328767124E-4</v>
      </c>
      <c r="M820" s="253">
        <f t="shared" si="75"/>
        <v>333.11620931506849</v>
      </c>
    </row>
    <row r="821" spans="2:13" hidden="1" outlineLevel="1" x14ac:dyDescent="0.25">
      <c r="B821" s="251">
        <v>46182</v>
      </c>
      <c r="C821" s="252"/>
      <c r="D821" s="252"/>
      <c r="E821" s="253"/>
      <c r="F821" s="254"/>
      <c r="G821" s="254"/>
      <c r="H821" s="254"/>
      <c r="I821" s="254"/>
      <c r="J821" s="254"/>
      <c r="K821" s="253">
        <f t="shared" si="74"/>
        <v>1013228.47</v>
      </c>
      <c r="L821" s="255">
        <f t="shared" si="73"/>
        <v>3.2876712328767124E-4</v>
      </c>
      <c r="M821" s="253">
        <f t="shared" si="75"/>
        <v>333.11620931506849</v>
      </c>
    </row>
    <row r="822" spans="2:13" hidden="1" outlineLevel="1" x14ac:dyDescent="0.25">
      <c r="B822" s="251">
        <v>46183</v>
      </c>
      <c r="C822" s="252"/>
      <c r="D822" s="252"/>
      <c r="E822" s="253"/>
      <c r="F822" s="254"/>
      <c r="G822" s="254"/>
      <c r="H822" s="254"/>
      <c r="I822" s="254"/>
      <c r="J822" s="254"/>
      <c r="K822" s="253">
        <f t="shared" si="74"/>
        <v>1013228.47</v>
      </c>
      <c r="L822" s="255">
        <f t="shared" si="73"/>
        <v>3.2876712328767124E-4</v>
      </c>
      <c r="M822" s="253">
        <f t="shared" si="75"/>
        <v>333.11620931506849</v>
      </c>
    </row>
    <row r="823" spans="2:13" hidden="1" outlineLevel="1" x14ac:dyDescent="0.25">
      <c r="B823" s="251">
        <v>46184</v>
      </c>
      <c r="C823" s="252"/>
      <c r="D823" s="252"/>
      <c r="E823" s="253"/>
      <c r="F823" s="254"/>
      <c r="G823" s="254"/>
      <c r="H823" s="254"/>
      <c r="I823" s="254"/>
      <c r="J823" s="254"/>
      <c r="K823" s="253">
        <f t="shared" si="74"/>
        <v>1013228.47</v>
      </c>
      <c r="L823" s="255">
        <f t="shared" si="73"/>
        <v>3.2876712328767124E-4</v>
      </c>
      <c r="M823" s="253">
        <f t="shared" si="75"/>
        <v>333.11620931506849</v>
      </c>
    </row>
    <row r="824" spans="2:13" hidden="1" outlineLevel="1" x14ac:dyDescent="0.25">
      <c r="B824" s="251">
        <v>46185</v>
      </c>
      <c r="C824" s="252"/>
      <c r="D824" s="252"/>
      <c r="E824" s="253"/>
      <c r="F824" s="254"/>
      <c r="G824" s="254"/>
      <c r="H824" s="254"/>
      <c r="I824" s="254"/>
      <c r="J824" s="254"/>
      <c r="K824" s="253">
        <f t="shared" si="74"/>
        <v>1013228.47</v>
      </c>
      <c r="L824" s="255">
        <f t="shared" si="73"/>
        <v>3.2876712328767124E-4</v>
      </c>
      <c r="M824" s="253">
        <f t="shared" si="75"/>
        <v>333.11620931506849</v>
      </c>
    </row>
    <row r="825" spans="2:13" hidden="1" outlineLevel="1" x14ac:dyDescent="0.25">
      <c r="B825" s="251">
        <v>46186</v>
      </c>
      <c r="C825" s="252"/>
      <c r="D825" s="252"/>
      <c r="E825" s="253"/>
      <c r="F825" s="254"/>
      <c r="G825" s="254"/>
      <c r="H825" s="254"/>
      <c r="I825" s="254"/>
      <c r="J825" s="254"/>
      <c r="K825" s="253">
        <f t="shared" si="74"/>
        <v>1013228.47</v>
      </c>
      <c r="L825" s="255">
        <f t="shared" si="73"/>
        <v>3.2876712328767124E-4</v>
      </c>
      <c r="M825" s="253">
        <f t="shared" si="75"/>
        <v>333.11620931506849</v>
      </c>
    </row>
    <row r="826" spans="2:13" hidden="1" outlineLevel="1" x14ac:dyDescent="0.25">
      <c r="B826" s="251">
        <v>46187</v>
      </c>
      <c r="C826" s="252"/>
      <c r="D826" s="252"/>
      <c r="E826" s="253"/>
      <c r="F826" s="254"/>
      <c r="G826" s="254"/>
      <c r="H826" s="254"/>
      <c r="I826" s="254"/>
      <c r="J826" s="254"/>
      <c r="K826" s="253">
        <f t="shared" si="74"/>
        <v>1013228.47</v>
      </c>
      <c r="L826" s="255">
        <f t="shared" si="73"/>
        <v>3.2876712328767124E-4</v>
      </c>
      <c r="M826" s="253">
        <f t="shared" si="75"/>
        <v>333.11620931506849</v>
      </c>
    </row>
    <row r="827" spans="2:13" hidden="1" outlineLevel="1" x14ac:dyDescent="0.25">
      <c r="B827" s="251">
        <v>46188</v>
      </c>
      <c r="C827" s="252"/>
      <c r="D827" s="252"/>
      <c r="E827" s="253"/>
      <c r="F827" s="254"/>
      <c r="G827" s="254"/>
      <c r="H827" s="254"/>
      <c r="I827" s="254"/>
      <c r="J827" s="254"/>
      <c r="K827" s="253">
        <f t="shared" si="74"/>
        <v>1013228.47</v>
      </c>
      <c r="L827" s="255">
        <f t="shared" si="73"/>
        <v>3.2876712328767124E-4</v>
      </c>
      <c r="M827" s="253">
        <f t="shared" si="75"/>
        <v>333.11620931506849</v>
      </c>
    </row>
    <row r="828" spans="2:13" hidden="1" outlineLevel="1" x14ac:dyDescent="0.25">
      <c r="B828" s="251">
        <v>46189</v>
      </c>
      <c r="C828" s="252"/>
      <c r="D828" s="252"/>
      <c r="E828" s="253"/>
      <c r="F828" s="254"/>
      <c r="G828" s="254"/>
      <c r="H828" s="254"/>
      <c r="I828" s="254"/>
      <c r="J828" s="254"/>
      <c r="K828" s="253">
        <f t="shared" si="74"/>
        <v>1013228.47</v>
      </c>
      <c r="L828" s="255">
        <f t="shared" si="73"/>
        <v>3.2876712328767124E-4</v>
      </c>
      <c r="M828" s="253">
        <f t="shared" si="75"/>
        <v>333.11620931506849</v>
      </c>
    </row>
    <row r="829" spans="2:13" hidden="1" outlineLevel="1" x14ac:dyDescent="0.25">
      <c r="B829" s="251">
        <v>46190</v>
      </c>
      <c r="C829" s="252"/>
      <c r="D829" s="252"/>
      <c r="E829" s="253"/>
      <c r="F829" s="254"/>
      <c r="G829" s="254"/>
      <c r="H829" s="254"/>
      <c r="I829" s="254"/>
      <c r="J829" s="254"/>
      <c r="K829" s="253">
        <f t="shared" si="74"/>
        <v>1013228.47</v>
      </c>
      <c r="L829" s="255">
        <f t="shared" si="73"/>
        <v>3.2876712328767124E-4</v>
      </c>
      <c r="M829" s="253">
        <f t="shared" si="75"/>
        <v>333.11620931506849</v>
      </c>
    </row>
    <row r="830" spans="2:13" hidden="1" outlineLevel="1" x14ac:dyDescent="0.25">
      <c r="B830" s="251">
        <v>46191</v>
      </c>
      <c r="C830" s="252"/>
      <c r="D830" s="252"/>
      <c r="E830" s="253"/>
      <c r="F830" s="254"/>
      <c r="G830" s="254"/>
      <c r="H830" s="254"/>
      <c r="I830" s="254"/>
      <c r="J830" s="254"/>
      <c r="K830" s="253">
        <f t="shared" si="74"/>
        <v>1013228.47</v>
      </c>
      <c r="L830" s="255">
        <f t="shared" si="73"/>
        <v>3.2876712328767124E-4</v>
      </c>
      <c r="M830" s="253">
        <f t="shared" si="75"/>
        <v>333.11620931506849</v>
      </c>
    </row>
    <row r="831" spans="2:13" hidden="1" outlineLevel="1" x14ac:dyDescent="0.25">
      <c r="B831" s="251">
        <v>46192</v>
      </c>
      <c r="C831" s="252"/>
      <c r="D831" s="252"/>
      <c r="E831" s="253"/>
      <c r="F831" s="254"/>
      <c r="G831" s="254"/>
      <c r="H831" s="254"/>
      <c r="I831" s="254"/>
      <c r="J831" s="254"/>
      <c r="K831" s="253">
        <f t="shared" si="74"/>
        <v>1013228.47</v>
      </c>
      <c r="L831" s="255">
        <f t="shared" si="73"/>
        <v>3.2876712328767124E-4</v>
      </c>
      <c r="M831" s="253">
        <f t="shared" si="75"/>
        <v>333.11620931506849</v>
      </c>
    </row>
    <row r="832" spans="2:13" hidden="1" outlineLevel="1" x14ac:dyDescent="0.25">
      <c r="B832" s="251">
        <v>46193</v>
      </c>
      <c r="C832" s="252"/>
      <c r="D832" s="252"/>
      <c r="E832" s="253"/>
      <c r="F832" s="254"/>
      <c r="G832" s="254"/>
      <c r="H832" s="254"/>
      <c r="I832" s="254"/>
      <c r="J832" s="254"/>
      <c r="K832" s="253">
        <f t="shared" si="74"/>
        <v>1013228.47</v>
      </c>
      <c r="L832" s="255">
        <f t="shared" si="73"/>
        <v>3.2876712328767124E-4</v>
      </c>
      <c r="M832" s="253">
        <f t="shared" si="75"/>
        <v>333.11620931506849</v>
      </c>
    </row>
    <row r="833" spans="2:14" hidden="1" outlineLevel="1" x14ac:dyDescent="0.25">
      <c r="B833" s="251">
        <v>46194</v>
      </c>
      <c r="C833" s="252"/>
      <c r="D833" s="252"/>
      <c r="E833" s="253"/>
      <c r="F833" s="254"/>
      <c r="G833" s="254"/>
      <c r="H833" s="254"/>
      <c r="I833" s="254"/>
      <c r="J833" s="254"/>
      <c r="K833" s="253">
        <f t="shared" si="74"/>
        <v>1013228.47</v>
      </c>
      <c r="L833" s="255">
        <f t="shared" si="73"/>
        <v>3.2876712328767124E-4</v>
      </c>
      <c r="M833" s="253">
        <f t="shared" si="75"/>
        <v>333.11620931506849</v>
      </c>
    </row>
    <row r="834" spans="2:14" hidden="1" outlineLevel="1" x14ac:dyDescent="0.25">
      <c r="B834" s="251">
        <v>46195</v>
      </c>
      <c r="C834" s="252"/>
      <c r="D834" s="252"/>
      <c r="E834" s="253"/>
      <c r="F834" s="254"/>
      <c r="G834" s="254"/>
      <c r="H834" s="254"/>
      <c r="I834" s="254"/>
      <c r="J834" s="254"/>
      <c r="K834" s="253">
        <f t="shared" si="74"/>
        <v>1013228.47</v>
      </c>
      <c r="L834" s="255">
        <f t="shared" si="73"/>
        <v>3.2876712328767124E-4</v>
      </c>
      <c r="M834" s="253">
        <f t="shared" si="75"/>
        <v>333.11620931506849</v>
      </c>
    </row>
    <row r="835" spans="2:14" hidden="1" outlineLevel="1" x14ac:dyDescent="0.25">
      <c r="B835" s="251">
        <v>46196</v>
      </c>
      <c r="C835" s="252"/>
      <c r="D835" s="252"/>
      <c r="E835" s="253"/>
      <c r="F835" s="254"/>
      <c r="G835" s="254"/>
      <c r="H835" s="254"/>
      <c r="I835" s="254"/>
      <c r="J835" s="254"/>
      <c r="K835" s="253">
        <f t="shared" si="74"/>
        <v>1013228.47</v>
      </c>
      <c r="L835" s="255">
        <f t="shared" si="73"/>
        <v>3.2876712328767124E-4</v>
      </c>
      <c r="M835" s="253">
        <f t="shared" si="75"/>
        <v>333.11620931506849</v>
      </c>
    </row>
    <row r="836" spans="2:14" hidden="1" outlineLevel="1" x14ac:dyDescent="0.25">
      <c r="B836" s="251">
        <v>46197</v>
      </c>
      <c r="C836" s="252"/>
      <c r="D836" s="252"/>
      <c r="E836" s="253"/>
      <c r="F836" s="254"/>
      <c r="G836" s="254"/>
      <c r="H836" s="254"/>
      <c r="I836" s="254"/>
      <c r="J836" s="254"/>
      <c r="K836" s="253">
        <f t="shared" si="74"/>
        <v>1013228.47</v>
      </c>
      <c r="L836" s="255">
        <f t="shared" si="73"/>
        <v>3.2876712328767124E-4</v>
      </c>
      <c r="M836" s="253">
        <f t="shared" si="75"/>
        <v>333.11620931506849</v>
      </c>
    </row>
    <row r="837" spans="2:14" hidden="1" outlineLevel="1" x14ac:dyDescent="0.25">
      <c r="B837" s="251">
        <v>46198</v>
      </c>
      <c r="C837" s="252"/>
      <c r="D837" s="252"/>
      <c r="E837" s="253"/>
      <c r="F837" s="254"/>
      <c r="G837" s="254"/>
      <c r="H837" s="254"/>
      <c r="I837" s="254"/>
      <c r="J837" s="254"/>
      <c r="K837" s="253">
        <f t="shared" si="74"/>
        <v>1013228.47</v>
      </c>
      <c r="L837" s="255">
        <f t="shared" si="73"/>
        <v>3.2876712328767124E-4</v>
      </c>
      <c r="M837" s="253">
        <f t="shared" si="75"/>
        <v>333.11620931506849</v>
      </c>
    </row>
    <row r="838" spans="2:14" hidden="1" outlineLevel="1" x14ac:dyDescent="0.25">
      <c r="B838" s="251">
        <v>46199</v>
      </c>
      <c r="C838" s="252"/>
      <c r="D838" s="252"/>
      <c r="E838" s="253"/>
      <c r="F838" s="254"/>
      <c r="G838" s="254"/>
      <c r="H838" s="254"/>
      <c r="I838" s="254"/>
      <c r="J838" s="254"/>
      <c r="K838" s="253">
        <f t="shared" si="74"/>
        <v>1013228.47</v>
      </c>
      <c r="L838" s="255">
        <f t="shared" si="73"/>
        <v>3.2876712328767124E-4</v>
      </c>
      <c r="M838" s="253">
        <f t="shared" si="75"/>
        <v>333.11620931506849</v>
      </c>
    </row>
    <row r="839" spans="2:14" hidden="1" outlineLevel="1" x14ac:dyDescent="0.25">
      <c r="B839" s="251">
        <v>46200</v>
      </c>
      <c r="C839" s="252"/>
      <c r="D839" s="252"/>
      <c r="E839" s="253"/>
      <c r="F839" s="254"/>
      <c r="G839" s="254"/>
      <c r="H839" s="254"/>
      <c r="I839" s="254"/>
      <c r="J839" s="254"/>
      <c r="K839" s="253">
        <f t="shared" si="74"/>
        <v>1013228.47</v>
      </c>
      <c r="L839" s="255">
        <f t="shared" si="73"/>
        <v>3.2876712328767124E-4</v>
      </c>
      <c r="M839" s="253">
        <f t="shared" si="75"/>
        <v>333.11620931506849</v>
      </c>
    </row>
    <row r="840" spans="2:14" hidden="1" outlineLevel="1" x14ac:dyDescent="0.25">
      <c r="B840" s="251">
        <v>46201</v>
      </c>
      <c r="C840" s="252"/>
      <c r="D840" s="252"/>
      <c r="E840" s="253"/>
      <c r="F840" s="254"/>
      <c r="G840" s="254"/>
      <c r="H840" s="254"/>
      <c r="I840" s="254"/>
      <c r="J840" s="254"/>
      <c r="K840" s="253">
        <f t="shared" si="74"/>
        <v>1013228.47</v>
      </c>
      <c r="L840" s="255">
        <f t="shared" ref="L840:L903" si="76">(0.12/365)</f>
        <v>3.2876712328767124E-4</v>
      </c>
      <c r="M840" s="253">
        <f t="shared" si="75"/>
        <v>333.11620931506849</v>
      </c>
    </row>
    <row r="841" spans="2:14" hidden="1" outlineLevel="1" x14ac:dyDescent="0.25">
      <c r="B841" s="251">
        <v>46202</v>
      </c>
      <c r="C841" s="252"/>
      <c r="D841" s="252"/>
      <c r="E841" s="253"/>
      <c r="F841" s="254"/>
      <c r="G841" s="254"/>
      <c r="H841" s="254"/>
      <c r="I841" s="254"/>
      <c r="J841" s="254"/>
      <c r="K841" s="253">
        <f t="shared" si="74"/>
        <v>1013228.47</v>
      </c>
      <c r="L841" s="255">
        <f t="shared" si="76"/>
        <v>3.2876712328767124E-4</v>
      </c>
      <c r="M841" s="253">
        <f t="shared" si="75"/>
        <v>333.11620931506849</v>
      </c>
    </row>
    <row r="842" spans="2:14" ht="15.75" collapsed="1" thickBot="1" x14ac:dyDescent="0.3">
      <c r="B842" s="251">
        <v>46203</v>
      </c>
      <c r="C842" s="252"/>
      <c r="D842" s="252"/>
      <c r="E842" s="253"/>
      <c r="F842" s="254"/>
      <c r="G842" s="254"/>
      <c r="H842" s="254"/>
      <c r="I842" s="254"/>
      <c r="J842" s="254"/>
      <c r="K842" s="253">
        <f t="shared" si="74"/>
        <v>1013228.47</v>
      </c>
      <c r="L842" s="255">
        <f t="shared" si="76"/>
        <v>3.2876712328767124E-4</v>
      </c>
      <c r="M842" s="253">
        <f t="shared" si="75"/>
        <v>333.11620931506849</v>
      </c>
      <c r="N842" s="411">
        <f>SUM(M813:M842)</f>
        <v>9993.4862794520577</v>
      </c>
    </row>
    <row r="843" spans="2:14" ht="15.75" thickBot="1" x14ac:dyDescent="0.3">
      <c r="B843" s="251"/>
      <c r="C843" s="252"/>
      <c r="D843" s="252"/>
      <c r="E843" s="253"/>
      <c r="F843" s="254"/>
      <c r="G843" s="254"/>
      <c r="H843" s="254"/>
      <c r="I843" s="254"/>
      <c r="J843" s="254"/>
      <c r="K843" s="253">
        <f t="shared" si="74"/>
        <v>1013228.47</v>
      </c>
      <c r="L843" s="255">
        <f t="shared" si="76"/>
        <v>3.2876712328767124E-4</v>
      </c>
      <c r="M843" s="253"/>
    </row>
    <row r="844" spans="2:14" hidden="1" outlineLevel="1" x14ac:dyDescent="0.25">
      <c r="B844" s="251">
        <v>46204</v>
      </c>
      <c r="C844" s="252"/>
      <c r="D844" s="252"/>
      <c r="E844" s="253"/>
      <c r="F844" s="254"/>
      <c r="G844" s="254"/>
      <c r="H844" s="254"/>
      <c r="I844" s="254"/>
      <c r="J844" s="254"/>
      <c r="K844" s="253">
        <f t="shared" si="74"/>
        <v>1013228.47</v>
      </c>
      <c r="L844" s="255">
        <f t="shared" si="76"/>
        <v>3.2876712328767124E-4</v>
      </c>
      <c r="M844" s="253">
        <f t="shared" si="75"/>
        <v>333.11620931506849</v>
      </c>
    </row>
    <row r="845" spans="2:14" hidden="1" outlineLevel="1" x14ac:dyDescent="0.25">
      <c r="B845" s="251">
        <v>46205</v>
      </c>
      <c r="C845" s="252"/>
      <c r="D845" s="252"/>
      <c r="E845" s="253"/>
      <c r="F845" s="254"/>
      <c r="G845" s="254"/>
      <c r="H845" s="254"/>
      <c r="I845" s="254"/>
      <c r="J845" s="254"/>
      <c r="K845" s="253">
        <f t="shared" si="74"/>
        <v>1013228.47</v>
      </c>
      <c r="L845" s="255">
        <f t="shared" si="76"/>
        <v>3.2876712328767124E-4</v>
      </c>
      <c r="M845" s="253">
        <f t="shared" si="75"/>
        <v>333.11620931506849</v>
      </c>
    </row>
    <row r="846" spans="2:14" hidden="1" outlineLevel="1" x14ac:dyDescent="0.25">
      <c r="B846" s="251">
        <v>46206</v>
      </c>
      <c r="C846" s="252"/>
      <c r="D846" s="252"/>
      <c r="E846" s="253"/>
      <c r="F846" s="254"/>
      <c r="G846" s="254"/>
      <c r="H846" s="254"/>
      <c r="I846" s="254"/>
      <c r="J846" s="254"/>
      <c r="K846" s="253">
        <f t="shared" si="74"/>
        <v>1013228.47</v>
      </c>
      <c r="L846" s="255">
        <f t="shared" si="76"/>
        <v>3.2876712328767124E-4</v>
      </c>
      <c r="M846" s="253">
        <f t="shared" si="75"/>
        <v>333.11620931506849</v>
      </c>
    </row>
    <row r="847" spans="2:14" hidden="1" outlineLevel="1" x14ac:dyDescent="0.25">
      <c r="B847" s="251">
        <v>46207</v>
      </c>
      <c r="C847" s="252"/>
      <c r="D847" s="252"/>
      <c r="E847" s="253"/>
      <c r="F847" s="254"/>
      <c r="G847" s="254"/>
      <c r="H847" s="254"/>
      <c r="I847" s="254"/>
      <c r="J847" s="254"/>
      <c r="K847" s="253">
        <f t="shared" si="74"/>
        <v>1013228.47</v>
      </c>
      <c r="L847" s="255">
        <f t="shared" si="76"/>
        <v>3.2876712328767124E-4</v>
      </c>
      <c r="M847" s="253">
        <f t="shared" si="75"/>
        <v>333.11620931506849</v>
      </c>
    </row>
    <row r="848" spans="2:14" hidden="1" outlineLevel="1" x14ac:dyDescent="0.25">
      <c r="B848" s="251">
        <v>46208</v>
      </c>
      <c r="C848" s="252"/>
      <c r="D848" s="252"/>
      <c r="E848" s="253"/>
      <c r="F848" s="254"/>
      <c r="G848" s="254"/>
      <c r="H848" s="254"/>
      <c r="I848" s="254"/>
      <c r="J848" s="254"/>
      <c r="K848" s="253">
        <f t="shared" si="74"/>
        <v>1013228.47</v>
      </c>
      <c r="L848" s="255">
        <f t="shared" si="76"/>
        <v>3.2876712328767124E-4</v>
      </c>
      <c r="M848" s="253">
        <f t="shared" si="75"/>
        <v>333.11620931506849</v>
      </c>
    </row>
    <row r="849" spans="2:13" hidden="1" outlineLevel="1" x14ac:dyDescent="0.25">
      <c r="B849" s="251">
        <v>46209</v>
      </c>
      <c r="C849" s="252"/>
      <c r="D849" s="252"/>
      <c r="E849" s="253"/>
      <c r="F849" s="254"/>
      <c r="G849" s="254"/>
      <c r="H849" s="254"/>
      <c r="I849" s="254"/>
      <c r="J849" s="254"/>
      <c r="K849" s="253">
        <f t="shared" si="74"/>
        <v>1013228.47</v>
      </c>
      <c r="L849" s="255">
        <f t="shared" si="76"/>
        <v>3.2876712328767124E-4</v>
      </c>
      <c r="M849" s="253">
        <f t="shared" si="75"/>
        <v>333.11620931506849</v>
      </c>
    </row>
    <row r="850" spans="2:13" hidden="1" outlineLevel="1" x14ac:dyDescent="0.25">
      <c r="B850" s="251">
        <v>46210</v>
      </c>
      <c r="C850" s="252"/>
      <c r="D850" s="252"/>
      <c r="E850" s="253"/>
      <c r="F850" s="254"/>
      <c r="G850" s="254"/>
      <c r="H850" s="254"/>
      <c r="I850" s="254"/>
      <c r="J850" s="254"/>
      <c r="K850" s="253">
        <f t="shared" si="74"/>
        <v>1013228.47</v>
      </c>
      <c r="L850" s="255">
        <f t="shared" si="76"/>
        <v>3.2876712328767124E-4</v>
      </c>
      <c r="M850" s="253">
        <f t="shared" si="75"/>
        <v>333.11620931506849</v>
      </c>
    </row>
    <row r="851" spans="2:13" hidden="1" outlineLevel="1" x14ac:dyDescent="0.25">
      <c r="B851" s="251">
        <v>46211</v>
      </c>
      <c r="C851" s="252"/>
      <c r="D851" s="252"/>
      <c r="E851" s="253"/>
      <c r="F851" s="254"/>
      <c r="G851" s="254"/>
      <c r="H851" s="254"/>
      <c r="I851" s="254"/>
      <c r="J851" s="254"/>
      <c r="K851" s="253">
        <f t="shared" ref="K851:K914" si="77">K850+E851</f>
        <v>1013228.47</v>
      </c>
      <c r="L851" s="255">
        <f t="shared" si="76"/>
        <v>3.2876712328767124E-4</v>
      </c>
      <c r="M851" s="253">
        <f t="shared" ref="M851:M914" si="78">K851*L851</f>
        <v>333.11620931506849</v>
      </c>
    </row>
    <row r="852" spans="2:13" hidden="1" outlineLevel="1" x14ac:dyDescent="0.25">
      <c r="B852" s="251">
        <v>46212</v>
      </c>
      <c r="C852" s="252"/>
      <c r="D852" s="252"/>
      <c r="E852" s="253"/>
      <c r="F852" s="254"/>
      <c r="G852" s="254"/>
      <c r="H852" s="254"/>
      <c r="I852" s="254"/>
      <c r="J852" s="254"/>
      <c r="K852" s="253">
        <f t="shared" si="77"/>
        <v>1013228.47</v>
      </c>
      <c r="L852" s="255">
        <f t="shared" si="76"/>
        <v>3.2876712328767124E-4</v>
      </c>
      <c r="M852" s="253">
        <f t="shared" si="78"/>
        <v>333.11620931506849</v>
      </c>
    </row>
    <row r="853" spans="2:13" hidden="1" outlineLevel="1" x14ac:dyDescent="0.25">
      <c r="B853" s="251">
        <v>46213</v>
      </c>
      <c r="C853" s="252"/>
      <c r="D853" s="252"/>
      <c r="E853" s="253"/>
      <c r="F853" s="254"/>
      <c r="G853" s="254"/>
      <c r="H853" s="254"/>
      <c r="I853" s="254"/>
      <c r="J853" s="254"/>
      <c r="K853" s="253">
        <f t="shared" si="77"/>
        <v>1013228.47</v>
      </c>
      <c r="L853" s="255">
        <f t="shared" si="76"/>
        <v>3.2876712328767124E-4</v>
      </c>
      <c r="M853" s="253">
        <f t="shared" si="78"/>
        <v>333.11620931506849</v>
      </c>
    </row>
    <row r="854" spans="2:13" hidden="1" outlineLevel="1" x14ac:dyDescent="0.25">
      <c r="B854" s="251">
        <v>46214</v>
      </c>
      <c r="C854" s="252"/>
      <c r="D854" s="252"/>
      <c r="E854" s="253"/>
      <c r="F854" s="254"/>
      <c r="G854" s="254"/>
      <c r="H854" s="254"/>
      <c r="I854" s="254"/>
      <c r="J854" s="254"/>
      <c r="K854" s="253">
        <f t="shared" si="77"/>
        <v>1013228.47</v>
      </c>
      <c r="L854" s="255">
        <f t="shared" si="76"/>
        <v>3.2876712328767124E-4</v>
      </c>
      <c r="M854" s="253">
        <f t="shared" si="78"/>
        <v>333.11620931506849</v>
      </c>
    </row>
    <row r="855" spans="2:13" hidden="1" outlineLevel="1" x14ac:dyDescent="0.25">
      <c r="B855" s="251">
        <v>46215</v>
      </c>
      <c r="C855" s="252"/>
      <c r="D855" s="252"/>
      <c r="E855" s="253"/>
      <c r="F855" s="254"/>
      <c r="G855" s="254"/>
      <c r="H855" s="254"/>
      <c r="I855" s="254"/>
      <c r="J855" s="254"/>
      <c r="K855" s="253">
        <f t="shared" si="77"/>
        <v>1013228.47</v>
      </c>
      <c r="L855" s="255">
        <f t="shared" si="76"/>
        <v>3.2876712328767124E-4</v>
      </c>
      <c r="M855" s="253">
        <f t="shared" si="78"/>
        <v>333.11620931506849</v>
      </c>
    </row>
    <row r="856" spans="2:13" hidden="1" outlineLevel="1" x14ac:dyDescent="0.25">
      <c r="B856" s="251">
        <v>46216</v>
      </c>
      <c r="C856" s="252"/>
      <c r="D856" s="252"/>
      <c r="E856" s="253"/>
      <c r="F856" s="254"/>
      <c r="G856" s="254"/>
      <c r="H856" s="254"/>
      <c r="I856" s="254"/>
      <c r="J856" s="254"/>
      <c r="K856" s="253">
        <f t="shared" si="77"/>
        <v>1013228.47</v>
      </c>
      <c r="L856" s="255">
        <f t="shared" si="76"/>
        <v>3.2876712328767124E-4</v>
      </c>
      <c r="M856" s="253">
        <f t="shared" si="78"/>
        <v>333.11620931506849</v>
      </c>
    </row>
    <row r="857" spans="2:13" hidden="1" outlineLevel="1" x14ac:dyDescent="0.25">
      <c r="B857" s="251">
        <v>46217</v>
      </c>
      <c r="C857" s="252"/>
      <c r="D857" s="252"/>
      <c r="E857" s="253"/>
      <c r="F857" s="254"/>
      <c r="G857" s="254"/>
      <c r="H857" s="254"/>
      <c r="I857" s="254"/>
      <c r="J857" s="254"/>
      <c r="K857" s="253">
        <f t="shared" si="77"/>
        <v>1013228.47</v>
      </c>
      <c r="L857" s="255">
        <f t="shared" si="76"/>
        <v>3.2876712328767124E-4</v>
      </c>
      <c r="M857" s="253">
        <f t="shared" si="78"/>
        <v>333.11620931506849</v>
      </c>
    </row>
    <row r="858" spans="2:13" hidden="1" outlineLevel="1" x14ac:dyDescent="0.25">
      <c r="B858" s="251">
        <v>46218</v>
      </c>
      <c r="C858" s="252"/>
      <c r="D858" s="252"/>
      <c r="E858" s="253"/>
      <c r="F858" s="254"/>
      <c r="G858" s="254"/>
      <c r="H858" s="254"/>
      <c r="I858" s="254"/>
      <c r="J858" s="254"/>
      <c r="K858" s="253">
        <f t="shared" si="77"/>
        <v>1013228.47</v>
      </c>
      <c r="L858" s="255">
        <f t="shared" si="76"/>
        <v>3.2876712328767124E-4</v>
      </c>
      <c r="M858" s="253">
        <f t="shared" si="78"/>
        <v>333.11620931506849</v>
      </c>
    </row>
    <row r="859" spans="2:13" hidden="1" outlineLevel="1" x14ac:dyDescent="0.25">
      <c r="B859" s="251">
        <v>46219</v>
      </c>
      <c r="C859" s="252"/>
      <c r="D859" s="252"/>
      <c r="E859" s="253"/>
      <c r="F859" s="254"/>
      <c r="G859" s="254"/>
      <c r="H859" s="254"/>
      <c r="I859" s="254"/>
      <c r="J859" s="254"/>
      <c r="K859" s="253">
        <f t="shared" si="77"/>
        <v>1013228.47</v>
      </c>
      <c r="L859" s="255">
        <f t="shared" si="76"/>
        <v>3.2876712328767124E-4</v>
      </c>
      <c r="M859" s="253">
        <f t="shared" si="78"/>
        <v>333.11620931506849</v>
      </c>
    </row>
    <row r="860" spans="2:13" hidden="1" outlineLevel="1" x14ac:dyDescent="0.25">
      <c r="B860" s="251">
        <v>46220</v>
      </c>
      <c r="C860" s="252"/>
      <c r="D860" s="252"/>
      <c r="E860" s="253"/>
      <c r="F860" s="254"/>
      <c r="G860" s="254"/>
      <c r="H860" s="254"/>
      <c r="I860" s="254"/>
      <c r="J860" s="254"/>
      <c r="K860" s="253">
        <f t="shared" si="77"/>
        <v>1013228.47</v>
      </c>
      <c r="L860" s="255">
        <f t="shared" si="76"/>
        <v>3.2876712328767124E-4</v>
      </c>
      <c r="M860" s="253">
        <f t="shared" si="78"/>
        <v>333.11620931506849</v>
      </c>
    </row>
    <row r="861" spans="2:13" hidden="1" outlineLevel="1" x14ac:dyDescent="0.25">
      <c r="B861" s="251">
        <v>46221</v>
      </c>
      <c r="C861" s="252"/>
      <c r="D861" s="252"/>
      <c r="E861" s="253"/>
      <c r="F861" s="254"/>
      <c r="G861" s="254"/>
      <c r="H861" s="254"/>
      <c r="I861" s="254"/>
      <c r="J861" s="254"/>
      <c r="K861" s="253">
        <f t="shared" si="77"/>
        <v>1013228.47</v>
      </c>
      <c r="L861" s="255">
        <f t="shared" si="76"/>
        <v>3.2876712328767124E-4</v>
      </c>
      <c r="M861" s="253">
        <f t="shared" si="78"/>
        <v>333.11620931506849</v>
      </c>
    </row>
    <row r="862" spans="2:13" hidden="1" outlineLevel="1" x14ac:dyDescent="0.25">
      <c r="B862" s="251">
        <v>46222</v>
      </c>
      <c r="C862" s="252"/>
      <c r="D862" s="252"/>
      <c r="E862" s="253"/>
      <c r="F862" s="254"/>
      <c r="G862" s="254"/>
      <c r="H862" s="254"/>
      <c r="I862" s="254"/>
      <c r="J862" s="254"/>
      <c r="K862" s="253">
        <f t="shared" si="77"/>
        <v>1013228.47</v>
      </c>
      <c r="L862" s="255">
        <f t="shared" si="76"/>
        <v>3.2876712328767124E-4</v>
      </c>
      <c r="M862" s="253">
        <f t="shared" si="78"/>
        <v>333.11620931506849</v>
      </c>
    </row>
    <row r="863" spans="2:13" hidden="1" outlineLevel="1" x14ac:dyDescent="0.25">
      <c r="B863" s="251">
        <v>46223</v>
      </c>
      <c r="C863" s="252"/>
      <c r="D863" s="252"/>
      <c r="E863" s="253"/>
      <c r="F863" s="254"/>
      <c r="G863" s="254"/>
      <c r="H863" s="254"/>
      <c r="I863" s="254"/>
      <c r="J863" s="254"/>
      <c r="K863" s="253">
        <f t="shared" si="77"/>
        <v>1013228.47</v>
      </c>
      <c r="L863" s="255">
        <f t="shared" si="76"/>
        <v>3.2876712328767124E-4</v>
      </c>
      <c r="M863" s="253">
        <f t="shared" si="78"/>
        <v>333.11620931506849</v>
      </c>
    </row>
    <row r="864" spans="2:13" hidden="1" outlineLevel="1" x14ac:dyDescent="0.25">
      <c r="B864" s="251">
        <v>46224</v>
      </c>
      <c r="C864" s="252"/>
      <c r="D864" s="252"/>
      <c r="E864" s="253"/>
      <c r="F864" s="254"/>
      <c r="G864" s="254"/>
      <c r="H864" s="254"/>
      <c r="I864" s="254"/>
      <c r="J864" s="254"/>
      <c r="K864" s="253">
        <f t="shared" si="77"/>
        <v>1013228.47</v>
      </c>
      <c r="L864" s="255">
        <f t="shared" si="76"/>
        <v>3.2876712328767124E-4</v>
      </c>
      <c r="M864" s="253">
        <f t="shared" si="78"/>
        <v>333.11620931506849</v>
      </c>
    </row>
    <row r="865" spans="2:14" hidden="1" outlineLevel="1" x14ac:dyDescent="0.25">
      <c r="B865" s="251">
        <v>46225</v>
      </c>
      <c r="C865" s="252"/>
      <c r="D865" s="252"/>
      <c r="E865" s="253"/>
      <c r="F865" s="254"/>
      <c r="G865" s="254"/>
      <c r="H865" s="254"/>
      <c r="I865" s="254"/>
      <c r="J865" s="254"/>
      <c r="K865" s="253">
        <f t="shared" si="77"/>
        <v>1013228.47</v>
      </c>
      <c r="L865" s="255">
        <f t="shared" si="76"/>
        <v>3.2876712328767124E-4</v>
      </c>
      <c r="M865" s="253">
        <f t="shared" si="78"/>
        <v>333.11620931506849</v>
      </c>
    </row>
    <row r="866" spans="2:14" hidden="1" outlineLevel="1" x14ac:dyDescent="0.25">
      <c r="B866" s="251">
        <v>46226</v>
      </c>
      <c r="C866" s="252"/>
      <c r="D866" s="252"/>
      <c r="E866" s="253"/>
      <c r="F866" s="254"/>
      <c r="G866" s="254"/>
      <c r="H866" s="254"/>
      <c r="I866" s="254"/>
      <c r="J866" s="254"/>
      <c r="K866" s="253">
        <f t="shared" si="77"/>
        <v>1013228.47</v>
      </c>
      <c r="L866" s="255">
        <f t="shared" si="76"/>
        <v>3.2876712328767124E-4</v>
      </c>
      <c r="M866" s="253">
        <f t="shared" si="78"/>
        <v>333.11620931506849</v>
      </c>
    </row>
    <row r="867" spans="2:14" hidden="1" outlineLevel="1" x14ac:dyDescent="0.25">
      <c r="B867" s="251">
        <v>46227</v>
      </c>
      <c r="C867" s="252"/>
      <c r="D867" s="252"/>
      <c r="E867" s="253"/>
      <c r="F867" s="254"/>
      <c r="G867" s="254"/>
      <c r="H867" s="254"/>
      <c r="I867" s="254"/>
      <c r="J867" s="254"/>
      <c r="K867" s="253">
        <f t="shared" si="77"/>
        <v>1013228.47</v>
      </c>
      <c r="L867" s="255">
        <f t="shared" si="76"/>
        <v>3.2876712328767124E-4</v>
      </c>
      <c r="M867" s="253">
        <f t="shared" si="78"/>
        <v>333.11620931506849</v>
      </c>
    </row>
    <row r="868" spans="2:14" hidden="1" outlineLevel="1" x14ac:dyDescent="0.25">
      <c r="B868" s="251">
        <v>46228</v>
      </c>
      <c r="C868" s="252"/>
      <c r="D868" s="252"/>
      <c r="E868" s="253"/>
      <c r="F868" s="254"/>
      <c r="G868" s="254"/>
      <c r="H868" s="254"/>
      <c r="I868" s="254"/>
      <c r="J868" s="254"/>
      <c r="K868" s="253">
        <f t="shared" si="77"/>
        <v>1013228.47</v>
      </c>
      <c r="L868" s="255">
        <f t="shared" si="76"/>
        <v>3.2876712328767124E-4</v>
      </c>
      <c r="M868" s="253">
        <f t="shared" si="78"/>
        <v>333.11620931506849</v>
      </c>
    </row>
    <row r="869" spans="2:14" hidden="1" outlineLevel="1" x14ac:dyDescent="0.25">
      <c r="B869" s="251">
        <v>46229</v>
      </c>
      <c r="C869" s="252"/>
      <c r="D869" s="252"/>
      <c r="E869" s="253"/>
      <c r="F869" s="254"/>
      <c r="G869" s="254"/>
      <c r="H869" s="254"/>
      <c r="I869" s="254"/>
      <c r="J869" s="254"/>
      <c r="K869" s="253">
        <f t="shared" si="77"/>
        <v>1013228.47</v>
      </c>
      <c r="L869" s="255">
        <f t="shared" si="76"/>
        <v>3.2876712328767124E-4</v>
      </c>
      <c r="M869" s="253">
        <f t="shared" si="78"/>
        <v>333.11620931506849</v>
      </c>
    </row>
    <row r="870" spans="2:14" hidden="1" outlineLevel="1" x14ac:dyDescent="0.25">
      <c r="B870" s="251">
        <v>46230</v>
      </c>
      <c r="C870" s="252"/>
      <c r="D870" s="252"/>
      <c r="E870" s="253"/>
      <c r="F870" s="254"/>
      <c r="G870" s="254"/>
      <c r="H870" s="254"/>
      <c r="I870" s="254"/>
      <c r="J870" s="254"/>
      <c r="K870" s="253">
        <f t="shared" si="77"/>
        <v>1013228.47</v>
      </c>
      <c r="L870" s="255">
        <f t="shared" si="76"/>
        <v>3.2876712328767124E-4</v>
      </c>
      <c r="M870" s="253">
        <f t="shared" si="78"/>
        <v>333.11620931506849</v>
      </c>
    </row>
    <row r="871" spans="2:14" hidden="1" outlineLevel="1" x14ac:dyDescent="0.25">
      <c r="B871" s="251">
        <v>46231</v>
      </c>
      <c r="C871" s="252"/>
      <c r="D871" s="252"/>
      <c r="E871" s="253"/>
      <c r="F871" s="254"/>
      <c r="G871" s="254"/>
      <c r="H871" s="254"/>
      <c r="I871" s="254"/>
      <c r="J871" s="254"/>
      <c r="K871" s="253">
        <f t="shared" si="77"/>
        <v>1013228.47</v>
      </c>
      <c r="L871" s="255">
        <f t="shared" si="76"/>
        <v>3.2876712328767124E-4</v>
      </c>
      <c r="M871" s="253">
        <f t="shared" si="78"/>
        <v>333.11620931506849</v>
      </c>
    </row>
    <row r="872" spans="2:14" hidden="1" outlineLevel="1" x14ac:dyDescent="0.25">
      <c r="B872" s="251">
        <v>46232</v>
      </c>
      <c r="C872" s="252"/>
      <c r="D872" s="252"/>
      <c r="E872" s="253"/>
      <c r="F872" s="254"/>
      <c r="G872" s="254"/>
      <c r="H872" s="254"/>
      <c r="I872" s="254"/>
      <c r="J872" s="254"/>
      <c r="K872" s="253">
        <f t="shared" si="77"/>
        <v>1013228.47</v>
      </c>
      <c r="L872" s="255">
        <f t="shared" si="76"/>
        <v>3.2876712328767124E-4</v>
      </c>
      <c r="M872" s="253">
        <f t="shared" si="78"/>
        <v>333.11620931506849</v>
      </c>
    </row>
    <row r="873" spans="2:14" hidden="1" outlineLevel="1" x14ac:dyDescent="0.25">
      <c r="B873" s="251">
        <v>46233</v>
      </c>
      <c r="C873" s="252"/>
      <c r="D873" s="252"/>
      <c r="E873" s="253"/>
      <c r="F873" s="254"/>
      <c r="G873" s="254"/>
      <c r="H873" s="254"/>
      <c r="I873" s="254"/>
      <c r="J873" s="254"/>
      <c r="K873" s="253">
        <f t="shared" si="77"/>
        <v>1013228.47</v>
      </c>
      <c r="L873" s="255">
        <f t="shared" si="76"/>
        <v>3.2876712328767124E-4</v>
      </c>
      <c r="M873" s="253">
        <f t="shared" si="78"/>
        <v>333.11620931506849</v>
      </c>
    </row>
    <row r="874" spans="2:14" ht="15.75" collapsed="1" thickBot="1" x14ac:dyDescent="0.3">
      <c r="B874" s="251">
        <v>46234</v>
      </c>
      <c r="C874" s="252"/>
      <c r="D874" s="252"/>
      <c r="E874" s="253"/>
      <c r="F874" s="254"/>
      <c r="G874" s="254"/>
      <c r="H874" s="254"/>
      <c r="I874" s="254"/>
      <c r="J874" s="254"/>
      <c r="K874" s="253">
        <f t="shared" si="77"/>
        <v>1013228.47</v>
      </c>
      <c r="L874" s="255">
        <f t="shared" si="76"/>
        <v>3.2876712328767124E-4</v>
      </c>
      <c r="M874" s="253">
        <f t="shared" si="78"/>
        <v>333.11620931506849</v>
      </c>
      <c r="N874" s="411">
        <f>SUM(M844:M874)</f>
        <v>10326.602488767126</v>
      </c>
    </row>
    <row r="875" spans="2:14" ht="15.75" thickBot="1" x14ac:dyDescent="0.3">
      <c r="B875" s="251"/>
      <c r="C875" s="252"/>
      <c r="D875" s="252"/>
      <c r="E875" s="253"/>
      <c r="F875" s="254"/>
      <c r="G875" s="254"/>
      <c r="H875" s="254"/>
      <c r="I875" s="254"/>
      <c r="J875" s="254"/>
      <c r="K875" s="253">
        <f t="shared" si="77"/>
        <v>1013228.47</v>
      </c>
      <c r="L875" s="255">
        <f t="shared" si="76"/>
        <v>3.2876712328767124E-4</v>
      </c>
      <c r="M875" s="253"/>
    </row>
    <row r="876" spans="2:14" hidden="1" outlineLevel="1" x14ac:dyDescent="0.25">
      <c r="B876" s="251">
        <v>46235</v>
      </c>
      <c r="C876" s="252"/>
      <c r="D876" s="252"/>
      <c r="E876" s="253"/>
      <c r="F876" s="254"/>
      <c r="G876" s="254"/>
      <c r="H876" s="254"/>
      <c r="I876" s="254"/>
      <c r="J876" s="254"/>
      <c r="K876" s="253">
        <f t="shared" si="77"/>
        <v>1013228.47</v>
      </c>
      <c r="L876" s="255">
        <f t="shared" si="76"/>
        <v>3.2876712328767124E-4</v>
      </c>
      <c r="M876" s="253">
        <f t="shared" si="78"/>
        <v>333.11620931506849</v>
      </c>
    </row>
    <row r="877" spans="2:14" hidden="1" outlineLevel="1" x14ac:dyDescent="0.25">
      <c r="B877" s="251">
        <v>46236</v>
      </c>
      <c r="C877" s="252"/>
      <c r="D877" s="252"/>
      <c r="E877" s="253"/>
      <c r="F877" s="254"/>
      <c r="G877" s="254"/>
      <c r="H877" s="254"/>
      <c r="I877" s="254"/>
      <c r="J877" s="254"/>
      <c r="K877" s="253">
        <f t="shared" si="77"/>
        <v>1013228.47</v>
      </c>
      <c r="L877" s="255">
        <f t="shared" si="76"/>
        <v>3.2876712328767124E-4</v>
      </c>
      <c r="M877" s="253">
        <f t="shared" si="78"/>
        <v>333.11620931506849</v>
      </c>
    </row>
    <row r="878" spans="2:14" hidden="1" outlineLevel="1" x14ac:dyDescent="0.25">
      <c r="B878" s="251">
        <v>46237</v>
      </c>
      <c r="C878" s="252"/>
      <c r="D878" s="252"/>
      <c r="E878" s="253"/>
      <c r="F878" s="254"/>
      <c r="G878" s="254"/>
      <c r="H878" s="254"/>
      <c r="I878" s="254"/>
      <c r="J878" s="254"/>
      <c r="K878" s="253">
        <f t="shared" si="77"/>
        <v>1013228.47</v>
      </c>
      <c r="L878" s="255">
        <f t="shared" si="76"/>
        <v>3.2876712328767124E-4</v>
      </c>
      <c r="M878" s="253">
        <f t="shared" si="78"/>
        <v>333.11620931506849</v>
      </c>
    </row>
    <row r="879" spans="2:14" hidden="1" outlineLevel="1" x14ac:dyDescent="0.25">
      <c r="B879" s="251">
        <v>46238</v>
      </c>
      <c r="C879" s="252"/>
      <c r="D879" s="252"/>
      <c r="E879" s="253"/>
      <c r="F879" s="254"/>
      <c r="G879" s="254"/>
      <c r="H879" s="254"/>
      <c r="I879" s="254"/>
      <c r="J879" s="254"/>
      <c r="K879" s="253">
        <f t="shared" si="77"/>
        <v>1013228.47</v>
      </c>
      <c r="L879" s="255">
        <f t="shared" si="76"/>
        <v>3.2876712328767124E-4</v>
      </c>
      <c r="M879" s="253">
        <f t="shared" si="78"/>
        <v>333.11620931506849</v>
      </c>
    </row>
    <row r="880" spans="2:14" hidden="1" outlineLevel="1" x14ac:dyDescent="0.25">
      <c r="B880" s="251">
        <v>46239</v>
      </c>
      <c r="C880" s="252"/>
      <c r="D880" s="252"/>
      <c r="E880" s="253"/>
      <c r="F880" s="254"/>
      <c r="G880" s="254"/>
      <c r="H880" s="254"/>
      <c r="I880" s="254"/>
      <c r="J880" s="254"/>
      <c r="K880" s="253">
        <f t="shared" si="77"/>
        <v>1013228.47</v>
      </c>
      <c r="L880" s="255">
        <f t="shared" si="76"/>
        <v>3.2876712328767124E-4</v>
      </c>
      <c r="M880" s="253">
        <f t="shared" si="78"/>
        <v>333.11620931506849</v>
      </c>
    </row>
    <row r="881" spans="2:13" hidden="1" outlineLevel="1" x14ac:dyDescent="0.25">
      <c r="B881" s="251">
        <v>46240</v>
      </c>
      <c r="C881" s="252"/>
      <c r="D881" s="252"/>
      <c r="E881" s="253"/>
      <c r="F881" s="254"/>
      <c r="G881" s="254"/>
      <c r="H881" s="254"/>
      <c r="I881" s="254"/>
      <c r="J881" s="254"/>
      <c r="K881" s="253">
        <f t="shared" si="77"/>
        <v>1013228.47</v>
      </c>
      <c r="L881" s="255">
        <f t="shared" si="76"/>
        <v>3.2876712328767124E-4</v>
      </c>
      <c r="M881" s="253">
        <f t="shared" si="78"/>
        <v>333.11620931506849</v>
      </c>
    </row>
    <row r="882" spans="2:13" hidden="1" outlineLevel="1" x14ac:dyDescent="0.25">
      <c r="B882" s="251">
        <v>46241</v>
      </c>
      <c r="C882" s="252"/>
      <c r="D882" s="252"/>
      <c r="E882" s="253"/>
      <c r="F882" s="254"/>
      <c r="G882" s="254"/>
      <c r="H882" s="254"/>
      <c r="I882" s="254"/>
      <c r="J882" s="254"/>
      <c r="K882" s="253">
        <f t="shared" si="77"/>
        <v>1013228.47</v>
      </c>
      <c r="L882" s="255">
        <f t="shared" si="76"/>
        <v>3.2876712328767124E-4</v>
      </c>
      <c r="M882" s="253">
        <f t="shared" si="78"/>
        <v>333.11620931506849</v>
      </c>
    </row>
    <row r="883" spans="2:13" hidden="1" outlineLevel="1" x14ac:dyDescent="0.25">
      <c r="B883" s="251">
        <v>46242</v>
      </c>
      <c r="C883" s="252"/>
      <c r="D883" s="252"/>
      <c r="E883" s="253"/>
      <c r="F883" s="254"/>
      <c r="G883" s="254"/>
      <c r="H883" s="254"/>
      <c r="I883" s="254"/>
      <c r="J883" s="254"/>
      <c r="K883" s="253">
        <f t="shared" si="77"/>
        <v>1013228.47</v>
      </c>
      <c r="L883" s="255">
        <f t="shared" si="76"/>
        <v>3.2876712328767124E-4</v>
      </c>
      <c r="M883" s="253">
        <f t="shared" si="78"/>
        <v>333.11620931506849</v>
      </c>
    </row>
    <row r="884" spans="2:13" hidden="1" outlineLevel="1" x14ac:dyDescent="0.25">
      <c r="B884" s="251">
        <v>46243</v>
      </c>
      <c r="C884" s="252"/>
      <c r="D884" s="252"/>
      <c r="E884" s="253"/>
      <c r="F884" s="254"/>
      <c r="G884" s="254"/>
      <c r="H884" s="254"/>
      <c r="I884" s="254"/>
      <c r="J884" s="254"/>
      <c r="K884" s="253">
        <f t="shared" si="77"/>
        <v>1013228.47</v>
      </c>
      <c r="L884" s="255">
        <f t="shared" si="76"/>
        <v>3.2876712328767124E-4</v>
      </c>
      <c r="M884" s="253">
        <f t="shared" si="78"/>
        <v>333.11620931506849</v>
      </c>
    </row>
    <row r="885" spans="2:13" hidden="1" outlineLevel="1" x14ac:dyDescent="0.25">
      <c r="B885" s="251">
        <v>46244</v>
      </c>
      <c r="C885" s="252"/>
      <c r="D885" s="252"/>
      <c r="E885" s="253"/>
      <c r="F885" s="254"/>
      <c r="G885" s="254"/>
      <c r="H885" s="254"/>
      <c r="I885" s="254"/>
      <c r="J885" s="254"/>
      <c r="K885" s="253">
        <f t="shared" si="77"/>
        <v>1013228.47</v>
      </c>
      <c r="L885" s="255">
        <f t="shared" si="76"/>
        <v>3.2876712328767124E-4</v>
      </c>
      <c r="M885" s="253">
        <f t="shared" si="78"/>
        <v>333.11620931506849</v>
      </c>
    </row>
    <row r="886" spans="2:13" hidden="1" outlineLevel="1" x14ac:dyDescent="0.25">
      <c r="B886" s="251">
        <v>46245</v>
      </c>
      <c r="C886" s="252"/>
      <c r="D886" s="252"/>
      <c r="E886" s="253"/>
      <c r="F886" s="254"/>
      <c r="G886" s="254"/>
      <c r="H886" s="254"/>
      <c r="I886" s="254"/>
      <c r="J886" s="254"/>
      <c r="K886" s="253">
        <f t="shared" si="77"/>
        <v>1013228.47</v>
      </c>
      <c r="L886" s="255">
        <f t="shared" si="76"/>
        <v>3.2876712328767124E-4</v>
      </c>
      <c r="M886" s="253">
        <f t="shared" si="78"/>
        <v>333.11620931506849</v>
      </c>
    </row>
    <row r="887" spans="2:13" hidden="1" outlineLevel="1" x14ac:dyDescent="0.25">
      <c r="B887" s="251">
        <v>46246</v>
      </c>
      <c r="C887" s="252"/>
      <c r="D887" s="252"/>
      <c r="E887" s="253"/>
      <c r="F887" s="254"/>
      <c r="G887" s="254"/>
      <c r="H887" s="254"/>
      <c r="I887" s="254"/>
      <c r="J887" s="254"/>
      <c r="K887" s="253">
        <f t="shared" si="77"/>
        <v>1013228.47</v>
      </c>
      <c r="L887" s="255">
        <f t="shared" si="76"/>
        <v>3.2876712328767124E-4</v>
      </c>
      <c r="M887" s="253">
        <f t="shared" si="78"/>
        <v>333.11620931506849</v>
      </c>
    </row>
    <row r="888" spans="2:13" hidden="1" outlineLevel="1" x14ac:dyDescent="0.25">
      <c r="B888" s="251">
        <v>46247</v>
      </c>
      <c r="C888" s="252"/>
      <c r="D888" s="252"/>
      <c r="E888" s="253"/>
      <c r="F888" s="254"/>
      <c r="G888" s="254"/>
      <c r="H888" s="254"/>
      <c r="I888" s="254"/>
      <c r="J888" s="254"/>
      <c r="K888" s="253">
        <f t="shared" si="77"/>
        <v>1013228.47</v>
      </c>
      <c r="L888" s="255">
        <f t="shared" si="76"/>
        <v>3.2876712328767124E-4</v>
      </c>
      <c r="M888" s="253">
        <f t="shared" si="78"/>
        <v>333.11620931506849</v>
      </c>
    </row>
    <row r="889" spans="2:13" hidden="1" outlineLevel="1" x14ac:dyDescent="0.25">
      <c r="B889" s="251">
        <v>46248</v>
      </c>
      <c r="C889" s="252"/>
      <c r="D889" s="252"/>
      <c r="E889" s="253"/>
      <c r="F889" s="254"/>
      <c r="G889" s="254"/>
      <c r="H889" s="254"/>
      <c r="I889" s="254"/>
      <c r="J889" s="254"/>
      <c r="K889" s="253">
        <f t="shared" si="77"/>
        <v>1013228.47</v>
      </c>
      <c r="L889" s="255">
        <f t="shared" si="76"/>
        <v>3.2876712328767124E-4</v>
      </c>
      <c r="M889" s="253">
        <f t="shared" si="78"/>
        <v>333.11620931506849</v>
      </c>
    </row>
    <row r="890" spans="2:13" hidden="1" outlineLevel="1" x14ac:dyDescent="0.25">
      <c r="B890" s="251">
        <v>46249</v>
      </c>
      <c r="C890" s="252"/>
      <c r="D890" s="252"/>
      <c r="E890" s="253"/>
      <c r="F890" s="254"/>
      <c r="G890" s="254"/>
      <c r="H890" s="254"/>
      <c r="I890" s="254"/>
      <c r="J890" s="254"/>
      <c r="K890" s="253">
        <f t="shared" si="77"/>
        <v>1013228.47</v>
      </c>
      <c r="L890" s="255">
        <f t="shared" si="76"/>
        <v>3.2876712328767124E-4</v>
      </c>
      <c r="M890" s="253">
        <f t="shared" si="78"/>
        <v>333.11620931506849</v>
      </c>
    </row>
    <row r="891" spans="2:13" hidden="1" outlineLevel="1" x14ac:dyDescent="0.25">
      <c r="B891" s="251">
        <v>46250</v>
      </c>
      <c r="C891" s="252"/>
      <c r="D891" s="252"/>
      <c r="E891" s="253"/>
      <c r="F891" s="254"/>
      <c r="G891" s="254"/>
      <c r="H891" s="254"/>
      <c r="I891" s="254"/>
      <c r="J891" s="254"/>
      <c r="K891" s="253">
        <f t="shared" si="77"/>
        <v>1013228.47</v>
      </c>
      <c r="L891" s="255">
        <f t="shared" si="76"/>
        <v>3.2876712328767124E-4</v>
      </c>
      <c r="M891" s="253">
        <f t="shared" si="78"/>
        <v>333.11620931506849</v>
      </c>
    </row>
    <row r="892" spans="2:13" hidden="1" outlineLevel="1" x14ac:dyDescent="0.25">
      <c r="B892" s="251">
        <v>46251</v>
      </c>
      <c r="C892" s="252"/>
      <c r="D892" s="252"/>
      <c r="E892" s="253"/>
      <c r="F892" s="254"/>
      <c r="G892" s="254"/>
      <c r="H892" s="254"/>
      <c r="I892" s="254"/>
      <c r="J892" s="254"/>
      <c r="K892" s="253">
        <f t="shared" si="77"/>
        <v>1013228.47</v>
      </c>
      <c r="L892" s="255">
        <f t="shared" si="76"/>
        <v>3.2876712328767124E-4</v>
      </c>
      <c r="M892" s="253">
        <f t="shared" si="78"/>
        <v>333.11620931506849</v>
      </c>
    </row>
    <row r="893" spans="2:13" hidden="1" outlineLevel="1" x14ac:dyDescent="0.25">
      <c r="B893" s="251">
        <v>46252</v>
      </c>
      <c r="C893" s="252"/>
      <c r="D893" s="252"/>
      <c r="E893" s="253"/>
      <c r="F893" s="254"/>
      <c r="G893" s="254"/>
      <c r="H893" s="254"/>
      <c r="I893" s="254"/>
      <c r="J893" s="254"/>
      <c r="K893" s="253">
        <f t="shared" si="77"/>
        <v>1013228.47</v>
      </c>
      <c r="L893" s="255">
        <f t="shared" si="76"/>
        <v>3.2876712328767124E-4</v>
      </c>
      <c r="M893" s="253">
        <f t="shared" si="78"/>
        <v>333.11620931506849</v>
      </c>
    </row>
    <row r="894" spans="2:13" hidden="1" outlineLevel="1" x14ac:dyDescent="0.25">
      <c r="B894" s="251">
        <v>46253</v>
      </c>
      <c r="C894" s="252"/>
      <c r="D894" s="252"/>
      <c r="E894" s="253"/>
      <c r="F894" s="254"/>
      <c r="G894" s="254"/>
      <c r="H894" s="254"/>
      <c r="I894" s="254"/>
      <c r="J894" s="254"/>
      <c r="K894" s="253">
        <f t="shared" si="77"/>
        <v>1013228.47</v>
      </c>
      <c r="L894" s="255">
        <f t="shared" si="76"/>
        <v>3.2876712328767124E-4</v>
      </c>
      <c r="M894" s="253">
        <f t="shared" si="78"/>
        <v>333.11620931506849</v>
      </c>
    </row>
    <row r="895" spans="2:13" hidden="1" outlineLevel="1" x14ac:dyDescent="0.25">
      <c r="B895" s="251">
        <v>46254</v>
      </c>
      <c r="C895" s="252"/>
      <c r="D895" s="252"/>
      <c r="E895" s="253"/>
      <c r="F895" s="254"/>
      <c r="G895" s="254"/>
      <c r="H895" s="254"/>
      <c r="I895" s="254"/>
      <c r="J895" s="254"/>
      <c r="K895" s="253">
        <f t="shared" si="77"/>
        <v>1013228.47</v>
      </c>
      <c r="L895" s="255">
        <f t="shared" si="76"/>
        <v>3.2876712328767124E-4</v>
      </c>
      <c r="M895" s="253">
        <f t="shared" si="78"/>
        <v>333.11620931506849</v>
      </c>
    </row>
    <row r="896" spans="2:13" hidden="1" outlineLevel="1" x14ac:dyDescent="0.25">
      <c r="B896" s="251">
        <v>46255</v>
      </c>
      <c r="C896" s="252"/>
      <c r="D896" s="252"/>
      <c r="E896" s="253"/>
      <c r="F896" s="254"/>
      <c r="G896" s="254"/>
      <c r="H896" s="254"/>
      <c r="I896" s="254"/>
      <c r="J896" s="254"/>
      <c r="K896" s="253">
        <f t="shared" si="77"/>
        <v>1013228.47</v>
      </c>
      <c r="L896" s="255">
        <f t="shared" si="76"/>
        <v>3.2876712328767124E-4</v>
      </c>
      <c r="M896" s="253">
        <f t="shared" si="78"/>
        <v>333.11620931506849</v>
      </c>
    </row>
    <row r="897" spans="2:14" hidden="1" outlineLevel="1" x14ac:dyDescent="0.25">
      <c r="B897" s="251">
        <v>46256</v>
      </c>
      <c r="C897" s="252"/>
      <c r="D897" s="252"/>
      <c r="E897" s="253"/>
      <c r="F897" s="254"/>
      <c r="G897" s="254"/>
      <c r="H897" s="254"/>
      <c r="I897" s="254"/>
      <c r="J897" s="254"/>
      <c r="K897" s="253">
        <f t="shared" si="77"/>
        <v>1013228.47</v>
      </c>
      <c r="L897" s="255">
        <f t="shared" si="76"/>
        <v>3.2876712328767124E-4</v>
      </c>
      <c r="M897" s="253">
        <f t="shared" si="78"/>
        <v>333.11620931506849</v>
      </c>
    </row>
    <row r="898" spans="2:14" hidden="1" outlineLevel="1" x14ac:dyDescent="0.25">
      <c r="B898" s="251">
        <v>46257</v>
      </c>
      <c r="C898" s="252"/>
      <c r="D898" s="252"/>
      <c r="E898" s="253"/>
      <c r="F898" s="254"/>
      <c r="G898" s="254"/>
      <c r="H898" s="254"/>
      <c r="I898" s="254"/>
      <c r="J898" s="254"/>
      <c r="K898" s="253">
        <f t="shared" si="77"/>
        <v>1013228.47</v>
      </c>
      <c r="L898" s="255">
        <f t="shared" si="76"/>
        <v>3.2876712328767124E-4</v>
      </c>
      <c r="M898" s="253">
        <f t="shared" si="78"/>
        <v>333.11620931506849</v>
      </c>
    </row>
    <row r="899" spans="2:14" hidden="1" outlineLevel="1" x14ac:dyDescent="0.25">
      <c r="B899" s="251">
        <v>46258</v>
      </c>
      <c r="C899" s="252"/>
      <c r="D899" s="252"/>
      <c r="E899" s="253"/>
      <c r="F899" s="254"/>
      <c r="G899" s="254"/>
      <c r="H899" s="254"/>
      <c r="I899" s="254"/>
      <c r="J899" s="254"/>
      <c r="K899" s="253">
        <f t="shared" si="77"/>
        <v>1013228.47</v>
      </c>
      <c r="L899" s="255">
        <f t="shared" si="76"/>
        <v>3.2876712328767124E-4</v>
      </c>
      <c r="M899" s="253">
        <f t="shared" si="78"/>
        <v>333.11620931506849</v>
      </c>
    </row>
    <row r="900" spans="2:14" hidden="1" outlineLevel="1" x14ac:dyDescent="0.25">
      <c r="B900" s="251">
        <v>46259</v>
      </c>
      <c r="C900" s="252"/>
      <c r="D900" s="252"/>
      <c r="E900" s="253"/>
      <c r="F900" s="254"/>
      <c r="G900" s="254"/>
      <c r="H900" s="254"/>
      <c r="I900" s="254"/>
      <c r="J900" s="254"/>
      <c r="K900" s="253">
        <f t="shared" si="77"/>
        <v>1013228.47</v>
      </c>
      <c r="L900" s="255">
        <f t="shared" si="76"/>
        <v>3.2876712328767124E-4</v>
      </c>
      <c r="M900" s="253">
        <f t="shared" si="78"/>
        <v>333.11620931506849</v>
      </c>
    </row>
    <row r="901" spans="2:14" hidden="1" outlineLevel="1" x14ac:dyDescent="0.25">
      <c r="B901" s="251">
        <v>46260</v>
      </c>
      <c r="C901" s="252"/>
      <c r="D901" s="252"/>
      <c r="E901" s="253"/>
      <c r="F901" s="254"/>
      <c r="G901" s="254"/>
      <c r="H901" s="254"/>
      <c r="I901" s="254"/>
      <c r="J901" s="254"/>
      <c r="K901" s="253">
        <f t="shared" si="77"/>
        <v>1013228.47</v>
      </c>
      <c r="L901" s="255">
        <f t="shared" si="76"/>
        <v>3.2876712328767124E-4</v>
      </c>
      <c r="M901" s="253">
        <f t="shared" si="78"/>
        <v>333.11620931506849</v>
      </c>
    </row>
    <row r="902" spans="2:14" hidden="1" outlineLevel="1" x14ac:dyDescent="0.25">
      <c r="B902" s="251">
        <v>46261</v>
      </c>
      <c r="C902" s="252"/>
      <c r="D902" s="252"/>
      <c r="E902" s="253"/>
      <c r="F902" s="254"/>
      <c r="G902" s="254"/>
      <c r="H902" s="254"/>
      <c r="I902" s="254"/>
      <c r="J902" s="254"/>
      <c r="K902" s="253">
        <f t="shared" si="77"/>
        <v>1013228.47</v>
      </c>
      <c r="L902" s="255">
        <f t="shared" si="76"/>
        <v>3.2876712328767124E-4</v>
      </c>
      <c r="M902" s="253">
        <f t="shared" si="78"/>
        <v>333.11620931506849</v>
      </c>
    </row>
    <row r="903" spans="2:14" hidden="1" outlineLevel="1" x14ac:dyDescent="0.25">
      <c r="B903" s="251">
        <v>46262</v>
      </c>
      <c r="C903" s="252"/>
      <c r="D903" s="252"/>
      <c r="E903" s="253"/>
      <c r="F903" s="254"/>
      <c r="G903" s="254"/>
      <c r="H903" s="254"/>
      <c r="I903" s="254"/>
      <c r="J903" s="254"/>
      <c r="K903" s="253">
        <f t="shared" si="77"/>
        <v>1013228.47</v>
      </c>
      <c r="L903" s="255">
        <f t="shared" si="76"/>
        <v>3.2876712328767124E-4</v>
      </c>
      <c r="M903" s="253">
        <f t="shared" si="78"/>
        <v>333.11620931506849</v>
      </c>
    </row>
    <row r="904" spans="2:14" hidden="1" outlineLevel="1" x14ac:dyDescent="0.25">
      <c r="B904" s="251">
        <v>46263</v>
      </c>
      <c r="C904" s="252"/>
      <c r="D904" s="252"/>
      <c r="E904" s="253"/>
      <c r="F904" s="254"/>
      <c r="G904" s="254"/>
      <c r="H904" s="254"/>
      <c r="I904" s="254"/>
      <c r="J904" s="254"/>
      <c r="K904" s="253">
        <f t="shared" si="77"/>
        <v>1013228.47</v>
      </c>
      <c r="L904" s="255">
        <f t="shared" ref="L904:L967" si="79">(0.12/365)</f>
        <v>3.2876712328767124E-4</v>
      </c>
      <c r="M904" s="253">
        <f t="shared" si="78"/>
        <v>333.11620931506849</v>
      </c>
    </row>
    <row r="905" spans="2:14" hidden="1" outlineLevel="1" x14ac:dyDescent="0.25">
      <c r="B905" s="251">
        <v>46264</v>
      </c>
      <c r="C905" s="252"/>
      <c r="D905" s="252"/>
      <c r="E905" s="253"/>
      <c r="F905" s="254"/>
      <c r="G905" s="254"/>
      <c r="H905" s="254"/>
      <c r="I905" s="254"/>
      <c r="J905" s="254"/>
      <c r="K905" s="253">
        <f t="shared" si="77"/>
        <v>1013228.47</v>
      </c>
      <c r="L905" s="255">
        <f t="shared" si="79"/>
        <v>3.2876712328767124E-4</v>
      </c>
      <c r="M905" s="253">
        <f t="shared" si="78"/>
        <v>333.11620931506849</v>
      </c>
    </row>
    <row r="906" spans="2:14" ht="15.75" collapsed="1" thickBot="1" x14ac:dyDescent="0.3">
      <c r="B906" s="251">
        <v>46265</v>
      </c>
      <c r="C906" s="252"/>
      <c r="D906" s="252"/>
      <c r="E906" s="253"/>
      <c r="F906" s="254"/>
      <c r="G906" s="254"/>
      <c r="H906" s="254"/>
      <c r="I906" s="254"/>
      <c r="J906" s="254"/>
      <c r="K906" s="253">
        <f t="shared" si="77"/>
        <v>1013228.47</v>
      </c>
      <c r="L906" s="255">
        <f t="shared" si="79"/>
        <v>3.2876712328767124E-4</v>
      </c>
      <c r="M906" s="253">
        <f t="shared" si="78"/>
        <v>333.11620931506849</v>
      </c>
      <c r="N906" s="411">
        <f>SUM(M876:M906)</f>
        <v>10326.602488767126</v>
      </c>
    </row>
    <row r="907" spans="2:14" ht="15.75" thickBot="1" x14ac:dyDescent="0.3">
      <c r="B907" s="251"/>
      <c r="C907" s="252"/>
      <c r="D907" s="252"/>
      <c r="E907" s="253"/>
      <c r="F907" s="254"/>
      <c r="G907" s="254"/>
      <c r="H907" s="254"/>
      <c r="I907" s="254"/>
      <c r="J907" s="254"/>
      <c r="K907" s="253">
        <f t="shared" si="77"/>
        <v>1013228.47</v>
      </c>
      <c r="L907" s="255">
        <f t="shared" si="79"/>
        <v>3.2876712328767124E-4</v>
      </c>
      <c r="M907" s="253"/>
    </row>
    <row r="908" spans="2:14" hidden="1" outlineLevel="1" x14ac:dyDescent="0.25">
      <c r="B908" s="251">
        <v>46266</v>
      </c>
      <c r="C908" s="252"/>
      <c r="D908" s="252"/>
      <c r="E908" s="253"/>
      <c r="F908" s="254"/>
      <c r="G908" s="254"/>
      <c r="H908" s="254"/>
      <c r="I908" s="254"/>
      <c r="J908" s="254"/>
      <c r="K908" s="253">
        <f t="shared" si="77"/>
        <v>1013228.47</v>
      </c>
      <c r="L908" s="255">
        <f t="shared" si="79"/>
        <v>3.2876712328767124E-4</v>
      </c>
      <c r="M908" s="253">
        <f t="shared" si="78"/>
        <v>333.11620931506849</v>
      </c>
    </row>
    <row r="909" spans="2:14" hidden="1" outlineLevel="1" x14ac:dyDescent="0.25">
      <c r="B909" s="251">
        <v>46267</v>
      </c>
      <c r="C909" s="252"/>
      <c r="D909" s="252"/>
      <c r="E909" s="253"/>
      <c r="F909" s="254"/>
      <c r="G909" s="254"/>
      <c r="H909" s="254"/>
      <c r="I909" s="254"/>
      <c r="J909" s="254"/>
      <c r="K909" s="253">
        <f t="shared" si="77"/>
        <v>1013228.47</v>
      </c>
      <c r="L909" s="255">
        <f t="shared" si="79"/>
        <v>3.2876712328767124E-4</v>
      </c>
      <c r="M909" s="253">
        <f t="shared" si="78"/>
        <v>333.11620931506849</v>
      </c>
    </row>
    <row r="910" spans="2:14" hidden="1" outlineLevel="1" x14ac:dyDescent="0.25">
      <c r="B910" s="251">
        <v>46268</v>
      </c>
      <c r="C910" s="252"/>
      <c r="D910" s="252"/>
      <c r="E910" s="253"/>
      <c r="F910" s="254"/>
      <c r="G910" s="254"/>
      <c r="H910" s="254"/>
      <c r="I910" s="254"/>
      <c r="J910" s="254"/>
      <c r="K910" s="253">
        <f t="shared" si="77"/>
        <v>1013228.47</v>
      </c>
      <c r="L910" s="255">
        <f t="shared" si="79"/>
        <v>3.2876712328767124E-4</v>
      </c>
      <c r="M910" s="253">
        <f t="shared" si="78"/>
        <v>333.11620931506849</v>
      </c>
    </row>
    <row r="911" spans="2:14" hidden="1" outlineLevel="1" x14ac:dyDescent="0.25">
      <c r="B911" s="251">
        <v>46269</v>
      </c>
      <c r="C911" s="252"/>
      <c r="D911" s="252"/>
      <c r="E911" s="253"/>
      <c r="F911" s="254"/>
      <c r="G911" s="254"/>
      <c r="H911" s="254"/>
      <c r="I911" s="254"/>
      <c r="J911" s="254"/>
      <c r="K911" s="253">
        <f t="shared" si="77"/>
        <v>1013228.47</v>
      </c>
      <c r="L911" s="255">
        <f t="shared" si="79"/>
        <v>3.2876712328767124E-4</v>
      </c>
      <c r="M911" s="253">
        <f t="shared" si="78"/>
        <v>333.11620931506849</v>
      </c>
    </row>
    <row r="912" spans="2:14" hidden="1" outlineLevel="1" x14ac:dyDescent="0.25">
      <c r="B912" s="251">
        <v>46270</v>
      </c>
      <c r="C912" s="252"/>
      <c r="D912" s="252"/>
      <c r="E912" s="253"/>
      <c r="F912" s="254"/>
      <c r="G912" s="254"/>
      <c r="H912" s="254"/>
      <c r="I912" s="254"/>
      <c r="J912" s="254"/>
      <c r="K912" s="253">
        <f t="shared" si="77"/>
        <v>1013228.47</v>
      </c>
      <c r="L912" s="255">
        <f t="shared" si="79"/>
        <v>3.2876712328767124E-4</v>
      </c>
      <c r="M912" s="253">
        <f t="shared" si="78"/>
        <v>333.11620931506849</v>
      </c>
    </row>
    <row r="913" spans="2:13" hidden="1" outlineLevel="1" x14ac:dyDescent="0.25">
      <c r="B913" s="251">
        <v>46271</v>
      </c>
      <c r="C913" s="252"/>
      <c r="D913" s="252"/>
      <c r="E913" s="253"/>
      <c r="F913" s="254"/>
      <c r="G913" s="254"/>
      <c r="H913" s="254"/>
      <c r="I913" s="254"/>
      <c r="J913" s="254"/>
      <c r="K913" s="253">
        <f t="shared" si="77"/>
        <v>1013228.47</v>
      </c>
      <c r="L913" s="255">
        <f t="shared" si="79"/>
        <v>3.2876712328767124E-4</v>
      </c>
      <c r="M913" s="253">
        <f t="shared" si="78"/>
        <v>333.11620931506849</v>
      </c>
    </row>
    <row r="914" spans="2:13" hidden="1" outlineLevel="1" x14ac:dyDescent="0.25">
      <c r="B914" s="251">
        <v>46272</v>
      </c>
      <c r="C914" s="252"/>
      <c r="D914" s="252"/>
      <c r="E914" s="253"/>
      <c r="F914" s="254"/>
      <c r="G914" s="254"/>
      <c r="H914" s="254"/>
      <c r="I914" s="254"/>
      <c r="J914" s="254"/>
      <c r="K914" s="253">
        <f t="shared" si="77"/>
        <v>1013228.47</v>
      </c>
      <c r="L914" s="255">
        <f t="shared" si="79"/>
        <v>3.2876712328767124E-4</v>
      </c>
      <c r="M914" s="253">
        <f t="shared" si="78"/>
        <v>333.11620931506849</v>
      </c>
    </row>
    <row r="915" spans="2:13" hidden="1" outlineLevel="1" x14ac:dyDescent="0.25">
      <c r="B915" s="251">
        <v>46273</v>
      </c>
      <c r="C915" s="252"/>
      <c r="D915" s="252"/>
      <c r="E915" s="253"/>
      <c r="F915" s="254"/>
      <c r="G915" s="254"/>
      <c r="H915" s="254"/>
      <c r="I915" s="254"/>
      <c r="J915" s="254"/>
      <c r="K915" s="253">
        <f t="shared" ref="K915:K978" si="80">K914+E915</f>
        <v>1013228.47</v>
      </c>
      <c r="L915" s="255">
        <f t="shared" si="79"/>
        <v>3.2876712328767124E-4</v>
      </c>
      <c r="M915" s="253">
        <f t="shared" ref="M915:M978" si="81">K915*L915</f>
        <v>333.11620931506849</v>
      </c>
    </row>
    <row r="916" spans="2:13" hidden="1" outlineLevel="1" x14ac:dyDescent="0.25">
      <c r="B916" s="251">
        <v>46274</v>
      </c>
      <c r="C916" s="252"/>
      <c r="D916" s="252"/>
      <c r="E916" s="253"/>
      <c r="F916" s="254"/>
      <c r="G916" s="254"/>
      <c r="H916" s="254"/>
      <c r="I916" s="254"/>
      <c r="J916" s="254"/>
      <c r="K916" s="253">
        <f t="shared" si="80"/>
        <v>1013228.47</v>
      </c>
      <c r="L916" s="255">
        <f t="shared" si="79"/>
        <v>3.2876712328767124E-4</v>
      </c>
      <c r="M916" s="253">
        <f t="shared" si="81"/>
        <v>333.11620931506849</v>
      </c>
    </row>
    <row r="917" spans="2:13" hidden="1" outlineLevel="1" x14ac:dyDescent="0.25">
      <c r="B917" s="251">
        <v>46275</v>
      </c>
      <c r="C917" s="252"/>
      <c r="D917" s="252"/>
      <c r="E917" s="253"/>
      <c r="F917" s="254"/>
      <c r="G917" s="254"/>
      <c r="H917" s="254"/>
      <c r="I917" s="254"/>
      <c r="J917" s="254"/>
      <c r="K917" s="253">
        <f t="shared" si="80"/>
        <v>1013228.47</v>
      </c>
      <c r="L917" s="255">
        <f t="shared" si="79"/>
        <v>3.2876712328767124E-4</v>
      </c>
      <c r="M917" s="253">
        <f t="shared" si="81"/>
        <v>333.11620931506849</v>
      </c>
    </row>
    <row r="918" spans="2:13" hidden="1" outlineLevel="1" x14ac:dyDescent="0.25">
      <c r="B918" s="251">
        <v>46276</v>
      </c>
      <c r="C918" s="252"/>
      <c r="D918" s="252"/>
      <c r="E918" s="253"/>
      <c r="F918" s="254"/>
      <c r="G918" s="254"/>
      <c r="H918" s="254"/>
      <c r="I918" s="254"/>
      <c r="J918" s="254"/>
      <c r="K918" s="253">
        <f t="shared" si="80"/>
        <v>1013228.47</v>
      </c>
      <c r="L918" s="255">
        <f t="shared" si="79"/>
        <v>3.2876712328767124E-4</v>
      </c>
      <c r="M918" s="253">
        <f t="shared" si="81"/>
        <v>333.11620931506849</v>
      </c>
    </row>
    <row r="919" spans="2:13" hidden="1" outlineLevel="1" x14ac:dyDescent="0.25">
      <c r="B919" s="251">
        <v>46277</v>
      </c>
      <c r="C919" s="252"/>
      <c r="D919" s="252"/>
      <c r="E919" s="253"/>
      <c r="F919" s="254"/>
      <c r="G919" s="254"/>
      <c r="H919" s="254"/>
      <c r="I919" s="254"/>
      <c r="J919" s="254"/>
      <c r="K919" s="253">
        <f t="shared" si="80"/>
        <v>1013228.47</v>
      </c>
      <c r="L919" s="255">
        <f t="shared" si="79"/>
        <v>3.2876712328767124E-4</v>
      </c>
      <c r="M919" s="253">
        <f t="shared" si="81"/>
        <v>333.11620931506849</v>
      </c>
    </row>
    <row r="920" spans="2:13" hidden="1" outlineLevel="1" x14ac:dyDescent="0.25">
      <c r="B920" s="251">
        <v>46278</v>
      </c>
      <c r="C920" s="252"/>
      <c r="D920" s="252"/>
      <c r="E920" s="253"/>
      <c r="F920" s="254"/>
      <c r="G920" s="254"/>
      <c r="H920" s="254"/>
      <c r="I920" s="254"/>
      <c r="J920" s="254"/>
      <c r="K920" s="253">
        <f t="shared" si="80"/>
        <v>1013228.47</v>
      </c>
      <c r="L920" s="255">
        <f t="shared" si="79"/>
        <v>3.2876712328767124E-4</v>
      </c>
      <c r="M920" s="253">
        <f t="shared" si="81"/>
        <v>333.11620931506849</v>
      </c>
    </row>
    <row r="921" spans="2:13" hidden="1" outlineLevel="1" x14ac:dyDescent="0.25">
      <c r="B921" s="251">
        <v>46279</v>
      </c>
      <c r="C921" s="252"/>
      <c r="D921" s="252"/>
      <c r="E921" s="253"/>
      <c r="F921" s="254"/>
      <c r="G921" s="254"/>
      <c r="H921" s="254"/>
      <c r="I921" s="254"/>
      <c r="J921" s="254"/>
      <c r="K921" s="253">
        <f t="shared" si="80"/>
        <v>1013228.47</v>
      </c>
      <c r="L921" s="255">
        <f t="shared" si="79"/>
        <v>3.2876712328767124E-4</v>
      </c>
      <c r="M921" s="253">
        <f t="shared" si="81"/>
        <v>333.11620931506849</v>
      </c>
    </row>
    <row r="922" spans="2:13" hidden="1" outlineLevel="1" x14ac:dyDescent="0.25">
      <c r="B922" s="251">
        <v>46280</v>
      </c>
      <c r="C922" s="252"/>
      <c r="D922" s="252"/>
      <c r="E922" s="253"/>
      <c r="F922" s="254"/>
      <c r="G922" s="254"/>
      <c r="H922" s="254"/>
      <c r="I922" s="254"/>
      <c r="J922" s="254"/>
      <c r="K922" s="253">
        <f t="shared" si="80"/>
        <v>1013228.47</v>
      </c>
      <c r="L922" s="255">
        <f t="shared" si="79"/>
        <v>3.2876712328767124E-4</v>
      </c>
      <c r="M922" s="253">
        <f t="shared" si="81"/>
        <v>333.11620931506849</v>
      </c>
    </row>
    <row r="923" spans="2:13" hidden="1" outlineLevel="1" x14ac:dyDescent="0.25">
      <c r="B923" s="251">
        <v>46281</v>
      </c>
      <c r="C923" s="252"/>
      <c r="D923" s="252"/>
      <c r="E923" s="253"/>
      <c r="F923" s="254"/>
      <c r="G923" s="254"/>
      <c r="H923" s="254"/>
      <c r="I923" s="254"/>
      <c r="J923" s="254"/>
      <c r="K923" s="253">
        <f t="shared" si="80"/>
        <v>1013228.47</v>
      </c>
      <c r="L923" s="255">
        <f t="shared" si="79"/>
        <v>3.2876712328767124E-4</v>
      </c>
      <c r="M923" s="253">
        <f t="shared" si="81"/>
        <v>333.11620931506849</v>
      </c>
    </row>
    <row r="924" spans="2:13" hidden="1" outlineLevel="1" x14ac:dyDescent="0.25">
      <c r="B924" s="251">
        <v>46282</v>
      </c>
      <c r="C924" s="252"/>
      <c r="D924" s="252"/>
      <c r="E924" s="253"/>
      <c r="F924" s="254"/>
      <c r="G924" s="254"/>
      <c r="H924" s="254"/>
      <c r="I924" s="254"/>
      <c r="J924" s="254"/>
      <c r="K924" s="253">
        <f t="shared" si="80"/>
        <v>1013228.47</v>
      </c>
      <c r="L924" s="255">
        <f t="shared" si="79"/>
        <v>3.2876712328767124E-4</v>
      </c>
      <c r="M924" s="253">
        <f t="shared" si="81"/>
        <v>333.11620931506849</v>
      </c>
    </row>
    <row r="925" spans="2:13" hidden="1" outlineLevel="1" x14ac:dyDescent="0.25">
      <c r="B925" s="251">
        <v>46283</v>
      </c>
      <c r="C925" s="252"/>
      <c r="D925" s="252"/>
      <c r="E925" s="253"/>
      <c r="F925" s="254"/>
      <c r="G925" s="254"/>
      <c r="H925" s="254"/>
      <c r="I925" s="254"/>
      <c r="J925" s="254"/>
      <c r="K925" s="253">
        <f t="shared" si="80"/>
        <v>1013228.47</v>
      </c>
      <c r="L925" s="255">
        <f t="shared" si="79"/>
        <v>3.2876712328767124E-4</v>
      </c>
      <c r="M925" s="253">
        <f t="shared" si="81"/>
        <v>333.11620931506849</v>
      </c>
    </row>
    <row r="926" spans="2:13" hidden="1" outlineLevel="1" x14ac:dyDescent="0.25">
      <c r="B926" s="251">
        <v>46284</v>
      </c>
      <c r="C926" s="252"/>
      <c r="D926" s="252"/>
      <c r="E926" s="253"/>
      <c r="F926" s="254"/>
      <c r="G926" s="254"/>
      <c r="H926" s="254"/>
      <c r="I926" s="254"/>
      <c r="J926" s="254"/>
      <c r="K926" s="253">
        <f t="shared" si="80"/>
        <v>1013228.47</v>
      </c>
      <c r="L926" s="255">
        <f t="shared" si="79"/>
        <v>3.2876712328767124E-4</v>
      </c>
      <c r="M926" s="253">
        <f t="shared" si="81"/>
        <v>333.11620931506849</v>
      </c>
    </row>
    <row r="927" spans="2:13" hidden="1" outlineLevel="1" x14ac:dyDescent="0.25">
      <c r="B927" s="251">
        <v>46285</v>
      </c>
      <c r="C927" s="252"/>
      <c r="D927" s="252"/>
      <c r="E927" s="253"/>
      <c r="F927" s="254"/>
      <c r="G927" s="254"/>
      <c r="H927" s="254"/>
      <c r="I927" s="254"/>
      <c r="J927" s="254"/>
      <c r="K927" s="253">
        <f t="shared" si="80"/>
        <v>1013228.47</v>
      </c>
      <c r="L927" s="255">
        <f t="shared" si="79"/>
        <v>3.2876712328767124E-4</v>
      </c>
      <c r="M927" s="253">
        <f t="shared" si="81"/>
        <v>333.11620931506849</v>
      </c>
    </row>
    <row r="928" spans="2:13" hidden="1" outlineLevel="1" x14ac:dyDescent="0.25">
      <c r="B928" s="251">
        <v>46286</v>
      </c>
      <c r="C928" s="252"/>
      <c r="D928" s="252"/>
      <c r="E928" s="253"/>
      <c r="F928" s="254"/>
      <c r="G928" s="254"/>
      <c r="H928" s="254"/>
      <c r="I928" s="254"/>
      <c r="J928" s="254"/>
      <c r="K928" s="253">
        <f t="shared" si="80"/>
        <v>1013228.47</v>
      </c>
      <c r="L928" s="255">
        <f t="shared" si="79"/>
        <v>3.2876712328767124E-4</v>
      </c>
      <c r="M928" s="253">
        <f t="shared" si="81"/>
        <v>333.11620931506849</v>
      </c>
    </row>
    <row r="929" spans="2:14" hidden="1" outlineLevel="1" x14ac:dyDescent="0.25">
      <c r="B929" s="251">
        <v>46287</v>
      </c>
      <c r="C929" s="252"/>
      <c r="D929" s="252"/>
      <c r="E929" s="253"/>
      <c r="F929" s="254"/>
      <c r="G929" s="254"/>
      <c r="H929" s="254"/>
      <c r="I929" s="254"/>
      <c r="J929" s="254"/>
      <c r="K929" s="253">
        <f t="shared" si="80"/>
        <v>1013228.47</v>
      </c>
      <c r="L929" s="255">
        <f t="shared" si="79"/>
        <v>3.2876712328767124E-4</v>
      </c>
      <c r="M929" s="253">
        <f t="shared" si="81"/>
        <v>333.11620931506849</v>
      </c>
    </row>
    <row r="930" spans="2:14" hidden="1" outlineLevel="1" x14ac:dyDescent="0.25">
      <c r="B930" s="251">
        <v>46288</v>
      </c>
      <c r="C930" s="252"/>
      <c r="D930" s="252"/>
      <c r="E930" s="253"/>
      <c r="F930" s="254"/>
      <c r="G930" s="254"/>
      <c r="H930" s="254"/>
      <c r="I930" s="254"/>
      <c r="J930" s="254"/>
      <c r="K930" s="253">
        <f t="shared" si="80"/>
        <v>1013228.47</v>
      </c>
      <c r="L930" s="255">
        <f t="shared" si="79"/>
        <v>3.2876712328767124E-4</v>
      </c>
      <c r="M930" s="253">
        <f t="shared" si="81"/>
        <v>333.11620931506849</v>
      </c>
    </row>
    <row r="931" spans="2:14" hidden="1" outlineLevel="1" x14ac:dyDescent="0.25">
      <c r="B931" s="251">
        <v>46289</v>
      </c>
      <c r="C931" s="252"/>
      <c r="D931" s="252"/>
      <c r="E931" s="253"/>
      <c r="F931" s="254"/>
      <c r="G931" s="254"/>
      <c r="H931" s="254"/>
      <c r="I931" s="254"/>
      <c r="J931" s="254"/>
      <c r="K931" s="253">
        <f t="shared" si="80"/>
        <v>1013228.47</v>
      </c>
      <c r="L931" s="255">
        <f t="shared" si="79"/>
        <v>3.2876712328767124E-4</v>
      </c>
      <c r="M931" s="253">
        <f t="shared" si="81"/>
        <v>333.11620931506849</v>
      </c>
    </row>
    <row r="932" spans="2:14" hidden="1" outlineLevel="1" x14ac:dyDescent="0.25">
      <c r="B932" s="251">
        <v>46290</v>
      </c>
      <c r="C932" s="252"/>
      <c r="D932" s="252"/>
      <c r="E932" s="253"/>
      <c r="F932" s="254"/>
      <c r="G932" s="254"/>
      <c r="H932" s="254"/>
      <c r="I932" s="254"/>
      <c r="J932" s="254"/>
      <c r="K932" s="253">
        <f t="shared" si="80"/>
        <v>1013228.47</v>
      </c>
      <c r="L932" s="255">
        <f t="shared" si="79"/>
        <v>3.2876712328767124E-4</v>
      </c>
      <c r="M932" s="253">
        <f t="shared" si="81"/>
        <v>333.11620931506849</v>
      </c>
    </row>
    <row r="933" spans="2:14" hidden="1" outlineLevel="1" x14ac:dyDescent="0.25">
      <c r="B933" s="251">
        <v>46291</v>
      </c>
      <c r="C933" s="252"/>
      <c r="D933" s="252"/>
      <c r="E933" s="253"/>
      <c r="F933" s="254"/>
      <c r="G933" s="254"/>
      <c r="H933" s="254"/>
      <c r="I933" s="254"/>
      <c r="J933" s="254"/>
      <c r="K933" s="253">
        <f t="shared" si="80"/>
        <v>1013228.47</v>
      </c>
      <c r="L933" s="255">
        <f t="shared" si="79"/>
        <v>3.2876712328767124E-4</v>
      </c>
      <c r="M933" s="253">
        <f t="shared" si="81"/>
        <v>333.11620931506849</v>
      </c>
    </row>
    <row r="934" spans="2:14" hidden="1" outlineLevel="1" x14ac:dyDescent="0.25">
      <c r="B934" s="251">
        <v>46292</v>
      </c>
      <c r="C934" s="252"/>
      <c r="D934" s="252"/>
      <c r="E934" s="253"/>
      <c r="F934" s="254"/>
      <c r="G934" s="254"/>
      <c r="H934" s="254"/>
      <c r="I934" s="254"/>
      <c r="J934" s="254"/>
      <c r="K934" s="253">
        <f t="shared" si="80"/>
        <v>1013228.47</v>
      </c>
      <c r="L934" s="255">
        <f t="shared" si="79"/>
        <v>3.2876712328767124E-4</v>
      </c>
      <c r="M934" s="253">
        <f t="shared" si="81"/>
        <v>333.11620931506849</v>
      </c>
    </row>
    <row r="935" spans="2:14" hidden="1" outlineLevel="1" x14ac:dyDescent="0.25">
      <c r="B935" s="251">
        <v>46293</v>
      </c>
      <c r="C935" s="252"/>
      <c r="D935" s="252"/>
      <c r="E935" s="253"/>
      <c r="F935" s="254"/>
      <c r="G935" s="254"/>
      <c r="H935" s="254"/>
      <c r="I935" s="254"/>
      <c r="J935" s="254"/>
      <c r="K935" s="253">
        <f t="shared" si="80"/>
        <v>1013228.47</v>
      </c>
      <c r="L935" s="255">
        <f t="shared" si="79"/>
        <v>3.2876712328767124E-4</v>
      </c>
      <c r="M935" s="253">
        <f t="shared" si="81"/>
        <v>333.11620931506849</v>
      </c>
    </row>
    <row r="936" spans="2:14" hidden="1" outlineLevel="1" x14ac:dyDescent="0.25">
      <c r="B936" s="251">
        <v>46294</v>
      </c>
      <c r="C936" s="252"/>
      <c r="D936" s="252"/>
      <c r="E936" s="253"/>
      <c r="F936" s="254"/>
      <c r="G936" s="254"/>
      <c r="H936" s="254"/>
      <c r="I936" s="254"/>
      <c r="J936" s="254"/>
      <c r="K936" s="253">
        <f t="shared" si="80"/>
        <v>1013228.47</v>
      </c>
      <c r="L936" s="255">
        <f t="shared" si="79"/>
        <v>3.2876712328767124E-4</v>
      </c>
      <c r="M936" s="253">
        <f t="shared" si="81"/>
        <v>333.11620931506849</v>
      </c>
    </row>
    <row r="937" spans="2:14" ht="15.75" collapsed="1" thickBot="1" x14ac:dyDescent="0.3">
      <c r="B937" s="251">
        <v>46295</v>
      </c>
      <c r="C937" s="252"/>
      <c r="D937" s="252"/>
      <c r="E937" s="253"/>
      <c r="F937" s="254"/>
      <c r="G937" s="254"/>
      <c r="H937" s="254"/>
      <c r="I937" s="254"/>
      <c r="J937" s="254"/>
      <c r="K937" s="253">
        <f t="shared" si="80"/>
        <v>1013228.47</v>
      </c>
      <c r="L937" s="255">
        <f t="shared" si="79"/>
        <v>3.2876712328767124E-4</v>
      </c>
      <c r="M937" s="253">
        <f t="shared" si="81"/>
        <v>333.11620931506849</v>
      </c>
      <c r="N937" s="411">
        <f>SUM(M908:M937)</f>
        <v>9993.4862794520577</v>
      </c>
    </row>
    <row r="938" spans="2:14" ht="15.75" thickBot="1" x14ac:dyDescent="0.3">
      <c r="B938" s="251"/>
      <c r="C938" s="252"/>
      <c r="D938" s="252"/>
      <c r="E938" s="253"/>
      <c r="F938" s="254"/>
      <c r="G938" s="254"/>
      <c r="H938" s="254"/>
      <c r="I938" s="254"/>
      <c r="J938" s="254"/>
      <c r="K938" s="253">
        <f t="shared" si="80"/>
        <v>1013228.47</v>
      </c>
      <c r="L938" s="255">
        <f t="shared" si="79"/>
        <v>3.2876712328767124E-4</v>
      </c>
      <c r="M938" s="253"/>
    </row>
    <row r="939" spans="2:14" hidden="1" outlineLevel="1" x14ac:dyDescent="0.25">
      <c r="B939" s="251">
        <v>46296</v>
      </c>
      <c r="C939" s="252"/>
      <c r="D939" s="252"/>
      <c r="E939" s="253"/>
      <c r="F939" s="254"/>
      <c r="G939" s="254"/>
      <c r="H939" s="254"/>
      <c r="I939" s="254"/>
      <c r="J939" s="254"/>
      <c r="K939" s="253">
        <f t="shared" si="80"/>
        <v>1013228.47</v>
      </c>
      <c r="L939" s="255">
        <f t="shared" si="79"/>
        <v>3.2876712328767124E-4</v>
      </c>
      <c r="M939" s="253">
        <f t="shared" si="81"/>
        <v>333.11620931506849</v>
      </c>
    </row>
    <row r="940" spans="2:14" hidden="1" outlineLevel="1" x14ac:dyDescent="0.25">
      <c r="B940" s="251">
        <v>46297</v>
      </c>
      <c r="C940" s="252"/>
      <c r="D940" s="252"/>
      <c r="E940" s="253"/>
      <c r="F940" s="254"/>
      <c r="G940" s="254"/>
      <c r="H940" s="254"/>
      <c r="I940" s="254"/>
      <c r="J940" s="254"/>
      <c r="K940" s="253">
        <f t="shared" si="80"/>
        <v>1013228.47</v>
      </c>
      <c r="L940" s="255">
        <f t="shared" si="79"/>
        <v>3.2876712328767124E-4</v>
      </c>
      <c r="M940" s="253">
        <f t="shared" si="81"/>
        <v>333.11620931506849</v>
      </c>
    </row>
    <row r="941" spans="2:14" hidden="1" outlineLevel="1" x14ac:dyDescent="0.25">
      <c r="B941" s="251">
        <v>46298</v>
      </c>
      <c r="C941" s="252"/>
      <c r="D941" s="252"/>
      <c r="E941" s="253"/>
      <c r="F941" s="254"/>
      <c r="G941" s="254"/>
      <c r="H941" s="254"/>
      <c r="I941" s="254"/>
      <c r="J941" s="254"/>
      <c r="K941" s="253">
        <f t="shared" si="80"/>
        <v>1013228.47</v>
      </c>
      <c r="L941" s="255">
        <f t="shared" si="79"/>
        <v>3.2876712328767124E-4</v>
      </c>
      <c r="M941" s="253">
        <f t="shared" si="81"/>
        <v>333.11620931506849</v>
      </c>
    </row>
    <row r="942" spans="2:14" hidden="1" outlineLevel="1" x14ac:dyDescent="0.25">
      <c r="B942" s="251">
        <v>46299</v>
      </c>
      <c r="C942" s="252"/>
      <c r="D942" s="252"/>
      <c r="E942" s="253"/>
      <c r="F942" s="254"/>
      <c r="G942" s="254"/>
      <c r="H942" s="254"/>
      <c r="I942" s="254"/>
      <c r="J942" s="254"/>
      <c r="K942" s="253">
        <f t="shared" si="80"/>
        <v>1013228.47</v>
      </c>
      <c r="L942" s="255">
        <f t="shared" si="79"/>
        <v>3.2876712328767124E-4</v>
      </c>
      <c r="M942" s="253">
        <f t="shared" si="81"/>
        <v>333.11620931506849</v>
      </c>
    </row>
    <row r="943" spans="2:14" hidden="1" outlineLevel="1" x14ac:dyDescent="0.25">
      <c r="B943" s="251">
        <v>46300</v>
      </c>
      <c r="C943" s="252"/>
      <c r="D943" s="252"/>
      <c r="E943" s="253"/>
      <c r="F943" s="254"/>
      <c r="G943" s="254"/>
      <c r="H943" s="254"/>
      <c r="I943" s="254"/>
      <c r="J943" s="254"/>
      <c r="K943" s="253">
        <f t="shared" si="80"/>
        <v>1013228.47</v>
      </c>
      <c r="L943" s="255">
        <f t="shared" si="79"/>
        <v>3.2876712328767124E-4</v>
      </c>
      <c r="M943" s="253">
        <f t="shared" si="81"/>
        <v>333.11620931506849</v>
      </c>
    </row>
    <row r="944" spans="2:14" hidden="1" outlineLevel="1" x14ac:dyDescent="0.25">
      <c r="B944" s="251">
        <v>46301</v>
      </c>
      <c r="C944" s="252"/>
      <c r="D944" s="252"/>
      <c r="E944" s="253"/>
      <c r="F944" s="254"/>
      <c r="G944" s="254"/>
      <c r="H944" s="254"/>
      <c r="I944" s="254"/>
      <c r="J944" s="254"/>
      <c r="K944" s="253">
        <f t="shared" si="80"/>
        <v>1013228.47</v>
      </c>
      <c r="L944" s="255">
        <f t="shared" si="79"/>
        <v>3.2876712328767124E-4</v>
      </c>
      <c r="M944" s="253">
        <f t="shared" si="81"/>
        <v>333.11620931506849</v>
      </c>
    </row>
    <row r="945" spans="2:13" hidden="1" outlineLevel="1" x14ac:dyDescent="0.25">
      <c r="B945" s="251">
        <v>46302</v>
      </c>
      <c r="C945" s="252"/>
      <c r="D945" s="252"/>
      <c r="E945" s="253"/>
      <c r="F945" s="254"/>
      <c r="G945" s="254"/>
      <c r="H945" s="254"/>
      <c r="I945" s="254"/>
      <c r="J945" s="254"/>
      <c r="K945" s="253">
        <f t="shared" si="80"/>
        <v>1013228.47</v>
      </c>
      <c r="L945" s="255">
        <f t="shared" si="79"/>
        <v>3.2876712328767124E-4</v>
      </c>
      <c r="M945" s="253">
        <f t="shared" si="81"/>
        <v>333.11620931506849</v>
      </c>
    </row>
    <row r="946" spans="2:13" hidden="1" outlineLevel="1" x14ac:dyDescent="0.25">
      <c r="B946" s="251">
        <v>46303</v>
      </c>
      <c r="C946" s="252"/>
      <c r="D946" s="252"/>
      <c r="E946" s="253"/>
      <c r="F946" s="254"/>
      <c r="G946" s="254"/>
      <c r="H946" s="254"/>
      <c r="I946" s="254"/>
      <c r="J946" s="254"/>
      <c r="K946" s="253">
        <f t="shared" si="80"/>
        <v>1013228.47</v>
      </c>
      <c r="L946" s="255">
        <f t="shared" si="79"/>
        <v>3.2876712328767124E-4</v>
      </c>
      <c r="M946" s="253">
        <f t="shared" si="81"/>
        <v>333.11620931506849</v>
      </c>
    </row>
    <row r="947" spans="2:13" hidden="1" outlineLevel="1" x14ac:dyDescent="0.25">
      <c r="B947" s="251">
        <v>46304</v>
      </c>
      <c r="C947" s="252"/>
      <c r="D947" s="252"/>
      <c r="E947" s="253"/>
      <c r="F947" s="254"/>
      <c r="G947" s="254"/>
      <c r="H947" s="254"/>
      <c r="I947" s="254"/>
      <c r="J947" s="254"/>
      <c r="K947" s="253">
        <f t="shared" si="80"/>
        <v>1013228.47</v>
      </c>
      <c r="L947" s="255">
        <f t="shared" si="79"/>
        <v>3.2876712328767124E-4</v>
      </c>
      <c r="M947" s="253">
        <f t="shared" si="81"/>
        <v>333.11620931506849</v>
      </c>
    </row>
    <row r="948" spans="2:13" hidden="1" outlineLevel="1" x14ac:dyDescent="0.25">
      <c r="B948" s="251">
        <v>46305</v>
      </c>
      <c r="C948" s="252"/>
      <c r="D948" s="252"/>
      <c r="E948" s="253"/>
      <c r="F948" s="254"/>
      <c r="G948" s="254"/>
      <c r="H948" s="254"/>
      <c r="I948" s="254"/>
      <c r="J948" s="254"/>
      <c r="K948" s="253">
        <f t="shared" si="80"/>
        <v>1013228.47</v>
      </c>
      <c r="L948" s="255">
        <f t="shared" si="79"/>
        <v>3.2876712328767124E-4</v>
      </c>
      <c r="M948" s="253">
        <f t="shared" si="81"/>
        <v>333.11620931506849</v>
      </c>
    </row>
    <row r="949" spans="2:13" hidden="1" outlineLevel="1" x14ac:dyDescent="0.25">
      <c r="B949" s="251">
        <v>46306</v>
      </c>
      <c r="C949" s="252"/>
      <c r="D949" s="252"/>
      <c r="E949" s="253"/>
      <c r="F949" s="254"/>
      <c r="G949" s="254"/>
      <c r="H949" s="254"/>
      <c r="I949" s="254"/>
      <c r="J949" s="254"/>
      <c r="K949" s="253">
        <f t="shared" si="80"/>
        <v>1013228.47</v>
      </c>
      <c r="L949" s="255">
        <f t="shared" si="79"/>
        <v>3.2876712328767124E-4</v>
      </c>
      <c r="M949" s="253">
        <f t="shared" si="81"/>
        <v>333.11620931506849</v>
      </c>
    </row>
    <row r="950" spans="2:13" hidden="1" outlineLevel="1" x14ac:dyDescent="0.25">
      <c r="B950" s="251">
        <v>46307</v>
      </c>
      <c r="C950" s="252"/>
      <c r="D950" s="252"/>
      <c r="E950" s="253"/>
      <c r="F950" s="254"/>
      <c r="G950" s="254"/>
      <c r="H950" s="254"/>
      <c r="I950" s="254"/>
      <c r="J950" s="254"/>
      <c r="K950" s="253">
        <f t="shared" si="80"/>
        <v>1013228.47</v>
      </c>
      <c r="L950" s="255">
        <f t="shared" si="79"/>
        <v>3.2876712328767124E-4</v>
      </c>
      <c r="M950" s="253">
        <f t="shared" si="81"/>
        <v>333.11620931506849</v>
      </c>
    </row>
    <row r="951" spans="2:13" hidden="1" outlineLevel="1" x14ac:dyDescent="0.25">
      <c r="B951" s="251">
        <v>46308</v>
      </c>
      <c r="C951" s="252"/>
      <c r="D951" s="252"/>
      <c r="E951" s="253"/>
      <c r="F951" s="254"/>
      <c r="G951" s="254"/>
      <c r="H951" s="254"/>
      <c r="I951" s="254"/>
      <c r="J951" s="254"/>
      <c r="K951" s="253">
        <f t="shared" si="80"/>
        <v>1013228.47</v>
      </c>
      <c r="L951" s="255">
        <f t="shared" si="79"/>
        <v>3.2876712328767124E-4</v>
      </c>
      <c r="M951" s="253">
        <f t="shared" si="81"/>
        <v>333.11620931506849</v>
      </c>
    </row>
    <row r="952" spans="2:13" hidden="1" outlineLevel="1" x14ac:dyDescent="0.25">
      <c r="B952" s="251">
        <v>46309</v>
      </c>
      <c r="C952" s="252"/>
      <c r="D952" s="252"/>
      <c r="E952" s="253"/>
      <c r="F952" s="254"/>
      <c r="G952" s="254"/>
      <c r="H952" s="254"/>
      <c r="I952" s="254"/>
      <c r="J952" s="254"/>
      <c r="K952" s="253">
        <f t="shared" si="80"/>
        <v>1013228.47</v>
      </c>
      <c r="L952" s="255">
        <f t="shared" si="79"/>
        <v>3.2876712328767124E-4</v>
      </c>
      <c r="M952" s="253">
        <f t="shared" si="81"/>
        <v>333.11620931506849</v>
      </c>
    </row>
    <row r="953" spans="2:13" hidden="1" outlineLevel="1" x14ac:dyDescent="0.25">
      <c r="B953" s="251">
        <v>46310</v>
      </c>
      <c r="C953" s="252"/>
      <c r="D953" s="252"/>
      <c r="E953" s="253"/>
      <c r="F953" s="254"/>
      <c r="G953" s="254"/>
      <c r="H953" s="254"/>
      <c r="I953" s="254"/>
      <c r="J953" s="254"/>
      <c r="K953" s="253">
        <f t="shared" si="80"/>
        <v>1013228.47</v>
      </c>
      <c r="L953" s="255">
        <f t="shared" si="79"/>
        <v>3.2876712328767124E-4</v>
      </c>
      <c r="M953" s="253">
        <f t="shared" si="81"/>
        <v>333.11620931506849</v>
      </c>
    </row>
    <row r="954" spans="2:13" hidden="1" outlineLevel="1" x14ac:dyDescent="0.25">
      <c r="B954" s="251">
        <v>46311</v>
      </c>
      <c r="C954" s="252"/>
      <c r="D954" s="252"/>
      <c r="E954" s="253"/>
      <c r="F954" s="254"/>
      <c r="G954" s="254"/>
      <c r="H954" s="254"/>
      <c r="I954" s="254"/>
      <c r="J954" s="254"/>
      <c r="K954" s="253">
        <f t="shared" si="80"/>
        <v>1013228.47</v>
      </c>
      <c r="L954" s="255">
        <f t="shared" si="79"/>
        <v>3.2876712328767124E-4</v>
      </c>
      <c r="M954" s="253">
        <f t="shared" si="81"/>
        <v>333.11620931506849</v>
      </c>
    </row>
    <row r="955" spans="2:13" hidden="1" outlineLevel="1" x14ac:dyDescent="0.25">
      <c r="B955" s="251">
        <v>46312</v>
      </c>
      <c r="C955" s="252"/>
      <c r="D955" s="252"/>
      <c r="E955" s="253"/>
      <c r="F955" s="254"/>
      <c r="G955" s="254"/>
      <c r="H955" s="254"/>
      <c r="I955" s="254"/>
      <c r="J955" s="254"/>
      <c r="K955" s="253">
        <f t="shared" si="80"/>
        <v>1013228.47</v>
      </c>
      <c r="L955" s="255">
        <f t="shared" si="79"/>
        <v>3.2876712328767124E-4</v>
      </c>
      <c r="M955" s="253">
        <f t="shared" si="81"/>
        <v>333.11620931506849</v>
      </c>
    </row>
    <row r="956" spans="2:13" hidden="1" outlineLevel="1" x14ac:dyDescent="0.25">
      <c r="B956" s="251">
        <v>46313</v>
      </c>
      <c r="C956" s="252"/>
      <c r="D956" s="252"/>
      <c r="E956" s="253"/>
      <c r="F956" s="254"/>
      <c r="G956" s="254"/>
      <c r="H956" s="254"/>
      <c r="I956" s="254"/>
      <c r="J956" s="254"/>
      <c r="K956" s="253">
        <f t="shared" si="80"/>
        <v>1013228.47</v>
      </c>
      <c r="L956" s="255">
        <f t="shared" si="79"/>
        <v>3.2876712328767124E-4</v>
      </c>
      <c r="M956" s="253">
        <f t="shared" si="81"/>
        <v>333.11620931506849</v>
      </c>
    </row>
    <row r="957" spans="2:13" hidden="1" outlineLevel="1" x14ac:dyDescent="0.25">
      <c r="B957" s="251">
        <v>46314</v>
      </c>
      <c r="C957" s="252"/>
      <c r="D957" s="252"/>
      <c r="E957" s="253"/>
      <c r="F957" s="254"/>
      <c r="G957" s="254"/>
      <c r="H957" s="254"/>
      <c r="I957" s="254"/>
      <c r="J957" s="254"/>
      <c r="K957" s="253">
        <f t="shared" si="80"/>
        <v>1013228.47</v>
      </c>
      <c r="L957" s="255">
        <f t="shared" si="79"/>
        <v>3.2876712328767124E-4</v>
      </c>
      <c r="M957" s="253">
        <f t="shared" si="81"/>
        <v>333.11620931506849</v>
      </c>
    </row>
    <row r="958" spans="2:13" hidden="1" outlineLevel="1" x14ac:dyDescent="0.25">
      <c r="B958" s="251">
        <v>46315</v>
      </c>
      <c r="C958" s="252"/>
      <c r="D958" s="252"/>
      <c r="E958" s="253"/>
      <c r="F958" s="254"/>
      <c r="G958" s="254"/>
      <c r="H958" s="254"/>
      <c r="I958" s="254"/>
      <c r="J958" s="254"/>
      <c r="K958" s="253">
        <f t="shared" si="80"/>
        <v>1013228.47</v>
      </c>
      <c r="L958" s="255">
        <f t="shared" si="79"/>
        <v>3.2876712328767124E-4</v>
      </c>
      <c r="M958" s="253">
        <f t="shared" si="81"/>
        <v>333.11620931506849</v>
      </c>
    </row>
    <row r="959" spans="2:13" hidden="1" outlineLevel="1" x14ac:dyDescent="0.25">
      <c r="B959" s="251">
        <v>46316</v>
      </c>
      <c r="C959" s="252"/>
      <c r="D959" s="252"/>
      <c r="E959" s="253"/>
      <c r="F959" s="254"/>
      <c r="G959" s="254"/>
      <c r="H959" s="254"/>
      <c r="I959" s="254"/>
      <c r="J959" s="254"/>
      <c r="K959" s="253">
        <f t="shared" si="80"/>
        <v>1013228.47</v>
      </c>
      <c r="L959" s="255">
        <f t="shared" si="79"/>
        <v>3.2876712328767124E-4</v>
      </c>
      <c r="M959" s="253">
        <f t="shared" si="81"/>
        <v>333.11620931506849</v>
      </c>
    </row>
    <row r="960" spans="2:13" hidden="1" outlineLevel="1" x14ac:dyDescent="0.25">
      <c r="B960" s="251">
        <v>46317</v>
      </c>
      <c r="C960" s="252"/>
      <c r="D960" s="252"/>
      <c r="E960" s="253"/>
      <c r="F960" s="254"/>
      <c r="G960" s="254"/>
      <c r="H960" s="254"/>
      <c r="I960" s="254"/>
      <c r="J960" s="254"/>
      <c r="K960" s="253">
        <f t="shared" si="80"/>
        <v>1013228.47</v>
      </c>
      <c r="L960" s="255">
        <f t="shared" si="79"/>
        <v>3.2876712328767124E-4</v>
      </c>
      <c r="M960" s="253">
        <f t="shared" si="81"/>
        <v>333.11620931506849</v>
      </c>
    </row>
    <row r="961" spans="2:14" hidden="1" outlineLevel="1" x14ac:dyDescent="0.25">
      <c r="B961" s="251">
        <v>46318</v>
      </c>
      <c r="C961" s="252"/>
      <c r="D961" s="252"/>
      <c r="E961" s="253"/>
      <c r="F961" s="254"/>
      <c r="G961" s="254"/>
      <c r="H961" s="254"/>
      <c r="I961" s="254"/>
      <c r="J961" s="254"/>
      <c r="K961" s="253">
        <f t="shared" si="80"/>
        <v>1013228.47</v>
      </c>
      <c r="L961" s="255">
        <f t="shared" si="79"/>
        <v>3.2876712328767124E-4</v>
      </c>
      <c r="M961" s="253">
        <f t="shared" si="81"/>
        <v>333.11620931506849</v>
      </c>
    </row>
    <row r="962" spans="2:14" hidden="1" outlineLevel="1" x14ac:dyDescent="0.25">
      <c r="B962" s="251">
        <v>46319</v>
      </c>
      <c r="C962" s="252"/>
      <c r="D962" s="252"/>
      <c r="E962" s="253"/>
      <c r="F962" s="254"/>
      <c r="G962" s="254"/>
      <c r="H962" s="254"/>
      <c r="I962" s="254"/>
      <c r="J962" s="254"/>
      <c r="K962" s="253">
        <f t="shared" si="80"/>
        <v>1013228.47</v>
      </c>
      <c r="L962" s="255">
        <f t="shared" si="79"/>
        <v>3.2876712328767124E-4</v>
      </c>
      <c r="M962" s="253">
        <f t="shared" si="81"/>
        <v>333.11620931506849</v>
      </c>
    </row>
    <row r="963" spans="2:14" hidden="1" outlineLevel="1" x14ac:dyDescent="0.25">
      <c r="B963" s="251">
        <v>46320</v>
      </c>
      <c r="C963" s="252"/>
      <c r="D963" s="252"/>
      <c r="E963" s="253"/>
      <c r="F963" s="254"/>
      <c r="G963" s="254"/>
      <c r="H963" s="254"/>
      <c r="I963" s="254"/>
      <c r="J963" s="254"/>
      <c r="K963" s="253">
        <f t="shared" si="80"/>
        <v>1013228.47</v>
      </c>
      <c r="L963" s="255">
        <f t="shared" si="79"/>
        <v>3.2876712328767124E-4</v>
      </c>
      <c r="M963" s="253">
        <f t="shared" si="81"/>
        <v>333.11620931506849</v>
      </c>
    </row>
    <row r="964" spans="2:14" hidden="1" outlineLevel="1" x14ac:dyDescent="0.25">
      <c r="B964" s="251">
        <v>46321</v>
      </c>
      <c r="C964" s="252"/>
      <c r="D964" s="252"/>
      <c r="E964" s="253"/>
      <c r="F964" s="254"/>
      <c r="G964" s="254"/>
      <c r="H964" s="254"/>
      <c r="I964" s="254"/>
      <c r="J964" s="254"/>
      <c r="K964" s="253">
        <f t="shared" si="80"/>
        <v>1013228.47</v>
      </c>
      <c r="L964" s="255">
        <f t="shared" si="79"/>
        <v>3.2876712328767124E-4</v>
      </c>
      <c r="M964" s="253">
        <f t="shared" si="81"/>
        <v>333.11620931506849</v>
      </c>
    </row>
    <row r="965" spans="2:14" hidden="1" outlineLevel="1" x14ac:dyDescent="0.25">
      <c r="B965" s="251">
        <v>46322</v>
      </c>
      <c r="C965" s="252"/>
      <c r="D965" s="252"/>
      <c r="E965" s="253"/>
      <c r="F965" s="254"/>
      <c r="G965" s="254"/>
      <c r="H965" s="254"/>
      <c r="I965" s="254"/>
      <c r="J965" s="254"/>
      <c r="K965" s="253">
        <f t="shared" si="80"/>
        <v>1013228.47</v>
      </c>
      <c r="L965" s="255">
        <f t="shared" si="79"/>
        <v>3.2876712328767124E-4</v>
      </c>
      <c r="M965" s="253">
        <f t="shared" si="81"/>
        <v>333.11620931506849</v>
      </c>
    </row>
    <row r="966" spans="2:14" hidden="1" outlineLevel="1" x14ac:dyDescent="0.25">
      <c r="B966" s="251">
        <v>46323</v>
      </c>
      <c r="C966" s="252"/>
      <c r="D966" s="252"/>
      <c r="E966" s="253"/>
      <c r="F966" s="254"/>
      <c r="G966" s="254"/>
      <c r="H966" s="254"/>
      <c r="I966" s="254"/>
      <c r="J966" s="254"/>
      <c r="K966" s="253">
        <f t="shared" si="80"/>
        <v>1013228.47</v>
      </c>
      <c r="L966" s="255">
        <f t="shared" si="79"/>
        <v>3.2876712328767124E-4</v>
      </c>
      <c r="M966" s="253">
        <f t="shared" si="81"/>
        <v>333.11620931506849</v>
      </c>
    </row>
    <row r="967" spans="2:14" hidden="1" outlineLevel="1" x14ac:dyDescent="0.25">
      <c r="B967" s="251">
        <v>46324</v>
      </c>
      <c r="C967" s="252"/>
      <c r="D967" s="252"/>
      <c r="E967" s="253"/>
      <c r="F967" s="254"/>
      <c r="G967" s="254"/>
      <c r="H967" s="254"/>
      <c r="I967" s="254"/>
      <c r="J967" s="254"/>
      <c r="K967" s="253">
        <f t="shared" si="80"/>
        <v>1013228.47</v>
      </c>
      <c r="L967" s="255">
        <f t="shared" si="79"/>
        <v>3.2876712328767124E-4</v>
      </c>
      <c r="M967" s="253">
        <f t="shared" si="81"/>
        <v>333.11620931506849</v>
      </c>
    </row>
    <row r="968" spans="2:14" hidden="1" outlineLevel="1" x14ac:dyDescent="0.25">
      <c r="B968" s="251">
        <v>46325</v>
      </c>
      <c r="C968" s="252"/>
      <c r="D968" s="252"/>
      <c r="E968" s="253"/>
      <c r="F968" s="254"/>
      <c r="G968" s="254"/>
      <c r="H968" s="254"/>
      <c r="I968" s="254"/>
      <c r="J968" s="254"/>
      <c r="K968" s="253">
        <f t="shared" si="80"/>
        <v>1013228.47</v>
      </c>
      <c r="L968" s="255">
        <f t="shared" ref="L968:L1031" si="82">(0.12/365)</f>
        <v>3.2876712328767124E-4</v>
      </c>
      <c r="M968" s="253">
        <f t="shared" si="81"/>
        <v>333.11620931506849</v>
      </c>
    </row>
    <row r="969" spans="2:14" ht="15.75" collapsed="1" thickBot="1" x14ac:dyDescent="0.3">
      <c r="B969" s="251">
        <v>46326</v>
      </c>
      <c r="C969" s="252"/>
      <c r="D969" s="252"/>
      <c r="E969" s="253"/>
      <c r="F969" s="254"/>
      <c r="G969" s="254"/>
      <c r="H969" s="254"/>
      <c r="I969" s="254"/>
      <c r="J969" s="254"/>
      <c r="K969" s="253">
        <f t="shared" si="80"/>
        <v>1013228.47</v>
      </c>
      <c r="L969" s="255">
        <f t="shared" si="82"/>
        <v>3.2876712328767124E-4</v>
      </c>
      <c r="M969" s="253">
        <f t="shared" si="81"/>
        <v>333.11620931506849</v>
      </c>
      <c r="N969" s="411">
        <f>SUM(M939:M969)</f>
        <v>10326.602488767126</v>
      </c>
    </row>
    <row r="970" spans="2:14" ht="15.75" thickBot="1" x14ac:dyDescent="0.3">
      <c r="B970" s="251"/>
      <c r="C970" s="252"/>
      <c r="D970" s="252"/>
      <c r="E970" s="253"/>
      <c r="F970" s="254"/>
      <c r="G970" s="254"/>
      <c r="H970" s="254"/>
      <c r="I970" s="254"/>
      <c r="J970" s="254"/>
      <c r="K970" s="253">
        <f t="shared" si="80"/>
        <v>1013228.47</v>
      </c>
      <c r="L970" s="255">
        <f t="shared" si="82"/>
        <v>3.2876712328767124E-4</v>
      </c>
      <c r="M970" s="253"/>
    </row>
    <row r="971" spans="2:14" hidden="1" outlineLevel="1" x14ac:dyDescent="0.25">
      <c r="B971" s="251">
        <v>46327</v>
      </c>
      <c r="C971" s="252"/>
      <c r="D971" s="252"/>
      <c r="E971" s="253"/>
      <c r="F971" s="254"/>
      <c r="G971" s="254"/>
      <c r="H971" s="254"/>
      <c r="I971" s="254"/>
      <c r="J971" s="254"/>
      <c r="K971" s="253">
        <f t="shared" si="80"/>
        <v>1013228.47</v>
      </c>
      <c r="L971" s="255">
        <f t="shared" si="82"/>
        <v>3.2876712328767124E-4</v>
      </c>
      <c r="M971" s="253">
        <f t="shared" si="81"/>
        <v>333.11620931506849</v>
      </c>
    </row>
    <row r="972" spans="2:14" hidden="1" outlineLevel="1" x14ac:dyDescent="0.25">
      <c r="B972" s="251">
        <v>46328</v>
      </c>
      <c r="C972" s="252"/>
      <c r="D972" s="252"/>
      <c r="E972" s="253"/>
      <c r="F972" s="254"/>
      <c r="G972" s="254"/>
      <c r="H972" s="254"/>
      <c r="I972" s="254"/>
      <c r="J972" s="254"/>
      <c r="K972" s="253">
        <f t="shared" si="80"/>
        <v>1013228.47</v>
      </c>
      <c r="L972" s="255">
        <f t="shared" si="82"/>
        <v>3.2876712328767124E-4</v>
      </c>
      <c r="M972" s="253">
        <f t="shared" si="81"/>
        <v>333.11620931506849</v>
      </c>
    </row>
    <row r="973" spans="2:14" hidden="1" outlineLevel="1" x14ac:dyDescent="0.25">
      <c r="B973" s="251">
        <v>46329</v>
      </c>
      <c r="C973" s="252"/>
      <c r="D973" s="252"/>
      <c r="E973" s="253"/>
      <c r="F973" s="254"/>
      <c r="G973" s="254"/>
      <c r="H973" s="254"/>
      <c r="I973" s="254"/>
      <c r="J973" s="254"/>
      <c r="K973" s="253">
        <f t="shared" si="80"/>
        <v>1013228.47</v>
      </c>
      <c r="L973" s="255">
        <f t="shared" si="82"/>
        <v>3.2876712328767124E-4</v>
      </c>
      <c r="M973" s="253">
        <f t="shared" si="81"/>
        <v>333.11620931506849</v>
      </c>
    </row>
    <row r="974" spans="2:14" hidden="1" outlineLevel="1" x14ac:dyDescent="0.25">
      <c r="B974" s="251">
        <v>46330</v>
      </c>
      <c r="C974" s="252"/>
      <c r="D974" s="252"/>
      <c r="E974" s="253"/>
      <c r="F974" s="254"/>
      <c r="G974" s="254"/>
      <c r="H974" s="254"/>
      <c r="I974" s="254"/>
      <c r="J974" s="254"/>
      <c r="K974" s="253">
        <f t="shared" si="80"/>
        <v>1013228.47</v>
      </c>
      <c r="L974" s="255">
        <f t="shared" si="82"/>
        <v>3.2876712328767124E-4</v>
      </c>
      <c r="M974" s="253">
        <f t="shared" si="81"/>
        <v>333.11620931506849</v>
      </c>
    </row>
    <row r="975" spans="2:14" hidden="1" outlineLevel="1" x14ac:dyDescent="0.25">
      <c r="B975" s="251">
        <v>46331</v>
      </c>
      <c r="C975" s="252"/>
      <c r="D975" s="252"/>
      <c r="E975" s="253"/>
      <c r="F975" s="254"/>
      <c r="G975" s="254"/>
      <c r="H975" s="254"/>
      <c r="I975" s="254"/>
      <c r="J975" s="254"/>
      <c r="K975" s="253">
        <f t="shared" si="80"/>
        <v>1013228.47</v>
      </c>
      <c r="L975" s="255">
        <f t="shared" si="82"/>
        <v>3.2876712328767124E-4</v>
      </c>
      <c r="M975" s="253">
        <f t="shared" si="81"/>
        <v>333.11620931506849</v>
      </c>
    </row>
    <row r="976" spans="2:14" hidden="1" outlineLevel="1" x14ac:dyDescent="0.25">
      <c r="B976" s="251">
        <v>46332</v>
      </c>
      <c r="C976" s="252"/>
      <c r="D976" s="252"/>
      <c r="E976" s="253"/>
      <c r="F976" s="254"/>
      <c r="G976" s="254"/>
      <c r="H976" s="254"/>
      <c r="I976" s="254"/>
      <c r="J976" s="254"/>
      <c r="K976" s="253">
        <f t="shared" si="80"/>
        <v>1013228.47</v>
      </c>
      <c r="L976" s="255">
        <f t="shared" si="82"/>
        <v>3.2876712328767124E-4</v>
      </c>
      <c r="M976" s="253">
        <f t="shared" si="81"/>
        <v>333.11620931506849</v>
      </c>
    </row>
    <row r="977" spans="2:13" hidden="1" outlineLevel="1" x14ac:dyDescent="0.25">
      <c r="B977" s="251">
        <v>46333</v>
      </c>
      <c r="C977" s="252"/>
      <c r="D977" s="252"/>
      <c r="E977" s="253"/>
      <c r="F977" s="254"/>
      <c r="G977" s="254"/>
      <c r="H977" s="254"/>
      <c r="I977" s="254"/>
      <c r="J977" s="254"/>
      <c r="K977" s="253">
        <f t="shared" si="80"/>
        <v>1013228.47</v>
      </c>
      <c r="L977" s="255">
        <f t="shared" si="82"/>
        <v>3.2876712328767124E-4</v>
      </c>
      <c r="M977" s="253">
        <f t="shared" si="81"/>
        <v>333.11620931506849</v>
      </c>
    </row>
    <row r="978" spans="2:13" hidden="1" outlineLevel="1" x14ac:dyDescent="0.25">
      <c r="B978" s="251">
        <v>46334</v>
      </c>
      <c r="C978" s="252"/>
      <c r="D978" s="252"/>
      <c r="E978" s="253"/>
      <c r="F978" s="254"/>
      <c r="G978" s="254"/>
      <c r="H978" s="254"/>
      <c r="I978" s="254"/>
      <c r="J978" s="254"/>
      <c r="K978" s="253">
        <f t="shared" si="80"/>
        <v>1013228.47</v>
      </c>
      <c r="L978" s="255">
        <f t="shared" si="82"/>
        <v>3.2876712328767124E-4</v>
      </c>
      <c r="M978" s="253">
        <f t="shared" si="81"/>
        <v>333.11620931506849</v>
      </c>
    </row>
    <row r="979" spans="2:13" hidden="1" outlineLevel="1" x14ac:dyDescent="0.25">
      <c r="B979" s="251">
        <v>46335</v>
      </c>
      <c r="C979" s="252"/>
      <c r="D979" s="252"/>
      <c r="E979" s="253"/>
      <c r="F979" s="254"/>
      <c r="G979" s="254"/>
      <c r="H979" s="254"/>
      <c r="I979" s="254"/>
      <c r="J979" s="254"/>
      <c r="K979" s="253">
        <f t="shared" ref="K979:K1033" si="83">K978+E979</f>
        <v>1013228.47</v>
      </c>
      <c r="L979" s="255">
        <f t="shared" si="82"/>
        <v>3.2876712328767124E-4</v>
      </c>
      <c r="M979" s="253">
        <f t="shared" ref="M979:M1032" si="84">K979*L979</f>
        <v>333.11620931506849</v>
      </c>
    </row>
    <row r="980" spans="2:13" hidden="1" outlineLevel="1" x14ac:dyDescent="0.25">
      <c r="B980" s="251">
        <v>46336</v>
      </c>
      <c r="C980" s="252"/>
      <c r="D980" s="252"/>
      <c r="E980" s="253"/>
      <c r="F980" s="254"/>
      <c r="G980" s="254"/>
      <c r="H980" s="254"/>
      <c r="I980" s="254"/>
      <c r="J980" s="254"/>
      <c r="K980" s="253">
        <f t="shared" si="83"/>
        <v>1013228.47</v>
      </c>
      <c r="L980" s="255">
        <f t="shared" si="82"/>
        <v>3.2876712328767124E-4</v>
      </c>
      <c r="M980" s="253">
        <f t="shared" si="84"/>
        <v>333.11620931506849</v>
      </c>
    </row>
    <row r="981" spans="2:13" hidden="1" outlineLevel="1" x14ac:dyDescent="0.25">
      <c r="B981" s="251">
        <v>46337</v>
      </c>
      <c r="C981" s="252"/>
      <c r="D981" s="252"/>
      <c r="E981" s="253"/>
      <c r="F981" s="254"/>
      <c r="G981" s="254"/>
      <c r="H981" s="254"/>
      <c r="I981" s="254"/>
      <c r="J981" s="254"/>
      <c r="K981" s="253">
        <f t="shared" si="83"/>
        <v>1013228.47</v>
      </c>
      <c r="L981" s="255">
        <f t="shared" si="82"/>
        <v>3.2876712328767124E-4</v>
      </c>
      <c r="M981" s="253">
        <f t="shared" si="84"/>
        <v>333.11620931506849</v>
      </c>
    </row>
    <row r="982" spans="2:13" hidden="1" outlineLevel="1" x14ac:dyDescent="0.25">
      <c r="B982" s="251">
        <v>46338</v>
      </c>
      <c r="C982" s="252"/>
      <c r="D982" s="252"/>
      <c r="E982" s="253"/>
      <c r="F982" s="254"/>
      <c r="G982" s="254"/>
      <c r="H982" s="254"/>
      <c r="I982" s="254"/>
      <c r="J982" s="254"/>
      <c r="K982" s="253">
        <f t="shared" si="83"/>
        <v>1013228.47</v>
      </c>
      <c r="L982" s="255">
        <f t="shared" si="82"/>
        <v>3.2876712328767124E-4</v>
      </c>
      <c r="M982" s="253">
        <f t="shared" si="84"/>
        <v>333.11620931506849</v>
      </c>
    </row>
    <row r="983" spans="2:13" hidden="1" outlineLevel="1" x14ac:dyDescent="0.25">
      <c r="B983" s="251">
        <v>46339</v>
      </c>
      <c r="C983" s="252"/>
      <c r="D983" s="252"/>
      <c r="E983" s="253"/>
      <c r="F983" s="254"/>
      <c r="G983" s="254"/>
      <c r="H983" s="254"/>
      <c r="I983" s="254"/>
      <c r="J983" s="254"/>
      <c r="K983" s="253">
        <f t="shared" si="83"/>
        <v>1013228.47</v>
      </c>
      <c r="L983" s="255">
        <f t="shared" si="82"/>
        <v>3.2876712328767124E-4</v>
      </c>
      <c r="M983" s="253">
        <f t="shared" si="84"/>
        <v>333.11620931506849</v>
      </c>
    </row>
    <row r="984" spans="2:13" hidden="1" outlineLevel="1" x14ac:dyDescent="0.25">
      <c r="B984" s="251">
        <v>46340</v>
      </c>
      <c r="C984" s="252"/>
      <c r="D984" s="252"/>
      <c r="E984" s="253"/>
      <c r="F984" s="254"/>
      <c r="G984" s="254"/>
      <c r="H984" s="254"/>
      <c r="I984" s="254"/>
      <c r="J984" s="254"/>
      <c r="K984" s="253">
        <f t="shared" si="83"/>
        <v>1013228.47</v>
      </c>
      <c r="L984" s="255">
        <f t="shared" si="82"/>
        <v>3.2876712328767124E-4</v>
      </c>
      <c r="M984" s="253">
        <f t="shared" si="84"/>
        <v>333.11620931506849</v>
      </c>
    </row>
    <row r="985" spans="2:13" hidden="1" outlineLevel="1" x14ac:dyDescent="0.25">
      <c r="B985" s="251">
        <v>46341</v>
      </c>
      <c r="C985" s="252"/>
      <c r="D985" s="252"/>
      <c r="E985" s="253"/>
      <c r="F985" s="254"/>
      <c r="G985" s="254"/>
      <c r="H985" s="254"/>
      <c r="I985" s="254"/>
      <c r="J985" s="254"/>
      <c r="K985" s="253">
        <f t="shared" si="83"/>
        <v>1013228.47</v>
      </c>
      <c r="L985" s="255">
        <f t="shared" si="82"/>
        <v>3.2876712328767124E-4</v>
      </c>
      <c r="M985" s="253">
        <f t="shared" si="84"/>
        <v>333.11620931506849</v>
      </c>
    </row>
    <row r="986" spans="2:13" hidden="1" outlineLevel="1" x14ac:dyDescent="0.25">
      <c r="B986" s="251">
        <v>46342</v>
      </c>
      <c r="C986" s="252"/>
      <c r="D986" s="252"/>
      <c r="E986" s="253"/>
      <c r="F986" s="254"/>
      <c r="G986" s="254"/>
      <c r="H986" s="254"/>
      <c r="I986" s="254"/>
      <c r="J986" s="254"/>
      <c r="K986" s="253">
        <f t="shared" si="83"/>
        <v>1013228.47</v>
      </c>
      <c r="L986" s="255">
        <f t="shared" si="82"/>
        <v>3.2876712328767124E-4</v>
      </c>
      <c r="M986" s="253">
        <f t="shared" si="84"/>
        <v>333.11620931506849</v>
      </c>
    </row>
    <row r="987" spans="2:13" hidden="1" outlineLevel="1" x14ac:dyDescent="0.25">
      <c r="B987" s="251">
        <v>46343</v>
      </c>
      <c r="C987" s="252"/>
      <c r="D987" s="252"/>
      <c r="E987" s="253"/>
      <c r="F987" s="254"/>
      <c r="G987" s="254"/>
      <c r="H987" s="254"/>
      <c r="I987" s="254"/>
      <c r="J987" s="254"/>
      <c r="K987" s="253">
        <f t="shared" si="83"/>
        <v>1013228.47</v>
      </c>
      <c r="L987" s="255">
        <f t="shared" si="82"/>
        <v>3.2876712328767124E-4</v>
      </c>
      <c r="M987" s="253">
        <f t="shared" si="84"/>
        <v>333.11620931506849</v>
      </c>
    </row>
    <row r="988" spans="2:13" hidden="1" outlineLevel="1" x14ac:dyDescent="0.25">
      <c r="B988" s="251">
        <v>46344</v>
      </c>
      <c r="C988" s="252"/>
      <c r="D988" s="252"/>
      <c r="E988" s="253"/>
      <c r="F988" s="254"/>
      <c r="G988" s="254"/>
      <c r="H988" s="254"/>
      <c r="I988" s="254"/>
      <c r="J988" s="254"/>
      <c r="K988" s="253">
        <f t="shared" si="83"/>
        <v>1013228.47</v>
      </c>
      <c r="L988" s="255">
        <f t="shared" si="82"/>
        <v>3.2876712328767124E-4</v>
      </c>
      <c r="M988" s="253">
        <f t="shared" si="84"/>
        <v>333.11620931506849</v>
      </c>
    </row>
    <row r="989" spans="2:13" hidden="1" outlineLevel="1" x14ac:dyDescent="0.25">
      <c r="B989" s="251">
        <v>46345</v>
      </c>
      <c r="C989" s="252"/>
      <c r="D989" s="252"/>
      <c r="E989" s="253"/>
      <c r="F989" s="254"/>
      <c r="G989" s="254"/>
      <c r="H989" s="254"/>
      <c r="I989" s="254"/>
      <c r="J989" s="254"/>
      <c r="K989" s="253">
        <f t="shared" si="83"/>
        <v>1013228.47</v>
      </c>
      <c r="L989" s="255">
        <f t="shared" si="82"/>
        <v>3.2876712328767124E-4</v>
      </c>
      <c r="M989" s="253">
        <f t="shared" si="84"/>
        <v>333.11620931506849</v>
      </c>
    </row>
    <row r="990" spans="2:13" hidden="1" outlineLevel="1" x14ac:dyDescent="0.25">
      <c r="B990" s="251">
        <v>46346</v>
      </c>
      <c r="C990" s="252"/>
      <c r="D990" s="252"/>
      <c r="E990" s="253"/>
      <c r="F990" s="254"/>
      <c r="G990" s="254"/>
      <c r="H990" s="254"/>
      <c r="I990" s="254"/>
      <c r="J990" s="254"/>
      <c r="K990" s="253">
        <f t="shared" si="83"/>
        <v>1013228.47</v>
      </c>
      <c r="L990" s="255">
        <f t="shared" si="82"/>
        <v>3.2876712328767124E-4</v>
      </c>
      <c r="M990" s="253">
        <f t="shared" si="84"/>
        <v>333.11620931506849</v>
      </c>
    </row>
    <row r="991" spans="2:13" hidden="1" outlineLevel="1" x14ac:dyDescent="0.25">
      <c r="B991" s="251">
        <v>46347</v>
      </c>
      <c r="C991" s="252"/>
      <c r="D991" s="252"/>
      <c r="E991" s="253"/>
      <c r="F991" s="254"/>
      <c r="G991" s="254"/>
      <c r="H991" s="254"/>
      <c r="I991" s="254"/>
      <c r="J991" s="254"/>
      <c r="K991" s="253">
        <f t="shared" si="83"/>
        <v>1013228.47</v>
      </c>
      <c r="L991" s="255">
        <f t="shared" si="82"/>
        <v>3.2876712328767124E-4</v>
      </c>
      <c r="M991" s="253">
        <f t="shared" si="84"/>
        <v>333.11620931506849</v>
      </c>
    </row>
    <row r="992" spans="2:13" hidden="1" outlineLevel="1" x14ac:dyDescent="0.25">
      <c r="B992" s="251">
        <v>46348</v>
      </c>
      <c r="C992" s="252"/>
      <c r="D992" s="252"/>
      <c r="E992" s="253"/>
      <c r="F992" s="254"/>
      <c r="G992" s="254"/>
      <c r="H992" s="254"/>
      <c r="I992" s="254"/>
      <c r="J992" s="254"/>
      <c r="K992" s="253">
        <f t="shared" si="83"/>
        <v>1013228.47</v>
      </c>
      <c r="L992" s="255">
        <f t="shared" si="82"/>
        <v>3.2876712328767124E-4</v>
      </c>
      <c r="M992" s="253">
        <f t="shared" si="84"/>
        <v>333.11620931506849</v>
      </c>
    </row>
    <row r="993" spans="2:14" hidden="1" outlineLevel="1" x14ac:dyDescent="0.25">
      <c r="B993" s="251">
        <v>46349</v>
      </c>
      <c r="C993" s="252"/>
      <c r="D993" s="252"/>
      <c r="E993" s="253"/>
      <c r="F993" s="254"/>
      <c r="G993" s="254"/>
      <c r="H993" s="254"/>
      <c r="I993" s="254"/>
      <c r="J993" s="254"/>
      <c r="K993" s="253">
        <f t="shared" si="83"/>
        <v>1013228.47</v>
      </c>
      <c r="L993" s="255">
        <f t="shared" si="82"/>
        <v>3.2876712328767124E-4</v>
      </c>
      <c r="M993" s="253">
        <f t="shared" si="84"/>
        <v>333.11620931506849</v>
      </c>
    </row>
    <row r="994" spans="2:14" hidden="1" outlineLevel="1" x14ac:dyDescent="0.25">
      <c r="B994" s="251">
        <v>46350</v>
      </c>
      <c r="C994" s="252"/>
      <c r="D994" s="252"/>
      <c r="E994" s="253"/>
      <c r="F994" s="254"/>
      <c r="G994" s="254"/>
      <c r="H994" s="254"/>
      <c r="I994" s="254"/>
      <c r="J994" s="254"/>
      <c r="K994" s="253">
        <f t="shared" si="83"/>
        <v>1013228.47</v>
      </c>
      <c r="L994" s="255">
        <f t="shared" si="82"/>
        <v>3.2876712328767124E-4</v>
      </c>
      <c r="M994" s="253">
        <f t="shared" si="84"/>
        <v>333.11620931506849</v>
      </c>
    </row>
    <row r="995" spans="2:14" hidden="1" outlineLevel="1" x14ac:dyDescent="0.25">
      <c r="B995" s="251">
        <v>46351</v>
      </c>
      <c r="C995" s="252"/>
      <c r="D995" s="252"/>
      <c r="E995" s="253"/>
      <c r="F995" s="254"/>
      <c r="G995" s="254"/>
      <c r="H995" s="254"/>
      <c r="I995" s="254"/>
      <c r="J995" s="254"/>
      <c r="K995" s="253">
        <f t="shared" si="83"/>
        <v>1013228.47</v>
      </c>
      <c r="L995" s="255">
        <f t="shared" si="82"/>
        <v>3.2876712328767124E-4</v>
      </c>
      <c r="M995" s="253">
        <f t="shared" si="84"/>
        <v>333.11620931506849</v>
      </c>
    </row>
    <row r="996" spans="2:14" hidden="1" outlineLevel="1" x14ac:dyDescent="0.25">
      <c r="B996" s="251">
        <v>46352</v>
      </c>
      <c r="C996" s="252"/>
      <c r="D996" s="252"/>
      <c r="E996" s="253"/>
      <c r="F996" s="254"/>
      <c r="G996" s="254"/>
      <c r="H996" s="254"/>
      <c r="I996" s="254"/>
      <c r="J996" s="254"/>
      <c r="K996" s="253">
        <f t="shared" si="83"/>
        <v>1013228.47</v>
      </c>
      <c r="L996" s="255">
        <f t="shared" si="82"/>
        <v>3.2876712328767124E-4</v>
      </c>
      <c r="M996" s="253">
        <f t="shared" si="84"/>
        <v>333.11620931506849</v>
      </c>
    </row>
    <row r="997" spans="2:14" hidden="1" outlineLevel="1" x14ac:dyDescent="0.25">
      <c r="B997" s="251">
        <v>46353</v>
      </c>
      <c r="C997" s="252"/>
      <c r="D997" s="252"/>
      <c r="E997" s="253"/>
      <c r="F997" s="254"/>
      <c r="G997" s="254"/>
      <c r="H997" s="254"/>
      <c r="I997" s="254"/>
      <c r="J997" s="254"/>
      <c r="K997" s="253">
        <f t="shared" si="83"/>
        <v>1013228.47</v>
      </c>
      <c r="L997" s="255">
        <f t="shared" si="82"/>
        <v>3.2876712328767124E-4</v>
      </c>
      <c r="M997" s="253">
        <f t="shared" si="84"/>
        <v>333.11620931506849</v>
      </c>
    </row>
    <row r="998" spans="2:14" hidden="1" outlineLevel="1" x14ac:dyDescent="0.25">
      <c r="B998" s="251">
        <v>46354</v>
      </c>
      <c r="C998" s="252"/>
      <c r="D998" s="252"/>
      <c r="E998" s="253"/>
      <c r="F998" s="254"/>
      <c r="G998" s="254"/>
      <c r="H998" s="254"/>
      <c r="I998" s="254"/>
      <c r="J998" s="254"/>
      <c r="K998" s="253">
        <f t="shared" si="83"/>
        <v>1013228.47</v>
      </c>
      <c r="L998" s="255">
        <f t="shared" si="82"/>
        <v>3.2876712328767124E-4</v>
      </c>
      <c r="M998" s="253">
        <f t="shared" si="84"/>
        <v>333.11620931506849</v>
      </c>
    </row>
    <row r="999" spans="2:14" hidden="1" outlineLevel="1" x14ac:dyDescent="0.25">
      <c r="B999" s="251">
        <v>46355</v>
      </c>
      <c r="C999" s="252"/>
      <c r="D999" s="252"/>
      <c r="E999" s="253"/>
      <c r="F999" s="254"/>
      <c r="G999" s="254"/>
      <c r="H999" s="254"/>
      <c r="I999" s="254"/>
      <c r="J999" s="254"/>
      <c r="K999" s="253">
        <f t="shared" si="83"/>
        <v>1013228.47</v>
      </c>
      <c r="L999" s="255">
        <f t="shared" si="82"/>
        <v>3.2876712328767124E-4</v>
      </c>
      <c r="M999" s="253">
        <f t="shared" si="84"/>
        <v>333.11620931506849</v>
      </c>
    </row>
    <row r="1000" spans="2:14" ht="15.75" collapsed="1" thickBot="1" x14ac:dyDescent="0.3">
      <c r="B1000" s="251">
        <v>46356</v>
      </c>
      <c r="C1000" s="252"/>
      <c r="D1000" s="252"/>
      <c r="E1000" s="253"/>
      <c r="F1000" s="254"/>
      <c r="G1000" s="254"/>
      <c r="H1000" s="254"/>
      <c r="I1000" s="254"/>
      <c r="J1000" s="254"/>
      <c r="K1000" s="253">
        <f t="shared" si="83"/>
        <v>1013228.47</v>
      </c>
      <c r="L1000" s="255">
        <f t="shared" si="82"/>
        <v>3.2876712328767124E-4</v>
      </c>
      <c r="M1000" s="253">
        <f t="shared" si="84"/>
        <v>333.11620931506849</v>
      </c>
      <c r="N1000" s="411">
        <f>SUM(M971:M1000)</f>
        <v>9993.4862794520577</v>
      </c>
    </row>
    <row r="1001" spans="2:14" ht="15.75" thickBot="1" x14ac:dyDescent="0.3">
      <c r="B1001" s="251"/>
      <c r="C1001" s="252"/>
      <c r="D1001" s="252"/>
      <c r="E1001" s="253"/>
      <c r="F1001" s="254"/>
      <c r="G1001" s="254"/>
      <c r="H1001" s="254"/>
      <c r="I1001" s="254"/>
      <c r="J1001" s="254"/>
      <c r="K1001" s="253">
        <f t="shared" si="83"/>
        <v>1013228.47</v>
      </c>
      <c r="L1001" s="255">
        <f t="shared" si="82"/>
        <v>3.2876712328767124E-4</v>
      </c>
      <c r="M1001" s="253"/>
    </row>
    <row r="1002" spans="2:14" hidden="1" outlineLevel="1" x14ac:dyDescent="0.25">
      <c r="B1002" s="251">
        <v>46357</v>
      </c>
      <c r="C1002" s="252"/>
      <c r="D1002" s="252"/>
      <c r="E1002" s="253"/>
      <c r="F1002" s="254"/>
      <c r="G1002" s="254"/>
      <c r="H1002" s="254"/>
      <c r="I1002" s="254"/>
      <c r="J1002" s="254"/>
      <c r="K1002" s="253">
        <f t="shared" si="83"/>
        <v>1013228.47</v>
      </c>
      <c r="L1002" s="255">
        <f t="shared" si="82"/>
        <v>3.2876712328767124E-4</v>
      </c>
      <c r="M1002" s="253">
        <f t="shared" si="84"/>
        <v>333.11620931506849</v>
      </c>
    </row>
    <row r="1003" spans="2:14" hidden="1" outlineLevel="1" x14ac:dyDescent="0.25">
      <c r="B1003" s="251">
        <v>46358</v>
      </c>
      <c r="C1003" s="252"/>
      <c r="D1003" s="252"/>
      <c r="E1003" s="253"/>
      <c r="F1003" s="254"/>
      <c r="G1003" s="254"/>
      <c r="H1003" s="254"/>
      <c r="I1003" s="254"/>
      <c r="J1003" s="254"/>
      <c r="K1003" s="253">
        <f t="shared" si="83"/>
        <v>1013228.47</v>
      </c>
      <c r="L1003" s="255">
        <f t="shared" si="82"/>
        <v>3.2876712328767124E-4</v>
      </c>
      <c r="M1003" s="253">
        <f t="shared" si="84"/>
        <v>333.11620931506849</v>
      </c>
    </row>
    <row r="1004" spans="2:14" hidden="1" outlineLevel="1" x14ac:dyDescent="0.25">
      <c r="B1004" s="251">
        <v>46359</v>
      </c>
      <c r="C1004" s="252"/>
      <c r="D1004" s="252"/>
      <c r="E1004" s="253"/>
      <c r="F1004" s="254"/>
      <c r="G1004" s="254"/>
      <c r="H1004" s="254"/>
      <c r="I1004" s="254"/>
      <c r="J1004" s="254"/>
      <c r="K1004" s="253">
        <f t="shared" si="83"/>
        <v>1013228.47</v>
      </c>
      <c r="L1004" s="255">
        <f t="shared" si="82"/>
        <v>3.2876712328767124E-4</v>
      </c>
      <c r="M1004" s="253">
        <f t="shared" si="84"/>
        <v>333.11620931506849</v>
      </c>
    </row>
    <row r="1005" spans="2:14" hidden="1" outlineLevel="1" x14ac:dyDescent="0.25">
      <c r="B1005" s="251">
        <v>46360</v>
      </c>
      <c r="C1005" s="252"/>
      <c r="D1005" s="252"/>
      <c r="E1005" s="253"/>
      <c r="F1005" s="254"/>
      <c r="G1005" s="254"/>
      <c r="H1005" s="254"/>
      <c r="I1005" s="254"/>
      <c r="J1005" s="254"/>
      <c r="K1005" s="253">
        <f t="shared" si="83"/>
        <v>1013228.47</v>
      </c>
      <c r="L1005" s="255">
        <f t="shared" si="82"/>
        <v>3.2876712328767124E-4</v>
      </c>
      <c r="M1005" s="253">
        <f t="shared" si="84"/>
        <v>333.11620931506849</v>
      </c>
    </row>
    <row r="1006" spans="2:14" hidden="1" outlineLevel="1" x14ac:dyDescent="0.25">
      <c r="B1006" s="251">
        <v>46361</v>
      </c>
      <c r="C1006" s="252"/>
      <c r="D1006" s="252"/>
      <c r="E1006" s="253"/>
      <c r="F1006" s="254"/>
      <c r="G1006" s="254"/>
      <c r="H1006" s="254"/>
      <c r="I1006" s="254"/>
      <c r="J1006" s="254"/>
      <c r="K1006" s="253">
        <f t="shared" si="83"/>
        <v>1013228.47</v>
      </c>
      <c r="L1006" s="255">
        <f t="shared" si="82"/>
        <v>3.2876712328767124E-4</v>
      </c>
      <c r="M1006" s="253">
        <f t="shared" si="84"/>
        <v>333.11620931506849</v>
      </c>
    </row>
    <row r="1007" spans="2:14" hidden="1" outlineLevel="1" x14ac:dyDescent="0.25">
      <c r="B1007" s="251">
        <v>46362</v>
      </c>
      <c r="C1007" s="252"/>
      <c r="D1007" s="252"/>
      <c r="E1007" s="253"/>
      <c r="F1007" s="254"/>
      <c r="G1007" s="254"/>
      <c r="H1007" s="254"/>
      <c r="I1007" s="254"/>
      <c r="J1007" s="254"/>
      <c r="K1007" s="253">
        <f t="shared" si="83"/>
        <v>1013228.47</v>
      </c>
      <c r="L1007" s="255">
        <f t="shared" si="82"/>
        <v>3.2876712328767124E-4</v>
      </c>
      <c r="M1007" s="253">
        <f t="shared" si="84"/>
        <v>333.11620931506849</v>
      </c>
    </row>
    <row r="1008" spans="2:14" hidden="1" outlineLevel="1" x14ac:dyDescent="0.25">
      <c r="B1008" s="251">
        <v>46363</v>
      </c>
      <c r="C1008" s="252"/>
      <c r="D1008" s="252"/>
      <c r="E1008" s="253"/>
      <c r="F1008" s="254"/>
      <c r="G1008" s="254"/>
      <c r="H1008" s="254"/>
      <c r="I1008" s="254"/>
      <c r="J1008" s="254"/>
      <c r="K1008" s="253">
        <f t="shared" si="83"/>
        <v>1013228.47</v>
      </c>
      <c r="L1008" s="255">
        <f t="shared" si="82"/>
        <v>3.2876712328767124E-4</v>
      </c>
      <c r="M1008" s="253">
        <f t="shared" si="84"/>
        <v>333.11620931506849</v>
      </c>
    </row>
    <row r="1009" spans="2:13" hidden="1" outlineLevel="1" x14ac:dyDescent="0.25">
      <c r="B1009" s="251">
        <v>46364</v>
      </c>
      <c r="C1009" s="252"/>
      <c r="D1009" s="252"/>
      <c r="E1009" s="253"/>
      <c r="F1009" s="254"/>
      <c r="G1009" s="254"/>
      <c r="H1009" s="254"/>
      <c r="I1009" s="254"/>
      <c r="J1009" s="254"/>
      <c r="K1009" s="253">
        <f t="shared" si="83"/>
        <v>1013228.47</v>
      </c>
      <c r="L1009" s="255">
        <f t="shared" si="82"/>
        <v>3.2876712328767124E-4</v>
      </c>
      <c r="M1009" s="253">
        <f t="shared" si="84"/>
        <v>333.11620931506849</v>
      </c>
    </row>
    <row r="1010" spans="2:13" hidden="1" outlineLevel="1" x14ac:dyDescent="0.25">
      <c r="B1010" s="251">
        <v>46365</v>
      </c>
      <c r="C1010" s="252"/>
      <c r="D1010" s="252"/>
      <c r="E1010" s="253"/>
      <c r="F1010" s="254"/>
      <c r="G1010" s="254"/>
      <c r="H1010" s="254"/>
      <c r="I1010" s="254"/>
      <c r="J1010" s="254"/>
      <c r="K1010" s="253">
        <f t="shared" si="83"/>
        <v>1013228.47</v>
      </c>
      <c r="L1010" s="255">
        <f t="shared" si="82"/>
        <v>3.2876712328767124E-4</v>
      </c>
      <c r="M1010" s="253">
        <f t="shared" si="84"/>
        <v>333.11620931506849</v>
      </c>
    </row>
    <row r="1011" spans="2:13" hidden="1" outlineLevel="1" x14ac:dyDescent="0.25">
      <c r="B1011" s="251">
        <v>46366</v>
      </c>
      <c r="C1011" s="252"/>
      <c r="D1011" s="252"/>
      <c r="E1011" s="253"/>
      <c r="F1011" s="254"/>
      <c r="G1011" s="254"/>
      <c r="H1011" s="254"/>
      <c r="I1011" s="254"/>
      <c r="J1011" s="254"/>
      <c r="K1011" s="253">
        <f t="shared" si="83"/>
        <v>1013228.47</v>
      </c>
      <c r="L1011" s="255">
        <f t="shared" si="82"/>
        <v>3.2876712328767124E-4</v>
      </c>
      <c r="M1011" s="253">
        <f t="shared" si="84"/>
        <v>333.11620931506849</v>
      </c>
    </row>
    <row r="1012" spans="2:13" hidden="1" outlineLevel="1" x14ac:dyDescent="0.25">
      <c r="B1012" s="251">
        <v>46367</v>
      </c>
      <c r="C1012" s="252"/>
      <c r="D1012" s="252"/>
      <c r="E1012" s="253"/>
      <c r="F1012" s="254"/>
      <c r="G1012" s="254"/>
      <c r="H1012" s="254"/>
      <c r="I1012" s="254"/>
      <c r="J1012" s="254"/>
      <c r="K1012" s="253">
        <f t="shared" si="83"/>
        <v>1013228.47</v>
      </c>
      <c r="L1012" s="255">
        <f t="shared" si="82"/>
        <v>3.2876712328767124E-4</v>
      </c>
      <c r="M1012" s="253">
        <f t="shared" si="84"/>
        <v>333.11620931506849</v>
      </c>
    </row>
    <row r="1013" spans="2:13" hidden="1" outlineLevel="1" x14ac:dyDescent="0.25">
      <c r="B1013" s="251">
        <v>46368</v>
      </c>
      <c r="C1013" s="252"/>
      <c r="D1013" s="252"/>
      <c r="E1013" s="253"/>
      <c r="F1013" s="254"/>
      <c r="G1013" s="254"/>
      <c r="H1013" s="254"/>
      <c r="I1013" s="254"/>
      <c r="J1013" s="254"/>
      <c r="K1013" s="253">
        <f t="shared" si="83"/>
        <v>1013228.47</v>
      </c>
      <c r="L1013" s="255">
        <f t="shared" si="82"/>
        <v>3.2876712328767124E-4</v>
      </c>
      <c r="M1013" s="253">
        <f t="shared" si="84"/>
        <v>333.11620931506849</v>
      </c>
    </row>
    <row r="1014" spans="2:13" hidden="1" outlineLevel="1" x14ac:dyDescent="0.25">
      <c r="B1014" s="251">
        <v>46369</v>
      </c>
      <c r="C1014" s="252"/>
      <c r="D1014" s="252"/>
      <c r="E1014" s="253"/>
      <c r="F1014" s="254"/>
      <c r="G1014" s="254"/>
      <c r="H1014" s="254"/>
      <c r="I1014" s="254"/>
      <c r="J1014" s="254"/>
      <c r="K1014" s="253">
        <f t="shared" si="83"/>
        <v>1013228.47</v>
      </c>
      <c r="L1014" s="255">
        <f t="shared" si="82"/>
        <v>3.2876712328767124E-4</v>
      </c>
      <c r="M1014" s="253">
        <f t="shared" si="84"/>
        <v>333.11620931506849</v>
      </c>
    </row>
    <row r="1015" spans="2:13" hidden="1" outlineLevel="1" x14ac:dyDescent="0.25">
      <c r="B1015" s="251">
        <v>46370</v>
      </c>
      <c r="C1015" s="252"/>
      <c r="D1015" s="252"/>
      <c r="E1015" s="253"/>
      <c r="F1015" s="254"/>
      <c r="G1015" s="254"/>
      <c r="H1015" s="254"/>
      <c r="I1015" s="254"/>
      <c r="J1015" s="254"/>
      <c r="K1015" s="253">
        <f t="shared" si="83"/>
        <v>1013228.47</v>
      </c>
      <c r="L1015" s="255">
        <f t="shared" si="82"/>
        <v>3.2876712328767124E-4</v>
      </c>
      <c r="M1015" s="253">
        <f t="shared" si="84"/>
        <v>333.11620931506849</v>
      </c>
    </row>
    <row r="1016" spans="2:13" hidden="1" outlineLevel="1" x14ac:dyDescent="0.25">
      <c r="B1016" s="251">
        <v>46371</v>
      </c>
      <c r="C1016" s="252"/>
      <c r="D1016" s="252"/>
      <c r="E1016" s="253"/>
      <c r="F1016" s="254"/>
      <c r="G1016" s="254"/>
      <c r="H1016" s="254"/>
      <c r="I1016" s="254"/>
      <c r="J1016" s="254"/>
      <c r="K1016" s="253">
        <f t="shared" si="83"/>
        <v>1013228.47</v>
      </c>
      <c r="L1016" s="255">
        <f t="shared" si="82"/>
        <v>3.2876712328767124E-4</v>
      </c>
      <c r="M1016" s="253">
        <f t="shared" si="84"/>
        <v>333.11620931506849</v>
      </c>
    </row>
    <row r="1017" spans="2:13" hidden="1" outlineLevel="1" x14ac:dyDescent="0.25">
      <c r="B1017" s="251">
        <v>46372</v>
      </c>
      <c r="C1017" s="252"/>
      <c r="D1017" s="252"/>
      <c r="E1017" s="253"/>
      <c r="F1017" s="254"/>
      <c r="G1017" s="254"/>
      <c r="H1017" s="254"/>
      <c r="I1017" s="254"/>
      <c r="J1017" s="254"/>
      <c r="K1017" s="253">
        <f t="shared" si="83"/>
        <v>1013228.47</v>
      </c>
      <c r="L1017" s="255">
        <f t="shared" si="82"/>
        <v>3.2876712328767124E-4</v>
      </c>
      <c r="M1017" s="253">
        <f t="shared" si="84"/>
        <v>333.11620931506849</v>
      </c>
    </row>
    <row r="1018" spans="2:13" hidden="1" outlineLevel="1" x14ac:dyDescent="0.25">
      <c r="B1018" s="251">
        <v>46373</v>
      </c>
      <c r="C1018" s="252"/>
      <c r="D1018" s="252"/>
      <c r="E1018" s="253"/>
      <c r="F1018" s="254"/>
      <c r="G1018" s="254"/>
      <c r="H1018" s="254"/>
      <c r="I1018" s="254"/>
      <c r="J1018" s="254"/>
      <c r="K1018" s="253">
        <f t="shared" si="83"/>
        <v>1013228.47</v>
      </c>
      <c r="L1018" s="255">
        <f t="shared" si="82"/>
        <v>3.2876712328767124E-4</v>
      </c>
      <c r="M1018" s="253">
        <f t="shared" si="84"/>
        <v>333.11620931506849</v>
      </c>
    </row>
    <row r="1019" spans="2:13" hidden="1" outlineLevel="1" x14ac:dyDescent="0.25">
      <c r="B1019" s="251">
        <v>46374</v>
      </c>
      <c r="C1019" s="252"/>
      <c r="D1019" s="252"/>
      <c r="E1019" s="253"/>
      <c r="F1019" s="254"/>
      <c r="G1019" s="254"/>
      <c r="H1019" s="254"/>
      <c r="I1019" s="254"/>
      <c r="J1019" s="254"/>
      <c r="K1019" s="253">
        <f t="shared" si="83"/>
        <v>1013228.47</v>
      </c>
      <c r="L1019" s="255">
        <f t="shared" si="82"/>
        <v>3.2876712328767124E-4</v>
      </c>
      <c r="M1019" s="253">
        <f t="shared" si="84"/>
        <v>333.11620931506849</v>
      </c>
    </row>
    <row r="1020" spans="2:13" hidden="1" outlineLevel="1" x14ac:dyDescent="0.25">
      <c r="B1020" s="251">
        <v>46375</v>
      </c>
      <c r="C1020" s="252"/>
      <c r="D1020" s="252"/>
      <c r="E1020" s="253"/>
      <c r="F1020" s="254"/>
      <c r="G1020" s="254"/>
      <c r="H1020" s="254"/>
      <c r="I1020" s="254"/>
      <c r="J1020" s="254"/>
      <c r="K1020" s="253">
        <f t="shared" si="83"/>
        <v>1013228.47</v>
      </c>
      <c r="L1020" s="255">
        <f t="shared" si="82"/>
        <v>3.2876712328767124E-4</v>
      </c>
      <c r="M1020" s="253">
        <f t="shared" si="84"/>
        <v>333.11620931506849</v>
      </c>
    </row>
    <row r="1021" spans="2:13" hidden="1" outlineLevel="1" x14ac:dyDescent="0.25">
      <c r="B1021" s="251">
        <v>46376</v>
      </c>
      <c r="C1021" s="252"/>
      <c r="D1021" s="252"/>
      <c r="E1021" s="253"/>
      <c r="F1021" s="254"/>
      <c r="G1021" s="254"/>
      <c r="H1021" s="254"/>
      <c r="I1021" s="254"/>
      <c r="J1021" s="254"/>
      <c r="K1021" s="253">
        <f t="shared" si="83"/>
        <v>1013228.47</v>
      </c>
      <c r="L1021" s="255">
        <f t="shared" si="82"/>
        <v>3.2876712328767124E-4</v>
      </c>
      <c r="M1021" s="253">
        <f t="shared" si="84"/>
        <v>333.11620931506849</v>
      </c>
    </row>
    <row r="1022" spans="2:13" hidden="1" outlineLevel="1" x14ac:dyDescent="0.25">
      <c r="B1022" s="251">
        <v>46377</v>
      </c>
      <c r="C1022" s="252"/>
      <c r="D1022" s="252"/>
      <c r="E1022" s="253"/>
      <c r="F1022" s="254"/>
      <c r="G1022" s="254"/>
      <c r="H1022" s="254"/>
      <c r="I1022" s="254"/>
      <c r="J1022" s="254"/>
      <c r="K1022" s="253">
        <f t="shared" si="83"/>
        <v>1013228.47</v>
      </c>
      <c r="L1022" s="255">
        <f t="shared" si="82"/>
        <v>3.2876712328767124E-4</v>
      </c>
      <c r="M1022" s="253">
        <f t="shared" si="84"/>
        <v>333.11620931506849</v>
      </c>
    </row>
    <row r="1023" spans="2:13" hidden="1" outlineLevel="1" x14ac:dyDescent="0.25">
      <c r="B1023" s="251">
        <v>46378</v>
      </c>
      <c r="C1023" s="252"/>
      <c r="D1023" s="252"/>
      <c r="E1023" s="253"/>
      <c r="F1023" s="254"/>
      <c r="G1023" s="254"/>
      <c r="H1023" s="254"/>
      <c r="I1023" s="254"/>
      <c r="J1023" s="254"/>
      <c r="K1023" s="253">
        <f t="shared" si="83"/>
        <v>1013228.47</v>
      </c>
      <c r="L1023" s="255">
        <f t="shared" si="82"/>
        <v>3.2876712328767124E-4</v>
      </c>
      <c r="M1023" s="253">
        <f t="shared" si="84"/>
        <v>333.11620931506849</v>
      </c>
    </row>
    <row r="1024" spans="2:13" hidden="1" outlineLevel="1" x14ac:dyDescent="0.25">
      <c r="B1024" s="251">
        <v>46379</v>
      </c>
      <c r="C1024" s="252"/>
      <c r="D1024" s="252"/>
      <c r="E1024" s="253"/>
      <c r="F1024" s="254"/>
      <c r="G1024" s="254"/>
      <c r="H1024" s="254"/>
      <c r="I1024" s="254"/>
      <c r="J1024" s="254"/>
      <c r="K1024" s="253">
        <f t="shared" si="83"/>
        <v>1013228.47</v>
      </c>
      <c r="L1024" s="255">
        <f t="shared" si="82"/>
        <v>3.2876712328767124E-4</v>
      </c>
      <c r="M1024" s="253">
        <f t="shared" si="84"/>
        <v>333.11620931506849</v>
      </c>
    </row>
    <row r="1025" spans="2:14" hidden="1" outlineLevel="1" x14ac:dyDescent="0.25">
      <c r="B1025" s="251">
        <v>46380</v>
      </c>
      <c r="C1025" s="252"/>
      <c r="D1025" s="252"/>
      <c r="E1025" s="253"/>
      <c r="F1025" s="254"/>
      <c r="G1025" s="254"/>
      <c r="H1025" s="254"/>
      <c r="I1025" s="254"/>
      <c r="J1025" s="254"/>
      <c r="K1025" s="253">
        <f t="shared" si="83"/>
        <v>1013228.47</v>
      </c>
      <c r="L1025" s="255">
        <f t="shared" si="82"/>
        <v>3.2876712328767124E-4</v>
      </c>
      <c r="M1025" s="253">
        <f t="shared" si="84"/>
        <v>333.11620931506849</v>
      </c>
    </row>
    <row r="1026" spans="2:14" hidden="1" outlineLevel="1" x14ac:dyDescent="0.25">
      <c r="B1026" s="251">
        <v>46381</v>
      </c>
      <c r="C1026" s="252"/>
      <c r="D1026" s="252"/>
      <c r="E1026" s="253"/>
      <c r="F1026" s="254"/>
      <c r="G1026" s="254"/>
      <c r="H1026" s="254"/>
      <c r="I1026" s="254"/>
      <c r="J1026" s="254"/>
      <c r="K1026" s="253">
        <f t="shared" si="83"/>
        <v>1013228.47</v>
      </c>
      <c r="L1026" s="255">
        <f t="shared" si="82"/>
        <v>3.2876712328767124E-4</v>
      </c>
      <c r="M1026" s="253">
        <f t="shared" si="84"/>
        <v>333.11620931506849</v>
      </c>
    </row>
    <row r="1027" spans="2:14" hidden="1" outlineLevel="1" x14ac:dyDescent="0.25">
      <c r="B1027" s="251">
        <v>46382</v>
      </c>
      <c r="C1027" s="252"/>
      <c r="D1027" s="252"/>
      <c r="E1027" s="253"/>
      <c r="F1027" s="254"/>
      <c r="G1027" s="254"/>
      <c r="H1027" s="254"/>
      <c r="I1027" s="254"/>
      <c r="J1027" s="254"/>
      <c r="K1027" s="253">
        <f t="shared" si="83"/>
        <v>1013228.47</v>
      </c>
      <c r="L1027" s="255">
        <f t="shared" si="82"/>
        <v>3.2876712328767124E-4</v>
      </c>
      <c r="M1027" s="253">
        <f t="shared" si="84"/>
        <v>333.11620931506849</v>
      </c>
    </row>
    <row r="1028" spans="2:14" hidden="1" outlineLevel="1" x14ac:dyDescent="0.25">
      <c r="B1028" s="251">
        <v>46383</v>
      </c>
      <c r="C1028" s="252"/>
      <c r="D1028" s="252"/>
      <c r="E1028" s="253"/>
      <c r="F1028" s="254"/>
      <c r="G1028" s="254"/>
      <c r="H1028" s="254"/>
      <c r="I1028" s="254"/>
      <c r="J1028" s="254"/>
      <c r="K1028" s="253">
        <f t="shared" si="83"/>
        <v>1013228.47</v>
      </c>
      <c r="L1028" s="255">
        <f t="shared" si="82"/>
        <v>3.2876712328767124E-4</v>
      </c>
      <c r="M1028" s="253">
        <f t="shared" si="84"/>
        <v>333.11620931506849</v>
      </c>
    </row>
    <row r="1029" spans="2:14" hidden="1" outlineLevel="1" x14ac:dyDescent="0.25">
      <c r="B1029" s="251">
        <v>46384</v>
      </c>
      <c r="C1029" s="252"/>
      <c r="D1029" s="252"/>
      <c r="E1029" s="253"/>
      <c r="F1029" s="254"/>
      <c r="G1029" s="254"/>
      <c r="H1029" s="254"/>
      <c r="I1029" s="254"/>
      <c r="J1029" s="254"/>
      <c r="K1029" s="253">
        <f t="shared" si="83"/>
        <v>1013228.47</v>
      </c>
      <c r="L1029" s="255">
        <f t="shared" si="82"/>
        <v>3.2876712328767124E-4</v>
      </c>
      <c r="M1029" s="253">
        <f t="shared" si="84"/>
        <v>333.11620931506849</v>
      </c>
    </row>
    <row r="1030" spans="2:14" hidden="1" outlineLevel="1" x14ac:dyDescent="0.25">
      <c r="B1030" s="251">
        <v>46385</v>
      </c>
      <c r="C1030" s="252"/>
      <c r="D1030" s="252"/>
      <c r="E1030" s="253"/>
      <c r="F1030" s="254"/>
      <c r="G1030" s="254"/>
      <c r="H1030" s="254"/>
      <c r="I1030" s="254"/>
      <c r="J1030" s="254"/>
      <c r="K1030" s="253">
        <f t="shared" si="83"/>
        <v>1013228.47</v>
      </c>
      <c r="L1030" s="255">
        <f t="shared" si="82"/>
        <v>3.2876712328767124E-4</v>
      </c>
      <c r="M1030" s="253">
        <f t="shared" si="84"/>
        <v>333.11620931506849</v>
      </c>
    </row>
    <row r="1031" spans="2:14" hidden="1" outlineLevel="1" x14ac:dyDescent="0.25">
      <c r="B1031" s="251">
        <v>46386</v>
      </c>
      <c r="C1031" s="252"/>
      <c r="D1031" s="252"/>
      <c r="E1031" s="253"/>
      <c r="F1031" s="254"/>
      <c r="G1031" s="254"/>
      <c r="H1031" s="254"/>
      <c r="I1031" s="254"/>
      <c r="J1031" s="254"/>
      <c r="K1031" s="253">
        <f t="shared" si="83"/>
        <v>1013228.47</v>
      </c>
      <c r="L1031" s="255">
        <f t="shared" si="82"/>
        <v>3.2876712328767124E-4</v>
      </c>
      <c r="M1031" s="253">
        <f t="shared" si="84"/>
        <v>333.11620931506849</v>
      </c>
    </row>
    <row r="1032" spans="2:14" ht="15.75" collapsed="1" thickBot="1" x14ac:dyDescent="0.3">
      <c r="B1032" s="251">
        <f t="shared" ref="B1032" si="85">+B1031+1</f>
        <v>46387</v>
      </c>
      <c r="C1032" s="252"/>
      <c r="D1032" s="252"/>
      <c r="E1032" s="253"/>
      <c r="F1032" s="254"/>
      <c r="G1032" s="254"/>
      <c r="H1032" s="254"/>
      <c r="I1032" s="254"/>
      <c r="J1032" s="254"/>
      <c r="K1032" s="253">
        <f t="shared" si="83"/>
        <v>1013228.47</v>
      </c>
      <c r="L1032" s="255">
        <f t="shared" ref="L1032:L1033" si="86">(0.12/365)</f>
        <v>3.2876712328767124E-4</v>
      </c>
      <c r="M1032" s="253">
        <f t="shared" si="84"/>
        <v>333.11620931506849</v>
      </c>
      <c r="N1032" s="411">
        <f>SUM(M1002:M1032)</f>
        <v>10326.602488767126</v>
      </c>
    </row>
    <row r="1033" spans="2:14" x14ac:dyDescent="0.25">
      <c r="B1033" s="251"/>
      <c r="C1033" s="252"/>
      <c r="D1033" s="252"/>
      <c r="E1033" s="253"/>
      <c r="F1033" s="254"/>
      <c r="G1033" s="254"/>
      <c r="H1033" s="254"/>
      <c r="I1033" s="254"/>
      <c r="J1033" s="254"/>
      <c r="K1033" s="253">
        <f t="shared" si="83"/>
        <v>1013228.47</v>
      </c>
      <c r="L1033" s="255">
        <f t="shared" si="86"/>
        <v>3.2876712328767124E-4</v>
      </c>
      <c r="M1033" s="253"/>
    </row>
    <row r="1034" spans="2:14" ht="15.75" thickBot="1" x14ac:dyDescent="0.3">
      <c r="B1034" s="251"/>
      <c r="C1034" s="252"/>
      <c r="D1034" s="252"/>
      <c r="E1034" s="253"/>
      <c r="F1034" s="254"/>
      <c r="G1034" s="254"/>
      <c r="H1034" s="254"/>
      <c r="I1034" s="254"/>
      <c r="J1034" s="254"/>
      <c r="K1034" s="253"/>
      <c r="L1034" s="255"/>
      <c r="M1034" s="253"/>
    </row>
    <row r="1035" spans="2:14" ht="15.75" thickBot="1" x14ac:dyDescent="0.3">
      <c r="B1035" s="256"/>
      <c r="C1035" s="257"/>
      <c r="D1035" s="257"/>
      <c r="E1035" s="258">
        <f>SUM(E7:E1034)</f>
        <v>1013228.47</v>
      </c>
      <c r="F1035" s="259"/>
      <c r="G1035" s="259"/>
      <c r="H1035" s="259"/>
      <c r="I1035" s="259"/>
      <c r="J1035" s="259"/>
      <c r="K1035" s="260"/>
      <c r="L1035" s="261"/>
      <c r="M1035" s="662">
        <f>SUM(M7:M748)</f>
        <v>174947.02868712289</v>
      </c>
      <c r="N1035" s="418"/>
    </row>
    <row r="1036" spans="2:14" x14ac:dyDescent="0.25">
      <c r="N1036" s="19"/>
    </row>
  </sheetData>
  <autoFilter ref="B4:M683" xr:uid="{2DF5A7D9-8942-4F15-B5B6-FD656C20E82A}"/>
  <mergeCells count="3">
    <mergeCell ref="B2:E2"/>
    <mergeCell ref="B3:E3"/>
    <mergeCell ref="Q3:V4"/>
  </mergeCells>
  <hyperlinks>
    <hyperlink ref="O2" location="Index!A1" display="Home" xr:uid="{58A98DAF-9BF7-44B7-96E0-FE2D27B7F29D}"/>
    <hyperlink ref="O4" location="P_L" display="Profit &amp; Loss" xr:uid="{10C0C968-3155-4494-97AA-5EBBBDFFD3D7}"/>
    <hyperlink ref="O3" location="B_S" display="Balance Sheet" xr:uid="{DD5E25C7-BECC-4ECD-B4CF-40AFB57AB943}"/>
    <hyperlink ref="O5" location="PL_YTD" display="PL-Division (YTD)" xr:uid="{5FA2043B-55DC-45A0-98B9-847466453D3E}"/>
    <hyperlink ref="O6" location="PL_DM" display="PL-Division (Month)" xr:uid="{8BC282EC-BAF2-4906-B17D-1B7661585707}"/>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7BC0-CA85-4EA6-B52D-BB288557DEC3}">
  <sheetPr codeName="Sheet20">
    <tabColor rgb="FFFFFF00"/>
  </sheetPr>
  <dimension ref="B1:K22"/>
  <sheetViews>
    <sheetView showGridLines="0" workbookViewId="0">
      <pane ySplit="8" topLeftCell="A9" activePane="bottomLeft" state="frozen"/>
      <selection pane="bottomLeft" activeCell="A9" sqref="A9"/>
    </sheetView>
  </sheetViews>
  <sheetFormatPr defaultColWidth="9.140625" defaultRowHeight="15" x14ac:dyDescent="0.25"/>
  <cols>
    <col min="1" max="1" width="2.7109375" style="16" customWidth="1"/>
    <col min="2" max="2" width="30.7109375" style="16" customWidth="1"/>
    <col min="3" max="4" width="15.7109375" style="16" customWidth="1"/>
    <col min="5" max="5" width="19.140625" style="16" bestFit="1" customWidth="1"/>
    <col min="6" max="6" width="60.7109375" style="48" customWidth="1"/>
    <col min="7" max="7" width="9.85546875" style="97" bestFit="1" customWidth="1"/>
    <col min="8" max="8" width="15.7109375" style="97" customWidth="1"/>
    <col min="9" max="16384" width="9.140625" style="16"/>
  </cols>
  <sheetData>
    <row r="1" spans="2:11" ht="15.75" thickBot="1" x14ac:dyDescent="0.3"/>
    <row r="2" spans="2:11" ht="15.75" x14ac:dyDescent="0.25">
      <c r="B2" s="140" t="str">
        <f>BS!B2</f>
        <v>Pacific Nexus</v>
      </c>
      <c r="C2" s="222"/>
      <c r="K2" s="151" t="s">
        <v>45</v>
      </c>
    </row>
    <row r="3" spans="2:11" ht="16.5" thickBot="1" x14ac:dyDescent="0.3">
      <c r="B3" s="223" t="str">
        <f>BS!B3</f>
        <v>Period Ending 03/31/2026</v>
      </c>
      <c r="C3" s="123"/>
      <c r="K3" s="238" t="s">
        <v>47</v>
      </c>
    </row>
    <row r="4" spans="2:11" ht="15.75" x14ac:dyDescent="0.25">
      <c r="B4" s="56"/>
      <c r="K4" s="238" t="s">
        <v>46</v>
      </c>
    </row>
    <row r="5" spans="2:11" ht="15.75" x14ac:dyDescent="0.25">
      <c r="B5" s="18" t="str">
        <f>BS!B61</f>
        <v>2250 Intuit Loan</v>
      </c>
      <c r="K5" s="238" t="s">
        <v>34</v>
      </c>
    </row>
    <row r="6" spans="2:11" x14ac:dyDescent="0.25">
      <c r="K6" s="238" t="s">
        <v>36</v>
      </c>
    </row>
    <row r="8" spans="2:11" x14ac:dyDescent="0.25">
      <c r="B8" s="22" t="s">
        <v>638</v>
      </c>
      <c r="C8" s="23">
        <f>BS!C61</f>
        <v>22180.629999999997</v>
      </c>
    </row>
    <row r="9" spans="2:11" ht="15.75" thickBot="1" x14ac:dyDescent="0.3">
      <c r="B9" s="21"/>
      <c r="C9" s="26"/>
    </row>
    <row r="10" spans="2:11" x14ac:dyDescent="0.25">
      <c r="B10" s="289" t="s">
        <v>639</v>
      </c>
      <c r="C10" s="290" t="s">
        <v>472</v>
      </c>
      <c r="D10" s="290" t="s">
        <v>473</v>
      </c>
      <c r="E10" s="290" t="s">
        <v>474</v>
      </c>
      <c r="F10" s="299" t="s">
        <v>475</v>
      </c>
      <c r="G10" s="291" t="s">
        <v>48</v>
      </c>
      <c r="H10" s="292" t="s">
        <v>478</v>
      </c>
    </row>
    <row r="11" spans="2:11" x14ac:dyDescent="0.25">
      <c r="B11" s="293"/>
      <c r="C11" s="27"/>
      <c r="D11" s="27"/>
      <c r="E11" s="27"/>
      <c r="F11" s="102"/>
      <c r="G11" s="99"/>
      <c r="H11" s="294"/>
    </row>
    <row r="12" spans="2:11" ht="30" x14ac:dyDescent="0.25">
      <c r="B12" s="293" t="s">
        <v>948</v>
      </c>
      <c r="C12" s="27" t="s">
        <v>728</v>
      </c>
      <c r="D12" s="27" t="s">
        <v>315</v>
      </c>
      <c r="E12" s="27" t="s">
        <v>901</v>
      </c>
      <c r="F12" s="102" t="s">
        <v>949</v>
      </c>
      <c r="G12" s="99">
        <v>33252</v>
      </c>
      <c r="H12" s="294">
        <f t="shared" ref="H12:H18" si="0">+H11+G12</f>
        <v>33252</v>
      </c>
    </row>
    <row r="13" spans="2:11" x14ac:dyDescent="0.25">
      <c r="B13" s="293" t="s">
        <v>950</v>
      </c>
      <c r="C13" s="27" t="s">
        <v>480</v>
      </c>
      <c r="D13" s="27" t="s">
        <v>315</v>
      </c>
      <c r="E13" s="27" t="s">
        <v>901</v>
      </c>
      <c r="F13" s="102" t="s">
        <v>951</v>
      </c>
      <c r="G13" s="99">
        <v>-2773.08</v>
      </c>
      <c r="H13" s="294">
        <f t="shared" si="0"/>
        <v>30478.92</v>
      </c>
    </row>
    <row r="14" spans="2:11" x14ac:dyDescent="0.25">
      <c r="B14" s="293" t="s">
        <v>950</v>
      </c>
      <c r="C14" s="27" t="s">
        <v>710</v>
      </c>
      <c r="D14" s="27" t="s">
        <v>952</v>
      </c>
      <c r="E14" s="27" t="s">
        <v>315</v>
      </c>
      <c r="F14" s="102" t="s">
        <v>953</v>
      </c>
      <c r="G14" s="99">
        <v>24.95</v>
      </c>
      <c r="H14" s="294">
        <f t="shared" si="0"/>
        <v>30503.87</v>
      </c>
    </row>
    <row r="15" spans="2:11" x14ac:dyDescent="0.25">
      <c r="B15" s="293" t="s">
        <v>954</v>
      </c>
      <c r="C15" s="27" t="s">
        <v>480</v>
      </c>
      <c r="D15" s="27" t="s">
        <v>315</v>
      </c>
      <c r="E15" s="27" t="s">
        <v>901</v>
      </c>
      <c r="F15" s="102" t="s">
        <v>955</v>
      </c>
      <c r="G15" s="99">
        <v>-2777.08</v>
      </c>
      <c r="H15" s="294">
        <f t="shared" si="0"/>
        <v>27726.79</v>
      </c>
    </row>
    <row r="16" spans="2:11" x14ac:dyDescent="0.25">
      <c r="B16" s="293" t="s">
        <v>402</v>
      </c>
      <c r="C16" s="27" t="s">
        <v>480</v>
      </c>
      <c r="D16" s="27" t="s">
        <v>315</v>
      </c>
      <c r="E16" s="27" t="s">
        <v>901</v>
      </c>
      <c r="F16" s="102" t="s">
        <v>955</v>
      </c>
      <c r="G16" s="99">
        <v>-2773.08</v>
      </c>
      <c r="H16" s="294">
        <f t="shared" si="0"/>
        <v>24953.71</v>
      </c>
    </row>
    <row r="17" spans="2:8" x14ac:dyDescent="0.25">
      <c r="B17" s="293" t="s">
        <v>660</v>
      </c>
      <c r="C17" s="27" t="s">
        <v>480</v>
      </c>
      <c r="D17" s="27" t="s">
        <v>315</v>
      </c>
      <c r="E17" s="27" t="s">
        <v>901</v>
      </c>
      <c r="F17" s="102" t="s">
        <v>955</v>
      </c>
      <c r="G17" s="99">
        <v>-2773.08</v>
      </c>
      <c r="H17" s="294">
        <f t="shared" si="0"/>
        <v>22180.629999999997</v>
      </c>
    </row>
    <row r="18" spans="2:8" x14ac:dyDescent="0.25">
      <c r="B18" s="314">
        <v>46022</v>
      </c>
      <c r="C18" s="27" t="s">
        <v>710</v>
      </c>
      <c r="D18" s="27" t="s">
        <v>956</v>
      </c>
      <c r="E18" s="27"/>
      <c r="F18" s="102" t="s">
        <v>957</v>
      </c>
      <c r="G18" s="99">
        <v>-2773.08</v>
      </c>
      <c r="H18" s="294">
        <f t="shared" si="0"/>
        <v>19407.549999999996</v>
      </c>
    </row>
    <row r="19" spans="2:8" x14ac:dyDescent="0.25">
      <c r="B19" s="314">
        <v>46023</v>
      </c>
      <c r="C19" s="27" t="s">
        <v>710</v>
      </c>
      <c r="D19" s="27" t="s">
        <v>1101</v>
      </c>
      <c r="E19" s="27"/>
      <c r="F19" s="102" t="s">
        <v>1102</v>
      </c>
      <c r="G19" s="99">
        <v>2773.08</v>
      </c>
      <c r="H19" s="294">
        <f t="shared" ref="H19" si="1">+H18+G19</f>
        <v>22180.629999999997</v>
      </c>
    </row>
    <row r="20" spans="2:8" x14ac:dyDescent="0.25">
      <c r="B20" s="293"/>
      <c r="C20" s="27"/>
      <c r="D20" s="27"/>
      <c r="E20" s="27"/>
      <c r="F20" s="102"/>
      <c r="G20" s="99"/>
      <c r="H20" s="294"/>
    </row>
    <row r="21" spans="2:8" s="21" customFormat="1" ht="15.75" thickBot="1" x14ac:dyDescent="0.3">
      <c r="B21" s="295" t="s">
        <v>274</v>
      </c>
      <c r="C21" s="296"/>
      <c r="D21" s="296"/>
      <c r="E21" s="296"/>
      <c r="F21" s="300"/>
      <c r="G21" s="297">
        <f>SUM(G12:G20)</f>
        <v>22180.629999999997</v>
      </c>
      <c r="H21" s="298"/>
    </row>
    <row r="22" spans="2:8" ht="15.75" thickTop="1" x14ac:dyDescent="0.25"/>
  </sheetData>
  <hyperlinks>
    <hyperlink ref="K2" location="Index!A1" display="Home" xr:uid="{B9555177-9A62-45B6-94C7-565E38954041}"/>
    <hyperlink ref="K4" location="P_L" display="Profit &amp; Loss" xr:uid="{874B8954-61A1-4CE3-AF69-CF9E9E05ED8A}"/>
    <hyperlink ref="K3" location="B_S" display="Balance Sheet" xr:uid="{7DB9AB18-1B80-430F-9C47-9A4E66249EE8}"/>
    <hyperlink ref="K5" location="PL_YTD" display="PL-Division (YTD)" xr:uid="{51775C3E-08C4-4278-8B84-0CAAF9EF71D5}"/>
    <hyperlink ref="K6" location="PL_DM" display="PL-Division (Month)" xr:uid="{3D80AF81-0723-49DC-BE65-5C90DE30FE14}"/>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B2C1-7E4E-4B92-9844-9BED2EE0E842}">
  <sheetPr codeName="Sheet21">
    <tabColor rgb="FFFFFF00"/>
  </sheetPr>
  <dimension ref="B1:J85"/>
  <sheetViews>
    <sheetView showGridLines="0" workbookViewId="0">
      <pane ySplit="8" topLeftCell="A9" activePane="bottomLeft" state="frozen"/>
      <selection pane="bottomLeft" activeCell="A9" sqref="A9"/>
    </sheetView>
  </sheetViews>
  <sheetFormatPr defaultColWidth="9.140625" defaultRowHeight="15" outlineLevelRow="1" x14ac:dyDescent="0.25"/>
  <cols>
    <col min="1" max="1" width="2.7109375" style="69" customWidth="1"/>
    <col min="2" max="2" width="20" style="69" bestFit="1" customWidth="1"/>
    <col min="3" max="3" width="16.85546875" style="69" customWidth="1"/>
    <col min="4" max="4" width="22.28515625" style="69" customWidth="1"/>
    <col min="5" max="5" width="95.140625" style="69" customWidth="1"/>
    <col min="6" max="6" width="28.85546875" style="70" bestFit="1" customWidth="1"/>
    <col min="7" max="16384" width="9.140625" style="69"/>
  </cols>
  <sheetData>
    <row r="1" spans="2:6" ht="15.75" thickBot="1" x14ac:dyDescent="0.3"/>
    <row r="2" spans="2:6" ht="15.75" x14ac:dyDescent="0.25">
      <c r="B2" s="140" t="str">
        <f>BS!B2</f>
        <v>Pacific Nexus</v>
      </c>
      <c r="C2" s="141"/>
      <c r="D2" s="142"/>
      <c r="E2" s="142"/>
      <c r="F2" s="221" t="s">
        <v>45</v>
      </c>
    </row>
    <row r="3" spans="2:6" ht="15.75" x14ac:dyDescent="0.25">
      <c r="B3" s="143" t="str">
        <f>BS!B3</f>
        <v>Period Ending 03/31/2026</v>
      </c>
      <c r="C3" s="18"/>
      <c r="D3" s="16"/>
      <c r="E3" s="16"/>
      <c r="F3" s="242" t="s">
        <v>47</v>
      </c>
    </row>
    <row r="4" spans="2:6" ht="15.75" x14ac:dyDescent="0.25">
      <c r="B4" s="144"/>
      <c r="C4" s="56"/>
      <c r="D4" s="16"/>
      <c r="E4" s="16"/>
      <c r="F4" s="242" t="s">
        <v>46</v>
      </c>
    </row>
    <row r="5" spans="2:6" ht="15.75" x14ac:dyDescent="0.25">
      <c r="B5" s="145" t="str">
        <f>BS!B69</f>
        <v>2705 Shareholder Loan - Zaheer</v>
      </c>
      <c r="C5" s="18"/>
      <c r="D5" s="16"/>
      <c r="E5" s="16"/>
      <c r="F5" s="242" t="s">
        <v>34</v>
      </c>
    </row>
    <row r="6" spans="2:6" x14ac:dyDescent="0.25">
      <c r="B6" s="687" t="s">
        <v>638</v>
      </c>
      <c r="C6" s="686">
        <f>+BS!C69</f>
        <v>1013228.47</v>
      </c>
      <c r="D6" s="417"/>
      <c r="E6" s="417"/>
      <c r="F6" s="242" t="s">
        <v>36</v>
      </c>
    </row>
    <row r="7" spans="2:6" ht="15.75" thickBot="1" x14ac:dyDescent="0.3">
      <c r="B7" s="72"/>
      <c r="C7" s="71"/>
      <c r="D7" s="71"/>
      <c r="E7" s="71"/>
      <c r="F7" s="84"/>
    </row>
    <row r="8" spans="2:6" s="133" customFormat="1" ht="15.75" thickBot="1" x14ac:dyDescent="0.3">
      <c r="B8" s="130" t="s">
        <v>639</v>
      </c>
      <c r="C8" s="131" t="s">
        <v>706</v>
      </c>
      <c r="D8" s="131" t="s">
        <v>474</v>
      </c>
      <c r="E8" s="131" t="s">
        <v>475</v>
      </c>
      <c r="F8" s="132" t="s">
        <v>48</v>
      </c>
    </row>
    <row r="9" spans="2:6" x14ac:dyDescent="0.25">
      <c r="B9" s="134"/>
      <c r="F9" s="86"/>
    </row>
    <row r="10" spans="2:6" hidden="1" outlineLevel="1" x14ac:dyDescent="0.25">
      <c r="B10" s="135" t="s">
        <v>709</v>
      </c>
      <c r="C10" s="286" t="s">
        <v>710</v>
      </c>
      <c r="D10" s="286"/>
      <c r="E10" s="286" t="s">
        <v>907</v>
      </c>
      <c r="F10" s="85">
        <v>231234.61</v>
      </c>
    </row>
    <row r="11" spans="2:6" hidden="1" outlineLevel="1" x14ac:dyDescent="0.25">
      <c r="B11" s="135" t="s">
        <v>709</v>
      </c>
      <c r="C11" s="286" t="s">
        <v>710</v>
      </c>
      <c r="D11" s="286"/>
      <c r="E11" s="286" t="s">
        <v>910</v>
      </c>
      <c r="F11" s="85">
        <v>46405.39</v>
      </c>
    </row>
    <row r="12" spans="2:6" hidden="1" outlineLevel="1" x14ac:dyDescent="0.25">
      <c r="B12" s="135" t="s">
        <v>709</v>
      </c>
      <c r="C12" s="286" t="s">
        <v>728</v>
      </c>
      <c r="D12" s="286" t="s">
        <v>911</v>
      </c>
      <c r="E12" s="286" t="s">
        <v>912</v>
      </c>
      <c r="F12" s="85">
        <v>2000</v>
      </c>
    </row>
    <row r="13" spans="2:6" hidden="1" outlineLevel="1" x14ac:dyDescent="0.25">
      <c r="B13" s="135" t="s">
        <v>958</v>
      </c>
      <c r="C13" s="286" t="s">
        <v>728</v>
      </c>
      <c r="D13" s="286" t="s">
        <v>911</v>
      </c>
      <c r="E13" s="286" t="s">
        <v>913</v>
      </c>
      <c r="F13" s="85">
        <v>150000</v>
      </c>
    </row>
    <row r="14" spans="2:6" hidden="1" outlineLevel="1" x14ac:dyDescent="0.25">
      <c r="B14" s="135" t="s">
        <v>959</v>
      </c>
      <c r="C14" s="286" t="s">
        <v>486</v>
      </c>
      <c r="D14" s="286" t="s">
        <v>828</v>
      </c>
      <c r="E14" s="286" t="s">
        <v>915</v>
      </c>
      <c r="F14" s="85">
        <v>-15000</v>
      </c>
    </row>
    <row r="15" spans="2:6" hidden="1" outlineLevel="1" x14ac:dyDescent="0.25">
      <c r="B15" s="135" t="s">
        <v>960</v>
      </c>
      <c r="C15" s="286" t="s">
        <v>728</v>
      </c>
      <c r="D15" s="286" t="s">
        <v>911</v>
      </c>
      <c r="E15" s="286" t="s">
        <v>916</v>
      </c>
      <c r="F15" s="85">
        <v>100000</v>
      </c>
    </row>
    <row r="16" spans="2:6" hidden="1" outlineLevel="1" x14ac:dyDescent="0.25">
      <c r="B16" s="135" t="s">
        <v>961</v>
      </c>
      <c r="C16" s="286" t="s">
        <v>728</v>
      </c>
      <c r="D16" s="286" t="s">
        <v>917</v>
      </c>
      <c r="E16" s="286" t="s">
        <v>918</v>
      </c>
      <c r="F16" s="85">
        <v>8000</v>
      </c>
    </row>
    <row r="17" spans="2:6" hidden="1" outlineLevel="1" x14ac:dyDescent="0.25">
      <c r="B17" s="135" t="s">
        <v>962</v>
      </c>
      <c r="C17" s="286" t="s">
        <v>728</v>
      </c>
      <c r="D17" s="286" t="s">
        <v>911</v>
      </c>
      <c r="E17" s="286" t="s">
        <v>916</v>
      </c>
      <c r="F17" s="85">
        <v>65000</v>
      </c>
    </row>
    <row r="18" spans="2:6" hidden="1" outlineLevel="1" x14ac:dyDescent="0.25">
      <c r="B18" s="135" t="s">
        <v>963</v>
      </c>
      <c r="C18" s="286" t="s">
        <v>728</v>
      </c>
      <c r="D18" s="286" t="s">
        <v>911</v>
      </c>
      <c r="E18" s="286" t="s">
        <v>916</v>
      </c>
      <c r="F18" s="85">
        <v>75000</v>
      </c>
    </row>
    <row r="19" spans="2:6" hidden="1" outlineLevel="1" x14ac:dyDescent="0.25">
      <c r="B19" s="135" t="s">
        <v>964</v>
      </c>
      <c r="C19" s="286" t="s">
        <v>728</v>
      </c>
      <c r="D19" s="286" t="s">
        <v>911</v>
      </c>
      <c r="E19" s="286" t="s">
        <v>916</v>
      </c>
      <c r="F19" s="85">
        <v>35000</v>
      </c>
    </row>
    <row r="20" spans="2:6" hidden="1" outlineLevel="1" x14ac:dyDescent="0.25">
      <c r="B20" s="135" t="s">
        <v>965</v>
      </c>
      <c r="C20" s="286" t="s">
        <v>728</v>
      </c>
      <c r="D20" s="286" t="s">
        <v>911</v>
      </c>
      <c r="E20" s="286" t="s">
        <v>919</v>
      </c>
      <c r="F20" s="85">
        <v>30000</v>
      </c>
    </row>
    <row r="21" spans="2:6" hidden="1" outlineLevel="1" x14ac:dyDescent="0.25">
      <c r="B21" s="135" t="s">
        <v>966</v>
      </c>
      <c r="C21" s="286" t="s">
        <v>728</v>
      </c>
      <c r="D21" s="286" t="s">
        <v>911</v>
      </c>
      <c r="E21" s="286" t="s">
        <v>920</v>
      </c>
      <c r="F21" s="85">
        <v>30000</v>
      </c>
    </row>
    <row r="22" spans="2:6" hidden="1" outlineLevel="1" x14ac:dyDescent="0.25">
      <c r="B22" s="135" t="s">
        <v>722</v>
      </c>
      <c r="C22" s="286" t="s">
        <v>710</v>
      </c>
      <c r="D22" s="286"/>
      <c r="E22" s="286" t="s">
        <v>922</v>
      </c>
      <c r="F22" s="85">
        <v>-1026.79</v>
      </c>
    </row>
    <row r="23" spans="2:6" collapsed="1" x14ac:dyDescent="0.25">
      <c r="B23" s="135"/>
      <c r="C23" s="286"/>
      <c r="D23" s="286"/>
      <c r="E23" s="286"/>
      <c r="F23" s="85"/>
    </row>
    <row r="24" spans="2:6" ht="15.75" thickBot="1" x14ac:dyDescent="0.3">
      <c r="B24" s="136" t="s">
        <v>967</v>
      </c>
      <c r="C24" s="137"/>
      <c r="D24" s="137"/>
      <c r="E24" s="137"/>
      <c r="F24" s="138">
        <f>SUM(F10:F22)</f>
        <v>756613.21</v>
      </c>
    </row>
    <row r="25" spans="2:6" x14ac:dyDescent="0.25">
      <c r="B25" s="135"/>
      <c r="C25" s="286"/>
      <c r="D25" s="286"/>
      <c r="E25" s="286"/>
      <c r="F25" s="85"/>
    </row>
    <row r="26" spans="2:6" hidden="1" outlineLevel="1" x14ac:dyDescent="0.25">
      <c r="B26" s="135" t="s">
        <v>968</v>
      </c>
      <c r="C26" s="286" t="s">
        <v>728</v>
      </c>
      <c r="D26" s="286" t="s">
        <v>923</v>
      </c>
      <c r="E26" s="286" t="s">
        <v>924</v>
      </c>
      <c r="F26" s="85">
        <v>15000</v>
      </c>
    </row>
    <row r="27" spans="2:6" hidden="1" outlineLevel="1" x14ac:dyDescent="0.25">
      <c r="B27" s="135" t="s">
        <v>969</v>
      </c>
      <c r="C27" s="286" t="s">
        <v>486</v>
      </c>
      <c r="D27" s="286" t="s">
        <v>926</v>
      </c>
      <c r="E27" s="286" t="s">
        <v>927</v>
      </c>
      <c r="F27" s="85">
        <v>-250</v>
      </c>
    </row>
    <row r="28" spans="2:6" hidden="1" outlineLevel="1" x14ac:dyDescent="0.25">
      <c r="B28" s="135" t="s">
        <v>970</v>
      </c>
      <c r="C28" s="286" t="s">
        <v>503</v>
      </c>
      <c r="D28" s="286" t="s">
        <v>923</v>
      </c>
      <c r="E28" s="286" t="s">
        <v>928</v>
      </c>
      <c r="F28" s="85">
        <v>77.819999999999993</v>
      </c>
    </row>
    <row r="29" spans="2:6" hidden="1" outlineLevel="1" x14ac:dyDescent="0.25">
      <c r="B29" s="135" t="s">
        <v>971</v>
      </c>
      <c r="C29" s="286" t="s">
        <v>480</v>
      </c>
      <c r="D29" s="286" t="s">
        <v>911</v>
      </c>
      <c r="E29" s="286" t="s">
        <v>929</v>
      </c>
      <c r="F29" s="85">
        <v>-12500</v>
      </c>
    </row>
    <row r="30" spans="2:6" hidden="1" outlineLevel="1" x14ac:dyDescent="0.25">
      <c r="B30" s="135" t="s">
        <v>972</v>
      </c>
      <c r="C30" s="286" t="s">
        <v>480</v>
      </c>
      <c r="D30" s="286" t="s">
        <v>911</v>
      </c>
      <c r="E30" s="286" t="s">
        <v>929</v>
      </c>
      <c r="F30" s="85">
        <v>-12500</v>
      </c>
    </row>
    <row r="31" spans="2:6" hidden="1" outlineLevel="1" x14ac:dyDescent="0.25">
      <c r="B31" s="135" t="s">
        <v>973</v>
      </c>
      <c r="C31" s="286" t="s">
        <v>480</v>
      </c>
      <c r="D31" s="286" t="s">
        <v>911</v>
      </c>
      <c r="E31" s="286" t="s">
        <v>929</v>
      </c>
      <c r="F31" s="85">
        <v>-12500</v>
      </c>
    </row>
    <row r="32" spans="2:6" hidden="1" outlineLevel="1" x14ac:dyDescent="0.25">
      <c r="B32" s="135" t="s">
        <v>833</v>
      </c>
      <c r="C32" s="286" t="s">
        <v>480</v>
      </c>
      <c r="D32" s="286" t="s">
        <v>911</v>
      </c>
      <c r="E32" s="286" t="s">
        <v>929</v>
      </c>
      <c r="F32" s="85">
        <v>-12500</v>
      </c>
    </row>
    <row r="33" spans="2:6" hidden="1" outlineLevel="1" x14ac:dyDescent="0.25">
      <c r="B33" s="135" t="s">
        <v>974</v>
      </c>
      <c r="C33" s="286" t="s">
        <v>728</v>
      </c>
      <c r="D33" s="286" t="s">
        <v>911</v>
      </c>
      <c r="E33" s="286" t="s">
        <v>930</v>
      </c>
      <c r="F33" s="85">
        <v>30000</v>
      </c>
    </row>
    <row r="34" spans="2:6" hidden="1" outlineLevel="1" x14ac:dyDescent="0.25">
      <c r="B34" s="135" t="s">
        <v>975</v>
      </c>
      <c r="C34" s="286" t="s">
        <v>480</v>
      </c>
      <c r="D34" s="286" t="s">
        <v>911</v>
      </c>
      <c r="E34" s="286" t="s">
        <v>929</v>
      </c>
      <c r="F34" s="85">
        <v>-12500</v>
      </c>
    </row>
    <row r="35" spans="2:6" hidden="1" outlineLevel="1" x14ac:dyDescent="0.25">
      <c r="B35" s="135" t="s">
        <v>976</v>
      </c>
      <c r="C35" s="286" t="s">
        <v>728</v>
      </c>
      <c r="D35" s="286" t="s">
        <v>911</v>
      </c>
      <c r="E35" s="286" t="s">
        <v>931</v>
      </c>
      <c r="F35" s="85">
        <v>10000</v>
      </c>
    </row>
    <row r="36" spans="2:6" hidden="1" outlineLevel="1" x14ac:dyDescent="0.25">
      <c r="B36" s="135" t="s">
        <v>977</v>
      </c>
      <c r="C36" s="286" t="s">
        <v>480</v>
      </c>
      <c r="D36" s="286" t="s">
        <v>911</v>
      </c>
      <c r="E36" s="286" t="s">
        <v>929</v>
      </c>
      <c r="F36" s="85">
        <v>-8000</v>
      </c>
    </row>
    <row r="37" spans="2:6" hidden="1" outlineLevel="1" x14ac:dyDescent="0.25">
      <c r="B37" s="135" t="s">
        <v>978</v>
      </c>
      <c r="C37" s="286" t="s">
        <v>480</v>
      </c>
      <c r="D37" s="286" t="s">
        <v>911</v>
      </c>
      <c r="E37" s="286" t="s">
        <v>929</v>
      </c>
      <c r="F37" s="85">
        <v>-4500</v>
      </c>
    </row>
    <row r="38" spans="2:6" hidden="1" outlineLevel="1" x14ac:dyDescent="0.25">
      <c r="B38" s="135" t="s">
        <v>950</v>
      </c>
      <c r="C38" s="286" t="s">
        <v>480</v>
      </c>
      <c r="D38" s="286" t="s">
        <v>979</v>
      </c>
      <c r="E38" s="286" t="s">
        <v>980</v>
      </c>
      <c r="F38" s="85">
        <v>-144.19999999999999</v>
      </c>
    </row>
    <row r="39" spans="2:6" hidden="1" outlineLevel="1" x14ac:dyDescent="0.25">
      <c r="B39" s="135" t="s">
        <v>760</v>
      </c>
      <c r="C39" s="286" t="s">
        <v>480</v>
      </c>
      <c r="D39" s="286" t="s">
        <v>911</v>
      </c>
      <c r="E39" s="286" t="s">
        <v>929</v>
      </c>
      <c r="F39" s="85">
        <v>-12500</v>
      </c>
    </row>
    <row r="40" spans="2:6" hidden="1" outlineLevel="1" x14ac:dyDescent="0.25">
      <c r="B40" s="135" t="s">
        <v>981</v>
      </c>
      <c r="C40" s="286" t="s">
        <v>480</v>
      </c>
      <c r="D40" s="286" t="s">
        <v>911</v>
      </c>
      <c r="E40" s="286" t="s">
        <v>929</v>
      </c>
      <c r="F40" s="85">
        <v>-12500</v>
      </c>
    </row>
    <row r="41" spans="2:6" hidden="1" outlineLevel="1" x14ac:dyDescent="0.25">
      <c r="B41" s="135" t="s">
        <v>982</v>
      </c>
      <c r="C41" s="286" t="s">
        <v>710</v>
      </c>
      <c r="D41" s="286"/>
      <c r="E41" s="286" t="s">
        <v>933</v>
      </c>
      <c r="F41" s="85">
        <v>1639.5</v>
      </c>
    </row>
    <row r="42" spans="2:6" hidden="1" outlineLevel="1" x14ac:dyDescent="0.25">
      <c r="B42" s="135" t="s">
        <v>983</v>
      </c>
      <c r="C42" s="286" t="s">
        <v>480</v>
      </c>
      <c r="D42" s="286" t="s">
        <v>911</v>
      </c>
      <c r="E42" s="286" t="s">
        <v>929</v>
      </c>
      <c r="F42" s="85">
        <v>-12500</v>
      </c>
    </row>
    <row r="43" spans="2:6" hidden="1" outlineLevel="1" x14ac:dyDescent="0.25">
      <c r="B43" s="135" t="s">
        <v>984</v>
      </c>
      <c r="C43" s="286" t="s">
        <v>728</v>
      </c>
      <c r="D43" s="286" t="s">
        <v>911</v>
      </c>
      <c r="E43" s="286" t="s">
        <v>985</v>
      </c>
      <c r="F43" s="85">
        <v>5000</v>
      </c>
    </row>
    <row r="44" spans="2:6" hidden="1" outlineLevel="1" x14ac:dyDescent="0.25">
      <c r="B44" s="135" t="s">
        <v>432</v>
      </c>
      <c r="C44" s="286" t="s">
        <v>480</v>
      </c>
      <c r="D44" s="286" t="s">
        <v>911</v>
      </c>
      <c r="E44" s="286" t="s">
        <v>929</v>
      </c>
      <c r="F44" s="85">
        <v>-12500</v>
      </c>
    </row>
    <row r="45" spans="2:6" hidden="1" outlineLevel="1" x14ac:dyDescent="0.25">
      <c r="B45" s="135" t="s">
        <v>986</v>
      </c>
      <c r="C45" s="286" t="s">
        <v>480</v>
      </c>
      <c r="D45" s="286" t="s">
        <v>911</v>
      </c>
      <c r="E45" s="286" t="s">
        <v>929</v>
      </c>
      <c r="F45" s="85">
        <v>-12500</v>
      </c>
    </row>
    <row r="46" spans="2:6" hidden="1" outlineLevel="1" x14ac:dyDescent="0.25">
      <c r="B46" s="135" t="s">
        <v>826</v>
      </c>
      <c r="C46" s="286" t="s">
        <v>480</v>
      </c>
      <c r="D46" s="286" t="s">
        <v>911</v>
      </c>
      <c r="E46" s="286" t="s">
        <v>929</v>
      </c>
      <c r="F46" s="85">
        <v>-12500</v>
      </c>
    </row>
    <row r="47" spans="2:6" hidden="1" outlineLevel="1" x14ac:dyDescent="0.25">
      <c r="B47" s="135" t="s">
        <v>509</v>
      </c>
      <c r="C47" s="286" t="s">
        <v>480</v>
      </c>
      <c r="D47" s="286" t="s">
        <v>911</v>
      </c>
      <c r="E47" s="286" t="s">
        <v>929</v>
      </c>
      <c r="F47" s="85">
        <v>-12500</v>
      </c>
    </row>
    <row r="48" spans="2:6" hidden="1" outlineLevel="1" x14ac:dyDescent="0.25">
      <c r="B48" s="135" t="s">
        <v>545</v>
      </c>
      <c r="C48" s="286" t="s">
        <v>728</v>
      </c>
      <c r="D48" s="286" t="s">
        <v>911</v>
      </c>
      <c r="E48" s="286" t="s">
        <v>936</v>
      </c>
      <c r="F48" s="85">
        <v>170000</v>
      </c>
    </row>
    <row r="49" spans="2:6" hidden="1" outlineLevel="1" x14ac:dyDescent="0.25">
      <c r="B49" s="135" t="s">
        <v>587</v>
      </c>
      <c r="C49" s="286" t="s">
        <v>710</v>
      </c>
      <c r="D49" s="286" t="s">
        <v>315</v>
      </c>
      <c r="E49" s="286" t="s">
        <v>938</v>
      </c>
      <c r="F49" s="85">
        <v>540</v>
      </c>
    </row>
    <row r="50" spans="2:6" hidden="1" outlineLevel="1" x14ac:dyDescent="0.25">
      <c r="B50" s="135" t="s">
        <v>987</v>
      </c>
      <c r="C50" s="286" t="s">
        <v>480</v>
      </c>
      <c r="D50" s="286" t="s">
        <v>911</v>
      </c>
      <c r="E50" s="286" t="s">
        <v>929</v>
      </c>
      <c r="F50" s="85">
        <v>-12500</v>
      </c>
    </row>
    <row r="51" spans="2:6" hidden="1" outlineLevel="1" x14ac:dyDescent="0.25">
      <c r="B51" s="135" t="s">
        <v>682</v>
      </c>
      <c r="C51" s="286" t="s">
        <v>480</v>
      </c>
      <c r="D51" s="286" t="s">
        <v>911</v>
      </c>
      <c r="E51" s="286" t="s">
        <v>929</v>
      </c>
      <c r="F51" s="85">
        <v>-12500</v>
      </c>
    </row>
    <row r="52" spans="2:6" hidden="1" outlineLevel="1" x14ac:dyDescent="0.25">
      <c r="B52" s="135" t="s">
        <v>660</v>
      </c>
      <c r="C52" s="286" t="s">
        <v>728</v>
      </c>
      <c r="D52" s="286" t="s">
        <v>911</v>
      </c>
      <c r="E52" s="286" t="s">
        <v>939</v>
      </c>
      <c r="F52" s="85">
        <v>100000</v>
      </c>
    </row>
    <row r="53" spans="2:6" hidden="1" outlineLevel="1" x14ac:dyDescent="0.25">
      <c r="B53" s="135" t="s">
        <v>405</v>
      </c>
      <c r="C53" s="286" t="s">
        <v>480</v>
      </c>
      <c r="D53" s="286" t="s">
        <v>911</v>
      </c>
      <c r="E53" s="286" t="s">
        <v>929</v>
      </c>
      <c r="F53" s="85">
        <v>-12500</v>
      </c>
    </row>
    <row r="54" spans="2:6" hidden="1" outlineLevel="1" x14ac:dyDescent="0.25">
      <c r="B54" s="135" t="s">
        <v>988</v>
      </c>
      <c r="C54" s="286" t="s">
        <v>710</v>
      </c>
      <c r="D54" s="286" t="s">
        <v>315</v>
      </c>
      <c r="E54" s="286" t="s">
        <v>941</v>
      </c>
      <c r="F54" s="85">
        <v>2250</v>
      </c>
    </row>
    <row r="55" spans="2:6" hidden="1" outlineLevel="1" x14ac:dyDescent="0.25">
      <c r="B55" s="135" t="s">
        <v>989</v>
      </c>
      <c r="C55" s="286" t="s">
        <v>728</v>
      </c>
      <c r="D55" s="286" t="s">
        <v>911</v>
      </c>
      <c r="E55" s="286" t="s">
        <v>942</v>
      </c>
      <c r="F55" s="85">
        <v>30000</v>
      </c>
    </row>
    <row r="56" spans="2:6" collapsed="1" x14ac:dyDescent="0.25">
      <c r="B56" s="135"/>
      <c r="C56" s="286"/>
      <c r="D56" s="286"/>
      <c r="E56" s="286"/>
      <c r="F56" s="85"/>
    </row>
    <row r="57" spans="2:6" ht="15.75" thickBot="1" x14ac:dyDescent="0.3">
      <c r="B57" s="136" t="s">
        <v>990</v>
      </c>
      <c r="C57" s="137"/>
      <c r="D57" s="137"/>
      <c r="E57" s="137"/>
      <c r="F57" s="138">
        <f>SUM(F26:F55)</f>
        <v>164113.12</v>
      </c>
    </row>
    <row r="58" spans="2:6" x14ac:dyDescent="0.25">
      <c r="B58" s="73"/>
      <c r="C58" s="286"/>
      <c r="D58" s="286"/>
      <c r="E58" s="286"/>
      <c r="F58" s="87"/>
    </row>
    <row r="59" spans="2:6" x14ac:dyDescent="0.25">
      <c r="B59" s="135" t="s">
        <v>411</v>
      </c>
      <c r="C59" s="286" t="s">
        <v>728</v>
      </c>
      <c r="D59" s="286" t="s">
        <v>911</v>
      </c>
      <c r="E59" s="286" t="s">
        <v>991</v>
      </c>
      <c r="F59" s="87">
        <v>40000</v>
      </c>
    </row>
    <row r="60" spans="2:6" x14ac:dyDescent="0.25">
      <c r="B60" s="135" t="s">
        <v>411</v>
      </c>
      <c r="C60" s="286" t="s">
        <v>480</v>
      </c>
      <c r="D60" s="286" t="s">
        <v>911</v>
      </c>
      <c r="E60" s="286" t="s">
        <v>992</v>
      </c>
      <c r="F60" s="87">
        <v>-650</v>
      </c>
    </row>
    <row r="61" spans="2:6" x14ac:dyDescent="0.25">
      <c r="B61" s="135" t="s">
        <v>415</v>
      </c>
      <c r="C61" s="286" t="s">
        <v>480</v>
      </c>
      <c r="D61" s="286" t="s">
        <v>911</v>
      </c>
      <c r="E61" s="286" t="s">
        <v>929</v>
      </c>
      <c r="F61" s="87">
        <v>-7500</v>
      </c>
    </row>
    <row r="62" spans="2:6" x14ac:dyDescent="0.25">
      <c r="B62" s="135" t="s">
        <v>410</v>
      </c>
      <c r="C62" s="286" t="s">
        <v>728</v>
      </c>
      <c r="D62" s="286" t="s">
        <v>911</v>
      </c>
      <c r="E62" s="286" t="s">
        <v>946</v>
      </c>
      <c r="F62" s="87">
        <v>26000</v>
      </c>
    </row>
    <row r="63" spans="2:6" x14ac:dyDescent="0.25">
      <c r="B63" s="135" t="s">
        <v>425</v>
      </c>
      <c r="C63" s="286" t="s">
        <v>480</v>
      </c>
      <c r="D63" s="286" t="s">
        <v>911</v>
      </c>
      <c r="E63" s="286" t="s">
        <v>929</v>
      </c>
      <c r="F63" s="87">
        <v>-7500</v>
      </c>
    </row>
    <row r="64" spans="2:6" x14ac:dyDescent="0.25">
      <c r="B64" s="663" t="s">
        <v>866</v>
      </c>
      <c r="C64" s="286" t="s">
        <v>480</v>
      </c>
      <c r="D64" s="286" t="s">
        <v>911</v>
      </c>
      <c r="E64" s="286" t="s">
        <v>929</v>
      </c>
      <c r="F64" s="87">
        <v>-7500</v>
      </c>
    </row>
    <row r="65" spans="2:7" x14ac:dyDescent="0.25">
      <c r="B65" s="663" t="s">
        <v>685</v>
      </c>
      <c r="C65" s="286" t="s">
        <v>480</v>
      </c>
      <c r="D65" s="286" t="s">
        <v>1096</v>
      </c>
      <c r="E65" s="286" t="s">
        <v>1097</v>
      </c>
      <c r="F65" s="87">
        <v>-32.28</v>
      </c>
    </row>
    <row r="66" spans="2:7" x14ac:dyDescent="0.25">
      <c r="B66" s="663" t="s">
        <v>877</v>
      </c>
      <c r="C66" s="286" t="s">
        <v>480</v>
      </c>
      <c r="D66" s="286" t="s">
        <v>911</v>
      </c>
      <c r="E66" s="286" t="s">
        <v>929</v>
      </c>
      <c r="F66" s="87">
        <v>-7500</v>
      </c>
    </row>
    <row r="67" spans="2:7" x14ac:dyDescent="0.25">
      <c r="B67" s="663" t="s">
        <v>696</v>
      </c>
      <c r="C67" s="286" t="s">
        <v>1098</v>
      </c>
      <c r="D67" s="286" t="s">
        <v>1096</v>
      </c>
      <c r="E67" s="286" t="s">
        <v>1097</v>
      </c>
      <c r="F67" s="87">
        <v>-190.84</v>
      </c>
    </row>
    <row r="68" spans="2:7" x14ac:dyDescent="0.25">
      <c r="B68" s="663" t="s">
        <v>696</v>
      </c>
      <c r="C68" s="286" t="s">
        <v>1098</v>
      </c>
      <c r="D68" s="286" t="s">
        <v>1096</v>
      </c>
      <c r="E68" s="286" t="s">
        <v>1097</v>
      </c>
      <c r="F68" s="87">
        <v>-50</v>
      </c>
    </row>
    <row r="69" spans="2:7" x14ac:dyDescent="0.25">
      <c r="B69" s="663" t="s">
        <v>860</v>
      </c>
      <c r="C69" s="286" t="s">
        <v>728</v>
      </c>
      <c r="D69" s="286" t="s">
        <v>911</v>
      </c>
      <c r="E69" s="286" t="s">
        <v>1090</v>
      </c>
      <c r="F69" s="87">
        <v>20000</v>
      </c>
    </row>
    <row r="70" spans="2:7" x14ac:dyDescent="0.25">
      <c r="B70" s="663" t="s">
        <v>1099</v>
      </c>
      <c r="C70" s="286" t="s">
        <v>728</v>
      </c>
      <c r="D70" s="286" t="s">
        <v>911</v>
      </c>
      <c r="E70" s="286" t="s">
        <v>1092</v>
      </c>
      <c r="F70" s="87">
        <v>30000</v>
      </c>
    </row>
    <row r="71" spans="2:7" x14ac:dyDescent="0.25">
      <c r="B71" s="663" t="s">
        <v>1100</v>
      </c>
      <c r="C71" s="286" t="s">
        <v>728</v>
      </c>
      <c r="D71" s="286" t="s">
        <v>911</v>
      </c>
      <c r="E71" s="286" t="s">
        <v>1093</v>
      </c>
      <c r="F71" s="87">
        <v>10000</v>
      </c>
    </row>
    <row r="72" spans="2:7" x14ac:dyDescent="0.25">
      <c r="B72" s="663" t="s">
        <v>876</v>
      </c>
      <c r="C72" s="286" t="s">
        <v>480</v>
      </c>
      <c r="D72" s="286" t="s">
        <v>1094</v>
      </c>
      <c r="E72" s="286" t="s">
        <v>1095</v>
      </c>
      <c r="F72" s="87">
        <v>-2574.7399999999998</v>
      </c>
    </row>
    <row r="73" spans="2:7" x14ac:dyDescent="0.25">
      <c r="B73" s="73"/>
      <c r="C73" s="286"/>
      <c r="D73" s="286"/>
      <c r="E73" s="461"/>
      <c r="F73" s="87"/>
    </row>
    <row r="74" spans="2:7" ht="15.75" thickBot="1" x14ac:dyDescent="0.3">
      <c r="B74" s="136" t="s">
        <v>993</v>
      </c>
      <c r="C74" s="137"/>
      <c r="D74" s="137"/>
      <c r="E74" s="137"/>
      <c r="F74" s="138">
        <f>SUM(F59:F73)</f>
        <v>92502.14</v>
      </c>
    </row>
    <row r="75" spans="2:7" ht="15.75" thickBot="1" x14ac:dyDescent="0.3">
      <c r="B75" s="414"/>
      <c r="C75" s="415"/>
      <c r="D75" s="415"/>
      <c r="E75" s="415"/>
      <c r="F75" s="416"/>
    </row>
    <row r="76" spans="2:7" ht="15.75" thickBot="1" x14ac:dyDescent="0.3">
      <c r="B76" s="136"/>
      <c r="C76" s="137"/>
      <c r="D76" s="137"/>
      <c r="E76" s="137"/>
      <c r="F76" s="138"/>
    </row>
    <row r="77" spans="2:7" ht="15.75" thickBot="1" x14ac:dyDescent="0.3">
      <c r="B77" s="136" t="s">
        <v>994</v>
      </c>
      <c r="C77" s="137"/>
      <c r="D77" s="137"/>
      <c r="E77" s="137"/>
      <c r="F77" s="139">
        <f>+F24+F57+F74</f>
        <v>1013228.47</v>
      </c>
    </row>
    <row r="78" spans="2:7" x14ac:dyDescent="0.25">
      <c r="B78" s="73"/>
      <c r="C78" s="286"/>
      <c r="D78" s="286"/>
      <c r="E78" s="286"/>
      <c r="F78" s="87"/>
      <c r="G78" s="70"/>
    </row>
    <row r="79" spans="2:7" x14ac:dyDescent="0.25">
      <c r="B79" s="135"/>
      <c r="C79" s="286"/>
      <c r="D79" s="286"/>
      <c r="E79" s="286"/>
      <c r="F79" s="85"/>
    </row>
    <row r="80" spans="2:7" ht="15.75" thickBot="1" x14ac:dyDescent="0.3">
      <c r="B80" s="72"/>
      <c r="C80" s="71"/>
      <c r="D80" s="71"/>
      <c r="E80" s="71"/>
      <c r="F80" s="84"/>
    </row>
    <row r="83" spans="2:10" x14ac:dyDescent="0.25">
      <c r="B83" s="664"/>
      <c r="C83" s="665"/>
      <c r="D83" s="665"/>
      <c r="E83" s="665"/>
      <c r="F83" s="665"/>
      <c r="G83" s="665"/>
      <c r="H83" s="665"/>
      <c r="I83" s="666"/>
      <c r="J83" s="666"/>
    </row>
    <row r="84" spans="2:10" x14ac:dyDescent="0.25">
      <c r="B84" s="664"/>
      <c r="C84" s="665"/>
      <c r="D84" s="665"/>
      <c r="E84" s="665"/>
      <c r="F84" s="665"/>
      <c r="G84" s="665"/>
      <c r="H84" s="665"/>
      <c r="I84" s="666"/>
      <c r="J84" s="666"/>
    </row>
    <row r="85" spans="2:10" x14ac:dyDescent="0.25">
      <c r="B85" s="664"/>
      <c r="C85" s="665"/>
      <c r="D85" s="665"/>
      <c r="E85" s="665"/>
      <c r="F85" s="665"/>
      <c r="G85" s="665"/>
      <c r="H85" s="665"/>
      <c r="I85" s="666"/>
      <c r="J85" s="666"/>
    </row>
  </sheetData>
  <hyperlinks>
    <hyperlink ref="F2" location="Index!A1" display="Home" xr:uid="{AA31F401-B061-4DAD-AEDE-3260DECEE2BD}"/>
    <hyperlink ref="F4" location="P_L" display="Profit &amp; Loss" xr:uid="{33376CAF-B51E-4826-B6B4-2825A88FA18B}"/>
    <hyperlink ref="F3" location="B_S" display="Balance Sheet" xr:uid="{7E196ACF-58AD-4E4D-89C0-70C2BEAE202C}"/>
    <hyperlink ref="F5" location="PL_YTD" display="PL-Division (YTD)" xr:uid="{4F702B5E-A9A3-4750-9FAB-EB57DBCB68E5}"/>
    <hyperlink ref="F6" location="PL_DM" display="PL-Division (Month)" xr:uid="{43F4BCC2-FA82-46E1-8F88-4630BE9019D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43561-B7C4-47A2-9B49-99E82FCDABB0}">
  <sheetPr codeName="Sheet22">
    <tabColor rgb="FFFFFF00"/>
  </sheetPr>
  <dimension ref="B1:K21"/>
  <sheetViews>
    <sheetView showGridLines="0" workbookViewId="0">
      <pane ySplit="8" topLeftCell="A9" activePane="bottomLeft" state="frozen"/>
      <selection pane="bottomLeft" activeCell="A9" sqref="A9"/>
    </sheetView>
  </sheetViews>
  <sheetFormatPr defaultColWidth="9.140625" defaultRowHeight="15" outlineLevelRow="1" x14ac:dyDescent="0.25"/>
  <cols>
    <col min="1" max="1" width="2.7109375" style="16" customWidth="1"/>
    <col min="2" max="2" width="30.7109375" style="16" customWidth="1"/>
    <col min="3" max="4" width="15.7109375" style="16" customWidth="1"/>
    <col min="5" max="5" width="19.140625" style="16" bestFit="1" customWidth="1"/>
    <col min="6" max="6" width="60.7109375" style="48" customWidth="1"/>
    <col min="7" max="7" width="9.85546875" style="97" bestFit="1" customWidth="1"/>
    <col min="8" max="8" width="15.7109375" style="97" customWidth="1"/>
    <col min="9" max="16384" width="9.140625" style="16"/>
  </cols>
  <sheetData>
    <row r="1" spans="2:11" ht="15.75" thickBot="1" x14ac:dyDescent="0.3"/>
    <row r="2" spans="2:11" ht="15.75" x14ac:dyDescent="0.25">
      <c r="B2" s="140" t="str">
        <f>BS!B2</f>
        <v>Pacific Nexus</v>
      </c>
      <c r="C2" s="222"/>
      <c r="K2" s="151" t="s">
        <v>45</v>
      </c>
    </row>
    <row r="3" spans="2:11" ht="16.5" thickBot="1" x14ac:dyDescent="0.3">
      <c r="B3" s="223" t="str">
        <f>BS!B3</f>
        <v>Period Ending 03/31/2026</v>
      </c>
      <c r="C3" s="123"/>
      <c r="K3" s="238" t="s">
        <v>47</v>
      </c>
    </row>
    <row r="4" spans="2:11" ht="15.75" x14ac:dyDescent="0.25">
      <c r="B4" s="56"/>
      <c r="K4" s="238" t="s">
        <v>46</v>
      </c>
    </row>
    <row r="5" spans="2:11" ht="15.75" x14ac:dyDescent="0.25">
      <c r="B5" s="18" t="str">
        <f>BS!B68</f>
        <v>2535 Ricoh Lease - 5120</v>
      </c>
      <c r="K5" s="238" t="s">
        <v>34</v>
      </c>
    </row>
    <row r="6" spans="2:11" x14ac:dyDescent="0.25">
      <c r="K6" s="238" t="s">
        <v>36</v>
      </c>
    </row>
    <row r="8" spans="2:11" x14ac:dyDescent="0.25">
      <c r="B8" s="22" t="s">
        <v>638</v>
      </c>
      <c r="C8" s="23">
        <f>BS!C68</f>
        <v>52500</v>
      </c>
    </row>
    <row r="9" spans="2:11" ht="15.75" thickBot="1" x14ac:dyDescent="0.3">
      <c r="B9" s="21"/>
      <c r="C9" s="26"/>
    </row>
    <row r="10" spans="2:11" x14ac:dyDescent="0.25">
      <c r="B10" s="289" t="s">
        <v>639</v>
      </c>
      <c r="C10" s="290" t="s">
        <v>472</v>
      </c>
      <c r="D10" s="290" t="s">
        <v>473</v>
      </c>
      <c r="E10" s="290" t="s">
        <v>474</v>
      </c>
      <c r="F10" s="299" t="s">
        <v>475</v>
      </c>
      <c r="G10" s="291" t="s">
        <v>48</v>
      </c>
      <c r="H10" s="292" t="s">
        <v>478</v>
      </c>
    </row>
    <row r="11" spans="2:11" x14ac:dyDescent="0.25">
      <c r="B11" s="293"/>
      <c r="C11" s="27"/>
      <c r="D11" s="27"/>
      <c r="E11" s="27"/>
      <c r="F11" s="102"/>
      <c r="G11" s="99"/>
      <c r="H11" s="294"/>
    </row>
    <row r="12" spans="2:11" outlineLevel="1" x14ac:dyDescent="0.25">
      <c r="B12" s="293" t="s">
        <v>733</v>
      </c>
      <c r="C12" s="27" t="s">
        <v>710</v>
      </c>
      <c r="D12" s="27" t="s">
        <v>995</v>
      </c>
      <c r="E12" s="27" t="s">
        <v>315</v>
      </c>
      <c r="F12" s="102" t="s">
        <v>996</v>
      </c>
      <c r="G12" s="99">
        <v>60000</v>
      </c>
      <c r="H12" s="294">
        <f t="shared" ref="H12:H18" si="0">+H11+G12</f>
        <v>60000</v>
      </c>
    </row>
    <row r="13" spans="2:11" ht="30" outlineLevel="1" x14ac:dyDescent="0.25">
      <c r="B13" s="293" t="s">
        <v>733</v>
      </c>
      <c r="C13" s="27" t="s">
        <v>486</v>
      </c>
      <c r="D13" s="27" t="s">
        <v>997</v>
      </c>
      <c r="E13" s="27" t="s">
        <v>871</v>
      </c>
      <c r="F13" s="102" t="s">
        <v>998</v>
      </c>
      <c r="G13" s="99">
        <v>-1250</v>
      </c>
      <c r="H13" s="294">
        <f t="shared" si="0"/>
        <v>58750</v>
      </c>
    </row>
    <row r="14" spans="2:11" ht="30" outlineLevel="1" x14ac:dyDescent="0.25">
      <c r="B14" s="293" t="s">
        <v>733</v>
      </c>
      <c r="C14" s="27" t="s">
        <v>486</v>
      </c>
      <c r="D14" s="27" t="s">
        <v>999</v>
      </c>
      <c r="E14" s="27" t="s">
        <v>871</v>
      </c>
      <c r="F14" s="102" t="s">
        <v>998</v>
      </c>
      <c r="G14" s="99">
        <v>-1250</v>
      </c>
      <c r="H14" s="294">
        <f t="shared" si="0"/>
        <v>57500</v>
      </c>
    </row>
    <row r="15" spans="2:11" ht="60" outlineLevel="1" x14ac:dyDescent="0.25">
      <c r="B15" s="293" t="s">
        <v>1000</v>
      </c>
      <c r="C15" s="27" t="s">
        <v>486</v>
      </c>
      <c r="D15" s="27" t="s">
        <v>1001</v>
      </c>
      <c r="E15" s="27" t="s">
        <v>871</v>
      </c>
      <c r="F15" s="102" t="s">
        <v>1002</v>
      </c>
      <c r="G15" s="99">
        <v>-1250</v>
      </c>
      <c r="H15" s="294">
        <f t="shared" si="0"/>
        <v>56250</v>
      </c>
    </row>
    <row r="16" spans="2:11" ht="60" x14ac:dyDescent="0.25">
      <c r="B16" s="314">
        <v>46038</v>
      </c>
      <c r="C16" s="27" t="s">
        <v>486</v>
      </c>
      <c r="D16" s="45">
        <v>70018097</v>
      </c>
      <c r="E16" s="27" t="s">
        <v>871</v>
      </c>
      <c r="F16" s="102" t="s">
        <v>1002</v>
      </c>
      <c r="G16" s="99">
        <v>-1250</v>
      </c>
      <c r="H16" s="294">
        <f t="shared" si="0"/>
        <v>55000</v>
      </c>
    </row>
    <row r="17" spans="2:8" ht="60" x14ac:dyDescent="0.25">
      <c r="B17" s="314">
        <v>46070</v>
      </c>
      <c r="C17" s="27" t="s">
        <v>486</v>
      </c>
      <c r="D17" s="45">
        <v>700181146</v>
      </c>
      <c r="E17" s="27" t="s">
        <v>871</v>
      </c>
      <c r="F17" s="102" t="s">
        <v>1002</v>
      </c>
      <c r="G17" s="99">
        <v>-1250</v>
      </c>
      <c r="H17" s="294">
        <f t="shared" si="0"/>
        <v>53750</v>
      </c>
    </row>
    <row r="18" spans="2:8" ht="60" x14ac:dyDescent="0.25">
      <c r="B18" s="314">
        <v>46098</v>
      </c>
      <c r="C18" s="27" t="s">
        <v>486</v>
      </c>
      <c r="D18" s="45">
        <v>70018193</v>
      </c>
      <c r="E18" s="27" t="s">
        <v>871</v>
      </c>
      <c r="F18" s="102" t="s">
        <v>1002</v>
      </c>
      <c r="G18" s="99">
        <v>-1250</v>
      </c>
      <c r="H18" s="294">
        <f t="shared" si="0"/>
        <v>52500</v>
      </c>
    </row>
    <row r="19" spans="2:8" x14ac:dyDescent="0.25">
      <c r="B19" s="293"/>
      <c r="C19" s="27"/>
      <c r="D19" s="27"/>
      <c r="E19" s="27"/>
      <c r="F19" s="102"/>
      <c r="G19" s="99"/>
      <c r="H19" s="294"/>
    </row>
    <row r="20" spans="2:8" s="21" customFormat="1" ht="15.75" thickBot="1" x14ac:dyDescent="0.3">
      <c r="B20" s="295" t="s">
        <v>274</v>
      </c>
      <c r="C20" s="296"/>
      <c r="D20" s="296"/>
      <c r="E20" s="296"/>
      <c r="F20" s="300"/>
      <c r="G20" s="297">
        <f>SUM(G12:G19)</f>
        <v>52500</v>
      </c>
      <c r="H20" s="298"/>
    </row>
    <row r="21" spans="2:8" ht="15.75" thickTop="1" x14ac:dyDescent="0.25"/>
  </sheetData>
  <hyperlinks>
    <hyperlink ref="K2" location="Index!A1" display="Home" xr:uid="{D9DCC926-7038-4FF8-8881-4A73984AFAFE}"/>
    <hyperlink ref="K4" location="P_L" display="Profit &amp; Loss" xr:uid="{6D202DF4-8574-40FB-A41F-82A62551263F}"/>
    <hyperlink ref="K3" location="B_S" display="Balance Sheet" xr:uid="{4A10743D-2415-49A1-AC11-0027AEB6378F}"/>
    <hyperlink ref="K5" location="PL_YTD" display="PL-Division (YTD)" xr:uid="{68090110-FCCE-4E7B-B6C5-5B0CF431CEB5}"/>
    <hyperlink ref="K6" location="PL_DM" display="PL-Division (Month)" xr:uid="{9F2CE9D1-DF83-48AE-B5CA-9300E0C212DF}"/>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D323-15D8-4D51-8A23-196C757BEF99}">
  <sheetPr codeName="Sheet23"/>
  <dimension ref="B1:AN15"/>
  <sheetViews>
    <sheetView showGridLines="0" workbookViewId="0">
      <pane ySplit="8" topLeftCell="A9" activePane="bottomLeft" state="frozen"/>
      <selection pane="bottomLeft" activeCell="A9" sqref="A9"/>
    </sheetView>
  </sheetViews>
  <sheetFormatPr defaultColWidth="9.140625" defaultRowHeight="15" outlineLevelCol="1" x14ac:dyDescent="0.25"/>
  <cols>
    <col min="1" max="1" width="2.7109375" style="16" customWidth="1"/>
    <col min="2" max="2" width="23.7109375" style="16" bestFit="1" customWidth="1"/>
    <col min="3" max="3" width="14.28515625" style="16" bestFit="1" customWidth="1"/>
    <col min="4" max="4" width="1.7109375" style="16" customWidth="1"/>
    <col min="5" max="5" width="15" style="16" bestFit="1" customWidth="1"/>
    <col min="6" max="6" width="12" style="16" customWidth="1"/>
    <col min="7" max="7" width="21.5703125" style="16" bestFit="1" customWidth="1"/>
    <col min="8" max="8" width="10.140625" style="16" bestFit="1" customWidth="1"/>
    <col min="9" max="9" width="8.140625" style="16" bestFit="1" customWidth="1"/>
    <col min="10" max="10" width="12.5703125" style="16" bestFit="1" customWidth="1"/>
    <col min="11" max="11" width="7" style="16" hidden="1" customWidth="1" outlineLevel="1"/>
    <col min="12" max="20" width="10.5703125" style="16" hidden="1" customWidth="1" outlineLevel="1"/>
    <col min="21" max="23" width="12.28515625" style="16" hidden="1" customWidth="1" outlineLevel="1"/>
    <col min="24" max="24" width="12.5703125" style="16" bestFit="1" customWidth="1" collapsed="1"/>
    <col min="25" max="25" width="1.7109375" style="16" customWidth="1"/>
    <col min="26" max="38" width="12.5703125" style="16" customWidth="1"/>
    <col min="39" max="39" width="1.7109375" style="16" customWidth="1"/>
    <col min="40" max="40" width="12.5703125" style="16" bestFit="1" customWidth="1"/>
    <col min="41" max="16384" width="9.140625" style="16"/>
  </cols>
  <sheetData>
    <row r="1" spans="2:40" ht="15.75" thickBot="1" x14ac:dyDescent="0.3"/>
    <row r="2" spans="2:40" ht="15.75" x14ac:dyDescent="0.25">
      <c r="B2" s="140" t="str">
        <f>BS!B2</f>
        <v>Pacific Nexus</v>
      </c>
      <c r="C2" s="222"/>
      <c r="E2" s="151" t="s">
        <v>45</v>
      </c>
    </row>
    <row r="3" spans="2:40" ht="16.5" thickBot="1" x14ac:dyDescent="0.3">
      <c r="B3" s="223" t="str">
        <f>BS!B3</f>
        <v>Period Ending 03/31/2026</v>
      </c>
      <c r="C3" s="123"/>
      <c r="E3" s="238" t="s">
        <v>47</v>
      </c>
    </row>
    <row r="4" spans="2:40" ht="15.75" x14ac:dyDescent="0.25">
      <c r="B4" s="56"/>
      <c r="E4" s="238" t="s">
        <v>46</v>
      </c>
    </row>
    <row r="5" spans="2:40" ht="15.75" x14ac:dyDescent="0.25">
      <c r="B5" s="18" t="str">
        <f>BS!B67</f>
        <v>2515 AMEX Loan #3344</v>
      </c>
      <c r="E5" s="238" t="s">
        <v>34</v>
      </c>
    </row>
    <row r="6" spans="2:40" x14ac:dyDescent="0.25">
      <c r="E6" s="238" t="s">
        <v>36</v>
      </c>
    </row>
    <row r="8" spans="2:40" x14ac:dyDescent="0.25">
      <c r="B8" s="22" t="s">
        <v>638</v>
      </c>
      <c r="C8" s="23">
        <f>BS!C67</f>
        <v>41666.699999999997</v>
      </c>
    </row>
    <row r="9" spans="2:40" x14ac:dyDescent="0.25">
      <c r="B9" s="21"/>
      <c r="C9" s="26"/>
    </row>
    <row r="10" spans="2:40" x14ac:dyDescent="0.25">
      <c r="B10" s="21" t="s">
        <v>1003</v>
      </c>
      <c r="C10" s="26"/>
      <c r="F10" s="21" t="s">
        <v>1004</v>
      </c>
    </row>
    <row r="12" spans="2:40" x14ac:dyDescent="0.25">
      <c r="F12" s="52" t="s">
        <v>639</v>
      </c>
      <c r="G12" s="29" t="s">
        <v>474</v>
      </c>
      <c r="H12" s="29" t="s">
        <v>642</v>
      </c>
      <c r="I12" s="29" t="s">
        <v>643</v>
      </c>
      <c r="J12" s="29" t="s">
        <v>48</v>
      </c>
      <c r="K12" s="30">
        <v>45650</v>
      </c>
      <c r="L12" s="30">
        <v>45688</v>
      </c>
      <c r="M12" s="30" t="s">
        <v>1005</v>
      </c>
      <c r="N12" s="30" t="s">
        <v>1006</v>
      </c>
      <c r="O12" s="30" t="s">
        <v>1007</v>
      </c>
      <c r="P12" s="30" t="s">
        <v>1008</v>
      </c>
      <c r="Q12" s="30" t="s">
        <v>891</v>
      </c>
      <c r="R12" s="30" t="s">
        <v>893</v>
      </c>
      <c r="S12" s="30" t="s">
        <v>1009</v>
      </c>
      <c r="T12" s="30" t="s">
        <v>897</v>
      </c>
      <c r="U12" s="30" t="s">
        <v>1010</v>
      </c>
      <c r="V12" s="30" t="s">
        <v>1011</v>
      </c>
      <c r="W12" s="30" t="s">
        <v>1012</v>
      </c>
      <c r="X12" s="29" t="s">
        <v>1013</v>
      </c>
      <c r="Y12" s="29"/>
      <c r="Z12" s="409">
        <v>46053</v>
      </c>
      <c r="AA12" s="409">
        <f>EOMONTH(Z12,1)</f>
        <v>46081</v>
      </c>
      <c r="AB12" s="409">
        <f t="shared" ref="AB12:AK12" si="0">EOMONTH(AA12,1)</f>
        <v>46112</v>
      </c>
      <c r="AC12" s="409">
        <f t="shared" si="0"/>
        <v>46142</v>
      </c>
      <c r="AD12" s="409">
        <f t="shared" si="0"/>
        <v>46173</v>
      </c>
      <c r="AE12" s="409">
        <f t="shared" si="0"/>
        <v>46203</v>
      </c>
      <c r="AF12" s="409">
        <f t="shared" si="0"/>
        <v>46234</v>
      </c>
      <c r="AG12" s="409">
        <f t="shared" si="0"/>
        <v>46265</v>
      </c>
      <c r="AH12" s="409">
        <f t="shared" si="0"/>
        <v>46295</v>
      </c>
      <c r="AI12" s="409">
        <f t="shared" si="0"/>
        <v>46326</v>
      </c>
      <c r="AJ12" s="409">
        <f t="shared" si="0"/>
        <v>46356</v>
      </c>
      <c r="AK12" s="409">
        <f t="shared" si="0"/>
        <v>46387</v>
      </c>
      <c r="AL12" s="29" t="s">
        <v>274</v>
      </c>
      <c r="AM12" s="29"/>
      <c r="AN12" s="29" t="s">
        <v>478</v>
      </c>
    </row>
    <row r="13" spans="2:40" x14ac:dyDescent="0.25">
      <c r="F13" s="53" t="s">
        <v>1014</v>
      </c>
      <c r="G13" s="27" t="s">
        <v>1015</v>
      </c>
      <c r="H13" s="27" t="s">
        <v>645</v>
      </c>
      <c r="I13" s="27"/>
      <c r="J13" s="31">
        <f>70000+27500+20000+48900</f>
        <v>166400</v>
      </c>
      <c r="K13" s="27"/>
      <c r="L13" s="31">
        <v>2916.67</v>
      </c>
      <c r="M13" s="31">
        <v>2916.67</v>
      </c>
      <c r="N13" s="31">
        <v>2916.67</v>
      </c>
      <c r="O13" s="31">
        <v>2916.67</v>
      </c>
      <c r="P13" s="31">
        <v>5833.34</v>
      </c>
      <c r="Q13" s="31">
        <v>5833.34</v>
      </c>
      <c r="R13" s="31">
        <v>8550.01</v>
      </c>
      <c r="S13" s="31">
        <v>8550.01</v>
      </c>
      <c r="T13" s="31">
        <v>8550.01</v>
      </c>
      <c r="U13" s="31">
        <f>-31500+8550.01+31657.5+37875.7</f>
        <v>46583.21</v>
      </c>
      <c r="V13" s="31">
        <v>5833.34</v>
      </c>
      <c r="W13" s="31">
        <v>5833.34</v>
      </c>
      <c r="X13" s="31">
        <f>SUM(K13:W13)</f>
        <v>107233.28</v>
      </c>
      <c r="Y13" s="31"/>
      <c r="Z13" s="31">
        <v>5833.34</v>
      </c>
      <c r="AA13" s="31">
        <v>5833.34</v>
      </c>
      <c r="AB13" s="31">
        <v>5833.34</v>
      </c>
      <c r="AC13" s="31">
        <v>5833.34</v>
      </c>
      <c r="AD13" s="31">
        <v>4166.67</v>
      </c>
      <c r="AE13" s="31">
        <v>4166.67</v>
      </c>
      <c r="AF13" s="31">
        <v>4166.67</v>
      </c>
      <c r="AG13" s="31">
        <v>4166.67</v>
      </c>
      <c r="AH13" s="31">
        <v>4166.67</v>
      </c>
      <c r="AI13" s="31">
        <v>4166.67</v>
      </c>
      <c r="AJ13" s="31">
        <v>4166.67</v>
      </c>
      <c r="AK13" s="31">
        <v>4166.67</v>
      </c>
      <c r="AL13" s="31">
        <f>SUM(Z13:AK13)</f>
        <v>56666.719999999987</v>
      </c>
      <c r="AM13" s="31"/>
      <c r="AN13" s="31">
        <f>J13-X13-AL13</f>
        <v>2500.0000000000146</v>
      </c>
    </row>
    <row r="14" spans="2:40" x14ac:dyDescent="0.25">
      <c r="F14" s="53"/>
      <c r="G14" s="27"/>
      <c r="H14" s="27"/>
      <c r="I14" s="27"/>
      <c r="J14" s="31">
        <v>0</v>
      </c>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x14ac:dyDescent="0.25">
      <c r="F15" s="54"/>
      <c r="G15" s="32"/>
      <c r="H15" s="32"/>
      <c r="I15" s="32"/>
      <c r="J15" s="32"/>
      <c r="K15" s="33">
        <f t="shared" ref="K15:AN15" si="1">SUM(K13:K14)</f>
        <v>0</v>
      </c>
      <c r="L15" s="33">
        <f t="shared" si="1"/>
        <v>2916.67</v>
      </c>
      <c r="M15" s="33">
        <f t="shared" si="1"/>
        <v>2916.67</v>
      </c>
      <c r="N15" s="33">
        <f t="shared" si="1"/>
        <v>2916.67</v>
      </c>
      <c r="O15" s="33">
        <f t="shared" si="1"/>
        <v>2916.67</v>
      </c>
      <c r="P15" s="33">
        <f t="shared" si="1"/>
        <v>5833.34</v>
      </c>
      <c r="Q15" s="33">
        <f t="shared" si="1"/>
        <v>5833.34</v>
      </c>
      <c r="R15" s="33">
        <f t="shared" si="1"/>
        <v>8550.01</v>
      </c>
      <c r="S15" s="33">
        <f t="shared" ref="S15:W15" si="2">SUM(S13:S14)</f>
        <v>8550.01</v>
      </c>
      <c r="T15" s="33">
        <f t="shared" si="2"/>
        <v>8550.01</v>
      </c>
      <c r="U15" s="33">
        <f t="shared" si="2"/>
        <v>46583.21</v>
      </c>
      <c r="V15" s="33">
        <f t="shared" si="2"/>
        <v>5833.34</v>
      </c>
      <c r="W15" s="33">
        <f t="shared" si="2"/>
        <v>5833.34</v>
      </c>
      <c r="X15" s="33">
        <f>SUM(X13:X14)</f>
        <v>107233.28</v>
      </c>
      <c r="Y15" s="33"/>
      <c r="Z15" s="33">
        <f>+$J$13-$X$15-Z13</f>
        <v>53333.380000000005</v>
      </c>
      <c r="AA15" s="33">
        <f>+$J$13-$X$15-AA13-Z13</f>
        <v>47500.040000000008</v>
      </c>
      <c r="AB15" s="410">
        <f>+$J$13-$X$15-AB13-AA13-Z13</f>
        <v>41666.700000000012</v>
      </c>
      <c r="AC15" s="33">
        <f>+$J$13-$X$15-AC13-AB13-AA13-Z13</f>
        <v>35833.360000000015</v>
      </c>
      <c r="AD15" s="33">
        <f>+$J$13-$X$15-AD13-AC13-AB13-AA13-Z13</f>
        <v>31666.690000000013</v>
      </c>
      <c r="AE15" s="33">
        <f>+$J$13-$X$15-AE13-AD13-AC13-AB13-AA13-Z13</f>
        <v>27500.020000000015</v>
      </c>
      <c r="AF15" s="33">
        <f>+$J$13-$X$15-AF13-AE13-AD13-AC13-AB13-AA13-Z13</f>
        <v>23333.350000000013</v>
      </c>
      <c r="AG15" s="33">
        <f>+$J$13-$X$15-AG13-AF13-AE13-AD13-AC13-AB13-AA13-Z13</f>
        <v>19166.680000000011</v>
      </c>
      <c r="AH15" s="33">
        <f>+$J$13-$X$15-AH13-AG13-AF13-AE13-AD13-AC13-AB13-AA13-Z13</f>
        <v>15000.010000000009</v>
      </c>
      <c r="AI15" s="33">
        <f>+$J$13-$X$15-AI13-AH13-AG13-AF13-AE13-AD13-AC13-AB13-AA13-Z13</f>
        <v>10833.340000000011</v>
      </c>
      <c r="AJ15" s="33">
        <f>+$J$13-$X$15-AJ13-AI13-AH13-AG13-AF13-AE13-AD13-AC13-AB13-AA13-Z13</f>
        <v>6666.6700000000128</v>
      </c>
      <c r="AK15" s="33">
        <f>+$J$13-$X$15-AK13-AJ13-AI13-AH13-AG13-AF13-AE13-AD13-AC13-AB13-AA13-Z13</f>
        <v>2500.0000000000146</v>
      </c>
      <c r="AL15" s="33"/>
      <c r="AM15" s="33"/>
      <c r="AN15" s="51">
        <f t="shared" si="1"/>
        <v>2500.0000000000146</v>
      </c>
    </row>
  </sheetData>
  <hyperlinks>
    <hyperlink ref="E2" location="Index!A1" display="Home" xr:uid="{F6C03AA4-2FCB-4A4C-A1E6-7696F4BC6606}"/>
    <hyperlink ref="E4" location="P_L" display="Profit &amp; Loss" xr:uid="{87EC36EC-F9FF-4F24-AB02-3156645A1614}"/>
    <hyperlink ref="E3" location="B_S" display="Balance Sheet" xr:uid="{74BEDE11-2866-49B4-A997-D386DE54FCBD}"/>
    <hyperlink ref="E5" location="PL_YTD" display="PL-Division (YTD)" xr:uid="{3722850D-C6EE-4E96-8170-CD86DDF36365}"/>
    <hyperlink ref="E6" location="PL_DM" display="PL-Division (Month)" xr:uid="{4DD5D2EE-53B5-44FD-BEB2-0E9D059C9391}"/>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D6C5-786F-4408-9BF7-80AE74CEB72A}">
  <sheetPr codeName="Sheet24">
    <pageSetUpPr fitToPage="1"/>
  </sheetPr>
  <dimension ref="B1:R56"/>
  <sheetViews>
    <sheetView showGridLines="0" zoomScale="95" zoomScaleNormal="95" workbookViewId="0">
      <pane ySplit="6" topLeftCell="A7" activePane="bottomLeft" state="frozen"/>
      <selection pane="bottomLeft" activeCell="S16" sqref="S16"/>
    </sheetView>
  </sheetViews>
  <sheetFormatPr defaultColWidth="9.140625" defaultRowHeight="15" outlineLevelCol="1" x14ac:dyDescent="0.25"/>
  <cols>
    <col min="1" max="1" width="2.140625" style="318" customWidth="1"/>
    <col min="2" max="2" width="63.85546875" style="318" customWidth="1"/>
    <col min="3" max="3" width="30.85546875" style="318" bestFit="1" customWidth="1"/>
    <col min="4" max="4" width="15.140625" style="318" bestFit="1" customWidth="1"/>
    <col min="5" max="5" width="22.7109375" style="319" bestFit="1" customWidth="1"/>
    <col min="6" max="6" width="17" style="319" customWidth="1"/>
    <col min="7" max="7" width="13.5703125" style="318" bestFit="1" customWidth="1"/>
    <col min="8" max="8" width="15.85546875" style="318" bestFit="1" customWidth="1"/>
    <col min="9" max="9" width="13.85546875" style="318" customWidth="1"/>
    <col min="10" max="10" width="11.140625" style="318" hidden="1" customWidth="1" outlineLevel="1"/>
    <col min="11" max="11" width="14.140625" style="422" hidden="1" customWidth="1" outlineLevel="1"/>
    <col min="12" max="12" width="13.28515625" style="422" hidden="1" customWidth="1" outlineLevel="1"/>
    <col min="13" max="13" width="16.140625" style="422" hidden="1" customWidth="1" outlineLevel="1"/>
    <col min="14" max="14" width="44.7109375" style="318" customWidth="1" collapsed="1"/>
    <col min="15" max="15" width="30.7109375" style="318" hidden="1" customWidth="1" outlineLevel="1"/>
    <col min="16" max="16" width="42" style="318" hidden="1" customWidth="1" outlineLevel="1"/>
    <col min="17" max="17" width="9.140625" style="318" collapsed="1"/>
    <col min="18" max="16384" width="9.140625" style="318"/>
  </cols>
  <sheetData>
    <row r="1" spans="2:18" ht="15.75" thickBot="1" x14ac:dyDescent="0.3"/>
    <row r="2" spans="2:18" ht="18" thickBot="1" x14ac:dyDescent="0.35">
      <c r="B2" s="419" t="s">
        <v>1016</v>
      </c>
      <c r="F2" s="794" t="s">
        <v>1017</v>
      </c>
      <c r="G2" s="420">
        <v>46112</v>
      </c>
      <c r="N2" s="320"/>
      <c r="P2" s="421" t="s">
        <v>1018</v>
      </c>
      <c r="R2" s="151" t="s">
        <v>45</v>
      </c>
    </row>
    <row r="3" spans="2:18" ht="16.5" thickBot="1" x14ac:dyDescent="0.3">
      <c r="B3" s="423" t="s">
        <v>1103</v>
      </c>
      <c r="F3" s="319">
        <f>+E4-F4</f>
        <v>165467.56</v>
      </c>
      <c r="P3" s="424" t="s">
        <v>1019</v>
      </c>
      <c r="R3" s="238" t="s">
        <v>47</v>
      </c>
    </row>
    <row r="4" spans="2:18" ht="15.75" thickBot="1" x14ac:dyDescent="0.3">
      <c r="C4" s="321">
        <f>+SUBTOTAL(3,C9:C1048576)</f>
        <v>17</v>
      </c>
      <c r="E4" s="425">
        <f>+E18+E36+E45+E52</f>
        <v>265911.56</v>
      </c>
      <c r="F4" s="425">
        <f>+F18+F36+F45+F52</f>
        <v>100444</v>
      </c>
      <c r="G4" s="425">
        <f>+G18+G36+G45+G52</f>
        <v>119875.40997540185</v>
      </c>
      <c r="H4" s="425">
        <f>+H18+H36+H45+H52</f>
        <v>5163.2700000000004</v>
      </c>
      <c r="I4" s="425">
        <f>+I18+I36+I45+I52</f>
        <v>260748.29</v>
      </c>
      <c r="J4" s="426">
        <f>I4/E4</f>
        <v>0.98058275465722522</v>
      </c>
      <c r="R4" s="238" t="s">
        <v>46</v>
      </c>
    </row>
    <row r="5" spans="2:18" ht="47.25" x14ac:dyDescent="0.25">
      <c r="B5" s="322" t="s">
        <v>1020</v>
      </c>
      <c r="C5" s="322" t="s">
        <v>388</v>
      </c>
      <c r="D5" s="322" t="s">
        <v>391</v>
      </c>
      <c r="E5" s="323" t="s">
        <v>1021</v>
      </c>
      <c r="F5" s="795" t="s">
        <v>1022</v>
      </c>
      <c r="G5" s="324" t="s">
        <v>1023</v>
      </c>
      <c r="H5" s="324" t="s">
        <v>1024</v>
      </c>
      <c r="I5" s="325" t="s">
        <v>1025</v>
      </c>
      <c r="J5" s="326" t="s">
        <v>1026</v>
      </c>
      <c r="K5" s="796" t="s">
        <v>389</v>
      </c>
      <c r="L5" s="796" t="s">
        <v>390</v>
      </c>
      <c r="M5" s="796" t="s">
        <v>1027</v>
      </c>
      <c r="N5" s="322" t="s">
        <v>1028</v>
      </c>
      <c r="O5" s="322" t="s">
        <v>1029</v>
      </c>
      <c r="P5" s="322" t="s">
        <v>1030</v>
      </c>
      <c r="R5" s="238" t="s">
        <v>34</v>
      </c>
    </row>
    <row r="6" spans="2:18" x14ac:dyDescent="0.25">
      <c r="B6" s="327"/>
      <c r="C6" s="327"/>
      <c r="D6" s="327"/>
      <c r="E6" s="328"/>
      <c r="F6" s="797"/>
      <c r="G6" s="329"/>
      <c r="H6" s="330"/>
      <c r="I6" s="331">
        <f>Table133[[#This Row],[Income (Estimated)]]-Table133[[#This Row],[Material Cost (Estimated)]]</f>
        <v>0</v>
      </c>
      <c r="J6" s="332"/>
      <c r="K6" s="798"/>
      <c r="L6" s="798"/>
      <c r="M6" s="799"/>
      <c r="N6" s="327"/>
      <c r="O6" s="327"/>
      <c r="P6" s="327"/>
      <c r="R6" s="238" t="s">
        <v>36</v>
      </c>
    </row>
    <row r="7" spans="2:18" x14ac:dyDescent="0.25">
      <c r="B7" s="333" t="s">
        <v>149</v>
      </c>
      <c r="C7" s="327"/>
      <c r="D7" s="327"/>
      <c r="E7" s="328"/>
      <c r="F7" s="797"/>
      <c r="G7" s="329"/>
      <c r="H7" s="330"/>
      <c r="I7" s="331">
        <f>Table133[[#This Row],[Income (Estimated)]]-Table133[[#This Row],[Material Cost (Estimated)]]</f>
        <v>0</v>
      </c>
      <c r="J7" s="332"/>
      <c r="K7" s="798"/>
      <c r="L7" s="798"/>
      <c r="M7" s="799"/>
      <c r="N7" s="327"/>
      <c r="O7" s="327"/>
      <c r="P7" s="327"/>
    </row>
    <row r="8" spans="2:18" x14ac:dyDescent="0.25">
      <c r="B8" s="327"/>
      <c r="C8" s="327"/>
      <c r="D8" s="327"/>
      <c r="E8" s="328"/>
      <c r="F8" s="797"/>
      <c r="G8" s="329"/>
      <c r="H8" s="330"/>
      <c r="I8" s="331">
        <f>Table133[[#This Row],[Income (Estimated)]]-Table133[[#This Row],[Material Cost (Estimated)]]</f>
        <v>0</v>
      </c>
      <c r="J8" s="331">
        <f>Table133[[#This Row],[Income (Estimated)]]-Table133[[#This Row],[Material Cost (Estimated)]]</f>
        <v>0</v>
      </c>
      <c r="K8" s="798"/>
      <c r="L8" s="798"/>
      <c r="M8" s="799"/>
      <c r="N8" s="327"/>
      <c r="O8" s="327"/>
      <c r="P8" s="327"/>
    </row>
    <row r="9" spans="2:18" ht="30" x14ac:dyDescent="0.25">
      <c r="B9" s="334" t="s">
        <v>1031</v>
      </c>
      <c r="C9" s="334" t="s">
        <v>1032</v>
      </c>
      <c r="D9" s="334" t="s">
        <v>1104</v>
      </c>
      <c r="E9" s="335">
        <v>14540</v>
      </c>
      <c r="F9" s="335">
        <v>14040</v>
      </c>
      <c r="G9" s="427">
        <f>MAX(0,(MIN($G$2, L9) - K9+1) / (L9 - K9+1) * E9-F9)</f>
        <v>500</v>
      </c>
      <c r="H9" s="335">
        <v>200</v>
      </c>
      <c r="I9" s="336">
        <f>Table133[[#This Row],[Income (Estimated)]]-Table133[[#This Row],[Material Cost (Estimated)]]</f>
        <v>14340</v>
      </c>
      <c r="J9" s="337">
        <f>IFERROR(Table133[[#This Row],[Estimated Profit ($$)]]/Table133[[#This Row],[Income (Estimated)]],"-")</f>
        <v>0.98624484181568084</v>
      </c>
      <c r="K9" s="338">
        <v>45929</v>
      </c>
      <c r="L9" s="338">
        <v>46096</v>
      </c>
      <c r="M9" s="339">
        <f t="shared" ref="M9:M12" si="0">+IF(L9&lt;&gt;"",L9+30,"")</f>
        <v>46126</v>
      </c>
      <c r="N9" s="340" t="s">
        <v>1033</v>
      </c>
      <c r="O9" s="334" t="s">
        <v>1034</v>
      </c>
      <c r="P9" s="667" t="s">
        <v>1035</v>
      </c>
    </row>
    <row r="10" spans="2:18" x14ac:dyDescent="0.25">
      <c r="B10" s="430" t="s">
        <v>1037</v>
      </c>
      <c r="C10" s="343" t="s">
        <v>401</v>
      </c>
      <c r="D10" s="343" t="s">
        <v>1036</v>
      </c>
      <c r="E10" s="348">
        <v>11000</v>
      </c>
      <c r="F10" s="335"/>
      <c r="G10" s="427">
        <f t="shared" ref="G10:G14" si="1">MAX(0,(MIN($G$2, L10) - K10+1) / (L10 - K10+1) * E10-F10)</f>
        <v>3093.75</v>
      </c>
      <c r="H10" s="431"/>
      <c r="I10" s="344">
        <f>Table133[[#This Row],[Income (Estimated)]]-Table133[[#This Row],[Material Cost (Estimated)]]</f>
        <v>11000</v>
      </c>
      <c r="J10" s="337">
        <f>IFERROR(Table133[[#This Row],[Estimated Profit ($$)]]/Table133[[#This Row],[Income (Estimated)]],"-")</f>
        <v>1</v>
      </c>
      <c r="K10" s="345">
        <v>46104</v>
      </c>
      <c r="L10" s="349">
        <v>46135</v>
      </c>
      <c r="M10" s="339">
        <f t="shared" si="0"/>
        <v>46165</v>
      </c>
      <c r="N10" s="346"/>
      <c r="O10" s="343"/>
      <c r="P10" s="347"/>
    </row>
    <row r="11" spans="2:18" s="800" customFormat="1" ht="75" x14ac:dyDescent="0.25">
      <c r="B11" s="430" t="s">
        <v>1038</v>
      </c>
      <c r="C11" s="668" t="s">
        <v>1039</v>
      </c>
      <c r="D11" s="343" t="s">
        <v>1104</v>
      </c>
      <c r="E11" s="336">
        <f>42674+38730+14662</f>
        <v>96066</v>
      </c>
      <c r="F11" s="335">
        <f>42674+38730</f>
        <v>81404</v>
      </c>
      <c r="G11" s="427">
        <f t="shared" si="1"/>
        <v>14662</v>
      </c>
      <c r="H11" s="348">
        <v>2500</v>
      </c>
      <c r="I11" s="336">
        <f>Table133[[#This Row],[Income (Estimated)]]-Table133[[#This Row],[Material Cost (Estimated)]]</f>
        <v>93566</v>
      </c>
      <c r="J11" s="337">
        <f>IFERROR(Table133[[#This Row],[Estimated Profit ($$)]]/Table133[[#This Row],[Income (Estimated)]],"-")</f>
        <v>0.97397622467886658</v>
      </c>
      <c r="K11" s="345">
        <v>45992</v>
      </c>
      <c r="L11" s="349">
        <v>46112</v>
      </c>
      <c r="M11" s="670">
        <f t="shared" si="0"/>
        <v>46142</v>
      </c>
      <c r="N11" s="669">
        <v>46037</v>
      </c>
      <c r="O11" s="670">
        <f>+IF(N11&lt;&gt;"",N11+30,"")</f>
        <v>46067</v>
      </c>
      <c r="P11" s="401" t="s">
        <v>1040</v>
      </c>
    </row>
    <row r="12" spans="2:18" x14ac:dyDescent="0.25">
      <c r="B12" s="428" t="s">
        <v>1041</v>
      </c>
      <c r="C12" s="668" t="s">
        <v>1039</v>
      </c>
      <c r="D12" s="334" t="s">
        <v>1036</v>
      </c>
      <c r="E12" s="335">
        <v>50000</v>
      </c>
      <c r="F12" s="335"/>
      <c r="G12" s="427">
        <f t="shared" si="1"/>
        <v>34567.9012345679</v>
      </c>
      <c r="H12" s="429"/>
      <c r="I12" s="335">
        <f>Table133[[#This Row],[Income (Estimated)]]-Table133[[#This Row],[Material Cost (Estimated)]]</f>
        <v>50000</v>
      </c>
      <c r="J12" s="363">
        <f>IFERROR(Table133[[#This Row],[Estimated Profit ($$)]]/Table133[[#This Row],[Income (Estimated)]],"-")</f>
        <v>1</v>
      </c>
      <c r="K12" s="338">
        <v>46057</v>
      </c>
      <c r="L12" s="339">
        <v>46137</v>
      </c>
      <c r="M12" s="365">
        <f t="shared" si="0"/>
        <v>46167</v>
      </c>
      <c r="N12" s="340"/>
      <c r="O12" s="340"/>
      <c r="P12" s="342"/>
    </row>
    <row r="13" spans="2:18" x14ac:dyDescent="0.25">
      <c r="B13" s="440" t="s">
        <v>1105</v>
      </c>
      <c r="C13" s="358" t="s">
        <v>1067</v>
      </c>
      <c r="D13" s="358" t="s">
        <v>1036</v>
      </c>
      <c r="E13" s="360">
        <v>5000</v>
      </c>
      <c r="F13" s="360"/>
      <c r="G13" s="427">
        <f t="shared" si="1"/>
        <v>0</v>
      </c>
      <c r="H13" s="429"/>
      <c r="I13" s="335">
        <f>Table133[[#This Row],[Income (Estimated)]]-Table133[[#This Row],[Material Cost (Estimated)]]</f>
        <v>5000</v>
      </c>
      <c r="J13" s="363">
        <f>IFERROR(Table133[[#This Row],[Estimated Profit ($$)]]/Table133[[#This Row],[Income (Estimated)]],"-")</f>
        <v>1</v>
      </c>
      <c r="K13" s="369">
        <v>46133</v>
      </c>
      <c r="L13" s="369">
        <v>46152</v>
      </c>
      <c r="M13" s="365">
        <v>46133</v>
      </c>
      <c r="N13" s="346"/>
      <c r="O13" s="346"/>
      <c r="P13" s="347" t="s">
        <v>1106</v>
      </c>
    </row>
    <row r="14" spans="2:18" x14ac:dyDescent="0.25">
      <c r="B14" s="440" t="s">
        <v>1107</v>
      </c>
      <c r="C14" s="358" t="s">
        <v>1108</v>
      </c>
      <c r="D14" s="358" t="s">
        <v>1036</v>
      </c>
      <c r="E14" s="456"/>
      <c r="F14" s="360"/>
      <c r="G14" s="427">
        <f t="shared" si="1"/>
        <v>0</v>
      </c>
      <c r="H14" s="429"/>
      <c r="I14" s="335">
        <f>Table133[[#This Row],[Income (Estimated)]]-Table133[[#This Row],[Material Cost (Estimated)]]</f>
        <v>0</v>
      </c>
      <c r="J14" s="363" t="str">
        <f>IFERROR(Table133[[#This Row],[Estimated Profit ($$)]]/Table133[[#This Row],[Income (Estimated)]],"-")</f>
        <v>-</v>
      </c>
      <c r="K14" s="369">
        <v>46106</v>
      </c>
      <c r="L14" s="801"/>
      <c r="M14" s="365">
        <v>46133</v>
      </c>
      <c r="N14" s="346"/>
      <c r="O14" s="346"/>
      <c r="P14" s="347" t="s">
        <v>1109</v>
      </c>
    </row>
    <row r="15" spans="2:18" x14ac:dyDescent="0.25">
      <c r="B15" s="440"/>
      <c r="C15" s="358"/>
      <c r="D15" s="358"/>
      <c r="E15" s="360"/>
      <c r="F15" s="360"/>
      <c r="G15" s="358"/>
      <c r="H15" s="360"/>
      <c r="I15" s="360"/>
      <c r="J15" s="363" t="str">
        <f>IFERROR(Table133[[#This Row],[Estimated Profit ($$)]]/Table133[[#This Row],[Income (Estimated)]],"-")</f>
        <v>-</v>
      </c>
      <c r="K15" s="369"/>
      <c r="L15" s="369"/>
      <c r="M15" s="365"/>
      <c r="N15" s="346"/>
      <c r="O15" s="346"/>
      <c r="P15" s="347" t="s">
        <v>1110</v>
      </c>
    </row>
    <row r="16" spans="2:18" x14ac:dyDescent="0.25">
      <c r="B16" s="430"/>
      <c r="C16" s="671"/>
      <c r="D16" s="343"/>
      <c r="E16" s="348"/>
      <c r="F16" s="348"/>
      <c r="G16" s="343"/>
      <c r="H16" s="348"/>
      <c r="I16" s="348">
        <f>Table133[[#This Row],[Income (Estimated)]]-Table133[[#This Row],[Material Cost (Estimated)]]</f>
        <v>0</v>
      </c>
      <c r="J16" s="363" t="str">
        <f>IFERROR(Table133[[#This Row],[Estimated Profit ($$)]]/Table133[[#This Row],[Income (Estimated)]],"-")</f>
        <v>-</v>
      </c>
      <c r="K16" s="345"/>
      <c r="L16" s="349"/>
      <c r="M16" s="350"/>
      <c r="N16" s="346"/>
      <c r="O16" s="346"/>
      <c r="P16" s="347"/>
    </row>
    <row r="17" spans="2:16" x14ac:dyDescent="0.25">
      <c r="B17" s="430"/>
      <c r="C17" s="343"/>
      <c r="D17" s="343"/>
      <c r="E17" s="348"/>
      <c r="F17" s="348"/>
      <c r="G17" s="343"/>
      <c r="H17" s="348"/>
      <c r="I17" s="344">
        <f>Table133[[#This Row],[Income (Estimated)]]-Table133[[#This Row],[Material Cost (Estimated)]]</f>
        <v>0</v>
      </c>
      <c r="J17" s="363" t="str">
        <f>IFERROR(Table133[[#This Row],[Estimated Profit ($$)]]/Table133[[#This Row],[Income (Estimated)]],"-")</f>
        <v>-</v>
      </c>
      <c r="K17" s="345"/>
      <c r="L17" s="349"/>
      <c r="M17" s="350"/>
      <c r="N17" s="346"/>
      <c r="O17" s="343"/>
      <c r="P17" s="347"/>
    </row>
    <row r="18" spans="2:16" ht="15.75" thickBot="1" x14ac:dyDescent="0.3">
      <c r="B18" s="432" t="s">
        <v>1042</v>
      </c>
      <c r="C18" s="433"/>
      <c r="D18" s="433"/>
      <c r="E18" s="434">
        <f>SUBTOTAL(9,E9:E17)</f>
        <v>176606</v>
      </c>
      <c r="F18" s="434">
        <f>SUBTOTAL(9,F8:F17)</f>
        <v>95444</v>
      </c>
      <c r="G18" s="434">
        <f>SUBTOTAL(9,G9:G17)</f>
        <v>52823.6512345679</v>
      </c>
      <c r="H18" s="434">
        <f>SUBTOTAL(9,H9:H17)</f>
        <v>2700</v>
      </c>
      <c r="I18" s="434">
        <f>SUBTOTAL(9,I9:I17)</f>
        <v>173906</v>
      </c>
      <c r="J18" s="435"/>
      <c r="K18" s="435"/>
      <c r="L18" s="435"/>
      <c r="M18" s="436"/>
      <c r="N18" s="433"/>
      <c r="O18" s="433"/>
      <c r="P18" s="433"/>
    </row>
    <row r="19" spans="2:16" ht="15.75" thickTop="1" x14ac:dyDescent="0.25">
      <c r="B19" s="351"/>
      <c r="C19" s="351"/>
      <c r="D19" s="351"/>
      <c r="E19" s="352"/>
      <c r="F19" s="353"/>
      <c r="G19" s="351"/>
      <c r="H19" s="352"/>
      <c r="I19" s="353"/>
      <c r="J19" s="353"/>
      <c r="K19" s="354"/>
      <c r="L19" s="354"/>
      <c r="M19" s="355"/>
      <c r="N19" s="356"/>
      <c r="O19" s="351"/>
      <c r="P19" s="357"/>
    </row>
    <row r="20" spans="2:16" x14ac:dyDescent="0.25">
      <c r="B20" s="437" t="s">
        <v>151</v>
      </c>
      <c r="C20" s="358"/>
      <c r="D20" s="358"/>
      <c r="E20" s="359"/>
      <c r="F20" s="360"/>
      <c r="G20" s="358"/>
      <c r="H20" s="359"/>
      <c r="I20" s="360"/>
      <c r="J20" s="353"/>
      <c r="K20" s="361"/>
      <c r="L20" s="361"/>
      <c r="M20" s="339"/>
      <c r="N20" s="362"/>
      <c r="O20" s="358"/>
      <c r="P20" s="341"/>
    </row>
    <row r="21" spans="2:16" x14ac:dyDescent="0.25">
      <c r="B21" s="438"/>
      <c r="C21" s="358"/>
      <c r="D21" s="358"/>
      <c r="E21" s="359"/>
      <c r="F21" s="360"/>
      <c r="G21" s="358"/>
      <c r="H21" s="359"/>
      <c r="I21" s="360"/>
      <c r="J21" s="353"/>
      <c r="K21" s="361"/>
      <c r="L21" s="361"/>
      <c r="M21" s="339"/>
      <c r="N21" s="362"/>
      <c r="O21" s="358"/>
      <c r="P21" s="341"/>
    </row>
    <row r="22" spans="2:16" x14ac:dyDescent="0.25">
      <c r="B22" s="358"/>
      <c r="C22" s="358"/>
      <c r="D22" s="358"/>
      <c r="E22" s="360"/>
      <c r="F22" s="360"/>
      <c r="G22" s="27"/>
      <c r="H22" s="358"/>
      <c r="I22" s="27"/>
      <c r="J22" s="27"/>
      <c r="K22" s="369"/>
      <c r="L22" s="369"/>
      <c r="M22" s="369"/>
      <c r="N22" s="358"/>
      <c r="O22" s="358"/>
      <c r="P22" s="358"/>
    </row>
    <row r="23" spans="2:16" x14ac:dyDescent="0.25">
      <c r="B23" s="440" t="s">
        <v>1043</v>
      </c>
      <c r="C23" s="334" t="s">
        <v>408</v>
      </c>
      <c r="D23" s="334" t="s">
        <v>1036</v>
      </c>
      <c r="E23" s="360">
        <v>1500.86</v>
      </c>
      <c r="F23" s="360"/>
      <c r="G23" s="439">
        <f t="shared" ref="G23:G29" si="2">MAX(0,(MIN($G$2, L23) - K23+1) / (L23 - K23+1) * E23-F23)</f>
        <v>1477.7698461538462</v>
      </c>
      <c r="H23" s="429">
        <v>0</v>
      </c>
      <c r="I23" s="336">
        <f>Table133[[#This Row],[Income (Estimated)]]-Table133[[#This Row],[Material Cost (Estimated)]]</f>
        <v>1500.86</v>
      </c>
      <c r="J23" s="363">
        <f>IFERROR(Table133[[#This Row],[Estimated Profit ($$)]]/Table133[[#This Row],[Income (Estimated)]],"-")</f>
        <v>1</v>
      </c>
      <c r="K23" s="369">
        <v>46049</v>
      </c>
      <c r="L23" s="364">
        <v>46113</v>
      </c>
      <c r="M23" s="365">
        <f t="shared" ref="M23:M30" si="3">+IF(L23&lt;&gt;"",L23+30,"")</f>
        <v>46143</v>
      </c>
      <c r="N23" s="362"/>
      <c r="O23" s="362"/>
      <c r="P23" s="367"/>
    </row>
    <row r="24" spans="2:16" x14ac:dyDescent="0.25">
      <c r="B24" s="440" t="s">
        <v>1044</v>
      </c>
      <c r="C24" s="334" t="s">
        <v>408</v>
      </c>
      <c r="D24" s="334" t="s">
        <v>1036</v>
      </c>
      <c r="E24" s="360">
        <v>4796.1099999999997</v>
      </c>
      <c r="F24" s="360"/>
      <c r="G24" s="439">
        <f t="shared" si="2"/>
        <v>4796.1099999999997</v>
      </c>
      <c r="H24" s="429">
        <v>0</v>
      </c>
      <c r="I24" s="336">
        <f>Table133[[#This Row],[Income (Estimated)]]-Table133[[#This Row],[Material Cost (Estimated)]]</f>
        <v>4796.1099999999997</v>
      </c>
      <c r="J24" s="363">
        <f>IFERROR(Table133[[#This Row],[Estimated Profit ($$)]]/Table133[[#This Row],[Income (Estimated)]],"-")</f>
        <v>1</v>
      </c>
      <c r="K24" s="369">
        <v>46056</v>
      </c>
      <c r="L24" s="364">
        <v>46111</v>
      </c>
      <c r="M24" s="365">
        <f t="shared" si="3"/>
        <v>46141</v>
      </c>
      <c r="N24" s="362"/>
      <c r="O24" s="362"/>
      <c r="P24" s="367"/>
    </row>
    <row r="25" spans="2:16" x14ac:dyDescent="0.25">
      <c r="B25" s="440" t="s">
        <v>1045</v>
      </c>
      <c r="C25" s="334" t="s">
        <v>408</v>
      </c>
      <c r="D25" s="334" t="s">
        <v>1036</v>
      </c>
      <c r="E25" s="360">
        <v>42695.89</v>
      </c>
      <c r="F25" s="360"/>
      <c r="G25" s="439">
        <f t="shared" si="2"/>
        <v>42695.89</v>
      </c>
      <c r="H25" s="335">
        <v>679.96</v>
      </c>
      <c r="I25" s="336">
        <f>Table133[[#This Row],[Income (Estimated)]]-Table133[[#This Row],[Material Cost (Estimated)]]</f>
        <v>42015.93</v>
      </c>
      <c r="J25" s="672">
        <f>Table133[[#This Row],[Estimated Profit ($$)]]/Table133[[#This Row],[Income (Estimated)]]</f>
        <v>0.98407434532925775</v>
      </c>
      <c r="K25" s="369">
        <v>46078</v>
      </c>
      <c r="L25" s="364">
        <v>46108</v>
      </c>
      <c r="M25" s="365">
        <f t="shared" si="3"/>
        <v>46138</v>
      </c>
      <c r="N25" s="362"/>
      <c r="O25" s="362"/>
      <c r="P25" s="367"/>
    </row>
    <row r="26" spans="2:16" x14ac:dyDescent="0.25">
      <c r="B26" s="440" t="s">
        <v>1111</v>
      </c>
      <c r="C26" s="334" t="s">
        <v>408</v>
      </c>
      <c r="D26" s="334" t="s">
        <v>1036</v>
      </c>
      <c r="E26" s="360">
        <v>5220.2</v>
      </c>
      <c r="F26" s="360"/>
      <c r="G26" s="439">
        <f t="shared" si="2"/>
        <v>4680.1793103448272</v>
      </c>
      <c r="H26" s="429">
        <v>0</v>
      </c>
      <c r="I26" s="336">
        <f>Table133[[#This Row],[Income (Estimated)]]-Table133[[#This Row],[Material Cost (Estimated)]]</f>
        <v>5220.2</v>
      </c>
      <c r="J26" s="672">
        <f>Table133[[#This Row],[Estimated Profit ($$)]]/Table133[[#This Row],[Income (Estimated)]]</f>
        <v>1</v>
      </c>
      <c r="K26" s="366">
        <v>46087</v>
      </c>
      <c r="L26" s="364">
        <v>46115</v>
      </c>
      <c r="M26" s="365">
        <f t="shared" si="3"/>
        <v>46145</v>
      </c>
      <c r="N26" s="362"/>
      <c r="O26" s="362"/>
      <c r="P26" s="367"/>
    </row>
    <row r="27" spans="2:16" ht="30" x14ac:dyDescent="0.25">
      <c r="B27" s="802" t="s">
        <v>1112</v>
      </c>
      <c r="C27" s="334" t="s">
        <v>408</v>
      </c>
      <c r="D27" s="334" t="s">
        <v>1036</v>
      </c>
      <c r="E27" s="360">
        <v>4722.9799999999996</v>
      </c>
      <c r="F27" s="360"/>
      <c r="G27" s="439">
        <f t="shared" si="2"/>
        <v>1330.4169014084507</v>
      </c>
      <c r="H27" s="429">
        <v>0</v>
      </c>
      <c r="I27" s="336">
        <f>Table133[[#This Row],[Income (Estimated)]]-Table133[[#This Row],[Material Cost (Estimated)]]</f>
        <v>4722.9799999999996</v>
      </c>
      <c r="J27" s="672">
        <f>Table133[[#This Row],[Estimated Profit ($$)]]/Table133[[#This Row],[Income (Estimated)]]</f>
        <v>1</v>
      </c>
      <c r="K27" s="366">
        <v>46093</v>
      </c>
      <c r="L27" s="364">
        <v>46163</v>
      </c>
      <c r="M27" s="365">
        <f t="shared" si="3"/>
        <v>46193</v>
      </c>
      <c r="N27" s="362"/>
      <c r="O27" s="362"/>
      <c r="P27" s="367"/>
    </row>
    <row r="28" spans="2:16" x14ac:dyDescent="0.25">
      <c r="B28" s="440" t="s">
        <v>1113</v>
      </c>
      <c r="C28" s="334" t="s">
        <v>408</v>
      </c>
      <c r="D28" s="334" t="s">
        <v>1036</v>
      </c>
      <c r="E28" s="360">
        <v>8144.18</v>
      </c>
      <c r="F28" s="360"/>
      <c r="G28" s="439">
        <f t="shared" si="2"/>
        <v>8144.18</v>
      </c>
      <c r="H28" s="335">
        <v>283.31</v>
      </c>
      <c r="I28" s="336">
        <f>Table133[[#This Row],[Income (Estimated)]]-Table133[[#This Row],[Material Cost (Estimated)]]</f>
        <v>7860.87</v>
      </c>
      <c r="J28" s="672">
        <f>Table133[[#This Row],[Estimated Profit ($$)]]/Table133[[#This Row],[Income (Estimated)]]</f>
        <v>0.96521319518969373</v>
      </c>
      <c r="K28" s="366">
        <v>46092</v>
      </c>
      <c r="L28" s="364">
        <v>46111</v>
      </c>
      <c r="M28" s="365">
        <f t="shared" si="3"/>
        <v>46141</v>
      </c>
      <c r="N28" s="362"/>
      <c r="O28" s="362"/>
      <c r="P28" s="367"/>
    </row>
    <row r="29" spans="2:16" ht="30" x14ac:dyDescent="0.25">
      <c r="B29" s="802" t="s">
        <v>1114</v>
      </c>
      <c r="C29" s="334" t="s">
        <v>408</v>
      </c>
      <c r="D29" s="334" t="s">
        <v>1036</v>
      </c>
      <c r="E29" s="360">
        <v>2821.99</v>
      </c>
      <c r="F29" s="360"/>
      <c r="G29" s="439">
        <f t="shared" si="2"/>
        <v>1927.2126829268293</v>
      </c>
      <c r="H29" s="429">
        <v>0</v>
      </c>
      <c r="I29" s="336">
        <f>Table133[[#This Row],[Income (Estimated)]]-Table133[[#This Row],[Material Cost (Estimated)]]</f>
        <v>2821.99</v>
      </c>
      <c r="J29" s="672">
        <f>Table133[[#This Row],[Estimated Profit ($$)]]/Table133[[#This Row],[Income (Estimated)]]</f>
        <v>1</v>
      </c>
      <c r="K29" s="366">
        <v>46085</v>
      </c>
      <c r="L29" s="364">
        <v>46125</v>
      </c>
      <c r="M29" s="365">
        <f t="shared" si="3"/>
        <v>46155</v>
      </c>
      <c r="N29" s="362"/>
      <c r="O29" s="362"/>
      <c r="P29" s="367"/>
    </row>
    <row r="30" spans="2:16" x14ac:dyDescent="0.25">
      <c r="B30" s="440" t="s">
        <v>1115</v>
      </c>
      <c r="C30" s="334" t="s">
        <v>408</v>
      </c>
      <c r="D30" s="334" t="s">
        <v>1036</v>
      </c>
      <c r="E30" s="360">
        <v>9403.35</v>
      </c>
      <c r="F30" s="360"/>
      <c r="G30" s="439"/>
      <c r="H30" s="429">
        <v>0</v>
      </c>
      <c r="I30" s="336">
        <f>Table133[[#This Row],[Income (Estimated)]]-Table133[[#This Row],[Material Cost (Estimated)]]</f>
        <v>9403.35</v>
      </c>
      <c r="J30" s="672">
        <f>Table133[[#This Row],[Estimated Profit ($$)]]/Table133[[#This Row],[Income (Estimated)]]</f>
        <v>1</v>
      </c>
      <c r="K30" s="366">
        <v>46107</v>
      </c>
      <c r="L30" s="364">
        <v>46141</v>
      </c>
      <c r="M30" s="365">
        <f t="shared" si="3"/>
        <v>46171</v>
      </c>
      <c r="N30" s="362"/>
      <c r="O30" s="362"/>
      <c r="P30" s="367"/>
    </row>
    <row r="31" spans="2:16" x14ac:dyDescent="0.25">
      <c r="B31" s="440"/>
      <c r="C31" s="334"/>
      <c r="D31" s="334"/>
      <c r="E31" s="360"/>
      <c r="F31" s="360"/>
      <c r="G31" s="439"/>
      <c r="H31" s="335"/>
      <c r="I31" s="336">
        <f>Table133[[#This Row],[Income (Estimated)]]-Table133[[#This Row],[Material Cost (Estimated)]]</f>
        <v>0</v>
      </c>
      <c r="J31" s="363" t="str">
        <f>IFERROR(Table133[[#This Row],[Estimated Profit ($$)]]/Table133[[#This Row],[Income (Estimated)]],"-")</f>
        <v>-</v>
      </c>
      <c r="K31" s="366"/>
      <c r="L31" s="364"/>
      <c r="M31" s="365"/>
      <c r="N31" s="362"/>
      <c r="O31" s="362"/>
      <c r="P31" s="367"/>
    </row>
    <row r="32" spans="2:16" x14ac:dyDescent="0.25">
      <c r="B32" s="440"/>
      <c r="C32" s="334"/>
      <c r="D32" s="334"/>
      <c r="E32" s="360"/>
      <c r="F32" s="360"/>
      <c r="G32" s="439"/>
      <c r="H32" s="335"/>
      <c r="I32" s="336">
        <f>Table133[[#This Row],[Income (Estimated)]]-Table133[[#This Row],[Material Cost (Estimated)]]</f>
        <v>0</v>
      </c>
      <c r="J32" s="363" t="str">
        <f>IFERROR(Table133[[#This Row],[Estimated Profit ($$)]]/Table133[[#This Row],[Income (Estimated)]],"-")</f>
        <v>-</v>
      </c>
      <c r="K32" s="366"/>
      <c r="L32" s="364"/>
      <c r="M32" s="365"/>
      <c r="N32" s="362"/>
      <c r="O32" s="362"/>
      <c r="P32" s="367"/>
    </row>
    <row r="33" spans="2:16" x14ac:dyDescent="0.25">
      <c r="B33" s="440"/>
      <c r="C33" s="334"/>
      <c r="D33" s="334"/>
      <c r="E33" s="360"/>
      <c r="F33" s="360"/>
      <c r="G33" s="439"/>
      <c r="H33" s="335"/>
      <c r="I33" s="336">
        <f>Table133[[#This Row],[Income (Estimated)]]-Table133[[#This Row],[Material Cost (Estimated)]]</f>
        <v>0</v>
      </c>
      <c r="J33" s="363" t="str">
        <f>IFERROR(Table133[[#This Row],[Estimated Profit ($$)]]/Table133[[#This Row],[Income (Estimated)]],"-")</f>
        <v>-</v>
      </c>
      <c r="K33" s="366"/>
      <c r="L33" s="364"/>
      <c r="M33" s="365"/>
      <c r="N33" s="362"/>
      <c r="O33" s="362"/>
      <c r="P33" s="367"/>
    </row>
    <row r="34" spans="2:16" x14ac:dyDescent="0.25">
      <c r="B34" s="440"/>
      <c r="C34" s="334"/>
      <c r="D34" s="334"/>
      <c r="E34" s="360"/>
      <c r="F34" s="360"/>
      <c r="G34" s="439"/>
      <c r="H34" s="335"/>
      <c r="I34" s="336">
        <f>Table133[[#This Row],[Income (Estimated)]]-Table133[[#This Row],[Material Cost (Estimated)]]</f>
        <v>0</v>
      </c>
      <c r="J34" s="363" t="str">
        <f>IFERROR(Table133[[#This Row],[Estimated Profit ($$)]]/Table133[[#This Row],[Income (Estimated)]],"-")</f>
        <v>-</v>
      </c>
      <c r="K34" s="366"/>
      <c r="L34" s="364"/>
      <c r="M34" s="365"/>
      <c r="N34" s="362"/>
      <c r="O34" s="362"/>
      <c r="P34" s="367"/>
    </row>
    <row r="35" spans="2:16" x14ac:dyDescent="0.25">
      <c r="B35" s="440"/>
      <c r="C35" s="334"/>
      <c r="D35" s="334"/>
      <c r="E35" s="360"/>
      <c r="F35" s="360"/>
      <c r="G35" s="673"/>
      <c r="H35" s="335"/>
      <c r="I35" s="335">
        <f>Table133[[#This Row],[Income (Estimated)]]-Table133[[#This Row],[Material Cost (Estimated)]]</f>
        <v>0</v>
      </c>
      <c r="J35" s="363" t="str">
        <f>IFERROR(Table133[[#This Row],[Estimated Profit ($$)]]/Table133[[#This Row],[Income (Estimated)]],"-")</f>
        <v>-</v>
      </c>
      <c r="K35" s="366"/>
      <c r="L35" s="364"/>
      <c r="M35" s="365"/>
      <c r="N35" s="362"/>
      <c r="O35" s="362"/>
      <c r="P35" s="367"/>
    </row>
    <row r="36" spans="2:16" ht="15.75" thickBot="1" x14ac:dyDescent="0.3">
      <c r="B36" s="432" t="s">
        <v>1046</v>
      </c>
      <c r="C36" s="433"/>
      <c r="D36" s="433"/>
      <c r="E36" s="434">
        <f>SUBTOTAL(9,E20:E35)</f>
        <v>79305.560000000012</v>
      </c>
      <c r="F36" s="434">
        <f>SUBTOTAL(9,F20:F35)</f>
        <v>0</v>
      </c>
      <c r="G36" s="434">
        <f>SUBTOTAL(9,G20:G35)</f>
        <v>65051.758740833953</v>
      </c>
      <c r="H36" s="434">
        <f>SUBTOTAL(9,H20:H35)</f>
        <v>963.27</v>
      </c>
      <c r="I36" s="434">
        <f>SUBTOTAL(9,I20:I35)</f>
        <v>78342.290000000008</v>
      </c>
      <c r="J36" s="435"/>
      <c r="K36" s="435"/>
      <c r="L36" s="435"/>
      <c r="M36" s="436"/>
      <c r="N36" s="433"/>
      <c r="O36" s="433"/>
      <c r="P36" s="433"/>
    </row>
    <row r="37" spans="2:16" ht="15.75" thickTop="1" x14ac:dyDescent="0.25">
      <c r="B37" s="440"/>
      <c r="C37" s="358"/>
      <c r="D37" s="358"/>
      <c r="E37" s="360"/>
      <c r="F37" s="360"/>
      <c r="G37" s="358"/>
      <c r="H37" s="360"/>
      <c r="I37" s="360"/>
      <c r="J37" s="368"/>
      <c r="K37" s="369"/>
      <c r="L37" s="369"/>
      <c r="M37" s="365"/>
      <c r="N37" s="362"/>
      <c r="O37" s="362"/>
      <c r="P37" s="367"/>
    </row>
    <row r="38" spans="2:16" x14ac:dyDescent="0.25">
      <c r="B38" s="441" t="s">
        <v>271</v>
      </c>
      <c r="C38" s="358"/>
      <c r="D38" s="358"/>
      <c r="E38" s="359"/>
      <c r="F38" s="360"/>
      <c r="G38" s="358"/>
      <c r="H38" s="359"/>
      <c r="I38" s="360"/>
      <c r="J38" s="368"/>
      <c r="K38" s="361"/>
      <c r="L38" s="361"/>
      <c r="M38" s="365"/>
      <c r="N38" s="362"/>
      <c r="O38" s="362"/>
      <c r="P38" s="367"/>
    </row>
    <row r="39" spans="2:16" x14ac:dyDescent="0.25">
      <c r="B39" s="442"/>
      <c r="C39" s="358"/>
      <c r="D39" s="358"/>
      <c r="E39" s="359"/>
      <c r="F39" s="360"/>
      <c r="G39" s="358"/>
      <c r="H39" s="359"/>
      <c r="I39" s="31"/>
      <c r="J39" s="363"/>
      <c r="K39" s="361"/>
      <c r="L39" s="361"/>
      <c r="M39" s="365"/>
      <c r="N39" s="362"/>
      <c r="O39" s="362"/>
      <c r="P39" s="367"/>
    </row>
    <row r="40" spans="2:16" x14ac:dyDescent="0.25">
      <c r="B40" s="443" t="s">
        <v>1047</v>
      </c>
      <c r="C40" s="334" t="s">
        <v>1048</v>
      </c>
      <c r="D40" s="334" t="s">
        <v>1036</v>
      </c>
      <c r="E40" s="348">
        <v>10000</v>
      </c>
      <c r="F40" s="803">
        <v>5000</v>
      </c>
      <c r="G40" s="439">
        <f>MAX(0,(MIN($G$2, L40) - K40+1) / (L40 - K40+1) * E40-F40)</f>
        <v>2000</v>
      </c>
      <c r="H40" s="348">
        <v>1500</v>
      </c>
      <c r="I40" s="344">
        <f>Table133[[#This Row],[Income (Estimated)]]-Table133[[#This Row],[Material Cost (Estimated)]]</f>
        <v>8500</v>
      </c>
      <c r="J40" s="337">
        <f>IFERROR(Table133[[#This Row],[Estimated Profit ($$)]]/Table133[[#This Row],[Income (Estimated)]],"-")</f>
        <v>0.85</v>
      </c>
      <c r="K40" s="345">
        <v>45973</v>
      </c>
      <c r="L40" s="349">
        <v>46172</v>
      </c>
      <c r="M40" s="339">
        <f>+IF(L40&lt;&gt;"",L40+30,"")</f>
        <v>46202</v>
      </c>
      <c r="N40" s="340" t="s">
        <v>1049</v>
      </c>
      <c r="O40" s="340"/>
      <c r="P40" s="370" t="s">
        <v>1050</v>
      </c>
    </row>
    <row r="41" spans="2:16" x14ac:dyDescent="0.25">
      <c r="B41" s="430"/>
      <c r="C41" s="343"/>
      <c r="D41" s="343"/>
      <c r="E41" s="348"/>
      <c r="F41" s="348"/>
      <c r="G41" s="444"/>
      <c r="H41" s="348"/>
      <c r="I41" s="344">
        <f>Table133[[#This Row],[Income (Estimated)]]-Table133[[#This Row],[Material Cost (Estimated)]]</f>
        <v>0</v>
      </c>
      <c r="J41" s="337" t="str">
        <f>IFERROR(Table133[[#This Row],[Estimated Profit ($$)]]/Table133[[#This Row],[Income (Estimated)]],"-")</f>
        <v>-</v>
      </c>
      <c r="K41" s="345"/>
      <c r="L41" s="345"/>
      <c r="M41" s="349"/>
      <c r="N41" s="346"/>
      <c r="O41" s="346"/>
      <c r="P41" s="401"/>
    </row>
    <row r="42" spans="2:16" x14ac:dyDescent="0.25">
      <c r="B42" s="430"/>
      <c r="C42" s="343"/>
      <c r="D42" s="343"/>
      <c r="E42" s="348"/>
      <c r="F42" s="348"/>
      <c r="G42" s="265"/>
      <c r="H42" s="348"/>
      <c r="I42" s="344">
        <f>Table133[[#This Row],[Income (Estimated)]]-Table133[[#This Row],[Material Cost (Estimated)]]</f>
        <v>0</v>
      </c>
      <c r="J42" s="337" t="str">
        <f>IFERROR(Table133[[#This Row],[Estimated Profit ($$)]]/Table133[[#This Row],[Income (Estimated)]],"-")</f>
        <v>-</v>
      </c>
      <c r="K42" s="345"/>
      <c r="L42" s="345"/>
      <c r="M42" s="349"/>
      <c r="N42" s="346"/>
      <c r="O42" s="346"/>
      <c r="P42" s="401"/>
    </row>
    <row r="43" spans="2:16" x14ac:dyDescent="0.25">
      <c r="B43" s="430"/>
      <c r="C43" s="343"/>
      <c r="D43" s="343"/>
      <c r="E43" s="348"/>
      <c r="F43" s="348"/>
      <c r="G43" s="265"/>
      <c r="H43" s="348"/>
      <c r="I43" s="344">
        <f>Table133[[#This Row],[Income (Estimated)]]-Table133[[#This Row],[Material Cost (Estimated)]]</f>
        <v>0</v>
      </c>
      <c r="J43" s="337" t="str">
        <f>IFERROR(Table133[[#This Row],[Estimated Profit ($$)]]/Table133[[#This Row],[Income (Estimated)]],"-")</f>
        <v>-</v>
      </c>
      <c r="K43" s="345"/>
      <c r="L43" s="345"/>
      <c r="M43" s="349"/>
      <c r="N43" s="346"/>
      <c r="O43" s="346"/>
      <c r="P43" s="401"/>
    </row>
    <row r="44" spans="2:16" x14ac:dyDescent="0.25">
      <c r="B44" s="445"/>
      <c r="C44" s="343"/>
      <c r="D44" s="371"/>
      <c r="E44" s="372"/>
      <c r="F44" s="372"/>
      <c r="G44" s="371"/>
      <c r="H44" s="372"/>
      <c r="I44" s="373">
        <f>Table133[[#This Row],[Income (Estimated)]]-Table133[[#This Row],[Material Cost (Estimated)]]</f>
        <v>0</v>
      </c>
      <c r="J44" s="337" t="str">
        <f>IFERROR(Table133[[#This Row],[Estimated Profit ($$)]]/Table133[[#This Row],[Income (Estimated)]],"-")</f>
        <v>-</v>
      </c>
      <c r="K44" s="374"/>
      <c r="L44" s="375"/>
      <c r="M44" s="350"/>
      <c r="N44" s="376"/>
      <c r="O44" s="376"/>
      <c r="P44" s="377"/>
    </row>
    <row r="45" spans="2:16" ht="15.75" thickBot="1" x14ac:dyDescent="0.3">
      <c r="B45" s="432" t="s">
        <v>1051</v>
      </c>
      <c r="C45" s="433"/>
      <c r="D45" s="433"/>
      <c r="E45" s="434">
        <f>+SUBTOTAL(9,E39:E44)</f>
        <v>10000</v>
      </c>
      <c r="F45" s="434">
        <f>+SUBTOTAL(9,F39:F44)</f>
        <v>5000</v>
      </c>
      <c r="G45" s="434">
        <f>+SUBTOTAL(9,G39:G44)</f>
        <v>2000</v>
      </c>
      <c r="H45" s="434">
        <f>+SUBTOTAL(9,H39:H44)</f>
        <v>1500</v>
      </c>
      <c r="I45" s="434">
        <f>+SUBTOTAL(9,I39:I44)</f>
        <v>8500</v>
      </c>
      <c r="J45" s="434"/>
      <c r="K45" s="435"/>
      <c r="L45" s="435"/>
      <c r="M45" s="436"/>
      <c r="N45" s="433"/>
      <c r="O45" s="433"/>
      <c r="P45" s="433"/>
    </row>
    <row r="46" spans="2:16" ht="15.75" thickTop="1" x14ac:dyDescent="0.25">
      <c r="B46" s="446"/>
      <c r="C46" s="447"/>
      <c r="D46" s="447"/>
      <c r="E46" s="448"/>
      <c r="F46" s="448"/>
      <c r="G46" s="448"/>
      <c r="H46" s="448"/>
      <c r="I46" s="448"/>
      <c r="J46" s="449"/>
      <c r="K46" s="449"/>
      <c r="L46" s="449"/>
      <c r="M46" s="450"/>
      <c r="N46" s="447"/>
      <c r="O46" s="447"/>
      <c r="P46" s="451"/>
    </row>
    <row r="47" spans="2:16" x14ac:dyDescent="0.25">
      <c r="B47" s="441" t="s">
        <v>270</v>
      </c>
      <c r="C47" s="358"/>
      <c r="D47" s="358"/>
      <c r="E47" s="359"/>
      <c r="F47" s="360"/>
      <c r="G47" s="358"/>
      <c r="H47" s="359"/>
      <c r="I47" s="360"/>
      <c r="J47" s="368"/>
      <c r="K47" s="361"/>
      <c r="L47" s="361"/>
      <c r="M47" s="365"/>
      <c r="N47" s="362"/>
      <c r="O47" s="362"/>
      <c r="P47" s="367"/>
    </row>
    <row r="48" spans="2:16" x14ac:dyDescent="0.25">
      <c r="B48" s="442"/>
      <c r="C48" s="358"/>
      <c r="D48" s="358"/>
      <c r="E48" s="359"/>
      <c r="F48" s="360"/>
      <c r="G48" s="358"/>
      <c r="H48" s="359"/>
      <c r="I48" s="31"/>
      <c r="J48" s="363"/>
      <c r="K48" s="361"/>
      <c r="L48" s="361"/>
      <c r="M48" s="365"/>
      <c r="N48" s="362"/>
      <c r="O48" s="362"/>
      <c r="P48" s="367"/>
    </row>
    <row r="49" spans="2:16" x14ac:dyDescent="0.25">
      <c r="B49" s="452" t="s">
        <v>1052</v>
      </c>
      <c r="C49" s="358" t="s">
        <v>414</v>
      </c>
      <c r="D49" s="358" t="s">
        <v>1036</v>
      </c>
      <c r="E49" s="453"/>
      <c r="F49" s="360"/>
      <c r="G49" s="454">
        <f>MAX(0,(MIN($G$2, L49) - K49+1) / (L49 - K49+1) * E49-F49)</f>
        <v>0</v>
      </c>
      <c r="H49" s="453"/>
      <c r="I49" s="31">
        <f>Table133[[#This Row],[Income (Estimated)]]-Table133[[#This Row],[Material Cost (Estimated)]]</f>
        <v>0</v>
      </c>
      <c r="J49" s="363" t="str">
        <f>IFERROR(Table133[[#This Row],[Estimated Profit ($$)]]/Table133[[#This Row],[Income (Estimated)]],"-")</f>
        <v>-</v>
      </c>
      <c r="K49" s="455"/>
      <c r="L49" s="455"/>
      <c r="M49" s="365"/>
      <c r="N49" s="362"/>
      <c r="O49" s="362"/>
      <c r="P49" s="367"/>
    </row>
    <row r="50" spans="2:16" x14ac:dyDescent="0.25">
      <c r="B50" s="445" t="s">
        <v>1053</v>
      </c>
      <c r="C50" s="343" t="s">
        <v>1054</v>
      </c>
      <c r="D50" s="371" t="s">
        <v>1036</v>
      </c>
      <c r="E50" s="456"/>
      <c r="F50" s="372"/>
      <c r="G50" s="457"/>
      <c r="H50" s="456"/>
      <c r="I50" s="373">
        <f>Table133[[#This Row],[Income (Estimated)]]-Table133[[#This Row],[Material Cost (Estimated)]]</f>
        <v>0</v>
      </c>
      <c r="J50" s="363" t="str">
        <f>IFERROR(Table133[[#This Row],[Estimated Profit ($$)]]/Table133[[#This Row],[Income (Estimated)]],"-")</f>
        <v>-</v>
      </c>
      <c r="K50" s="458"/>
      <c r="L50" s="459"/>
      <c r="M50" s="350"/>
      <c r="N50" s="376"/>
      <c r="O50" s="376"/>
      <c r="P50" s="377"/>
    </row>
    <row r="51" spans="2:16" x14ac:dyDescent="0.25">
      <c r="B51" s="445"/>
      <c r="C51" s="343"/>
      <c r="D51" s="371"/>
      <c r="E51" s="372"/>
      <c r="F51" s="372"/>
      <c r="G51" s="371"/>
      <c r="H51" s="372"/>
      <c r="I51" s="373"/>
      <c r="J51" s="363"/>
      <c r="K51" s="374"/>
      <c r="L51" s="375"/>
      <c r="M51" s="350"/>
      <c r="N51" s="376"/>
      <c r="O51" s="376"/>
      <c r="P51" s="377"/>
    </row>
    <row r="52" spans="2:16" ht="15.75" thickBot="1" x14ac:dyDescent="0.3">
      <c r="B52" s="432" t="s">
        <v>1055</v>
      </c>
      <c r="C52" s="433"/>
      <c r="D52" s="433"/>
      <c r="E52" s="434">
        <f>+SUBTOTAL(9,E48:E51)</f>
        <v>0</v>
      </c>
      <c r="F52" s="434">
        <f>SUM(F47:F51)</f>
        <v>0</v>
      </c>
      <c r="G52" s="434">
        <f>SUM(G48:G51)</f>
        <v>0</v>
      </c>
      <c r="H52" s="434">
        <f>+SUBTOTAL(9,H48:H51)</f>
        <v>0</v>
      </c>
      <c r="I52" s="434">
        <f>+SUBTOTAL(9,I48:I51)</f>
        <v>0</v>
      </c>
      <c r="J52" s="435"/>
      <c r="K52" s="435"/>
      <c r="L52" s="435"/>
      <c r="M52" s="436"/>
      <c r="N52" s="433"/>
      <c r="O52" s="433"/>
      <c r="P52" s="433"/>
    </row>
    <row r="53" spans="2:16" ht="15.75" thickTop="1" x14ac:dyDescent="0.25">
      <c r="B53" s="460"/>
      <c r="C53" s="371"/>
      <c r="D53" s="371"/>
      <c r="E53" s="372"/>
      <c r="F53" s="372"/>
      <c r="G53" s="371"/>
      <c r="H53" s="372"/>
      <c r="I53" s="372"/>
      <c r="J53" s="378"/>
      <c r="K53" s="379"/>
      <c r="L53" s="379"/>
      <c r="M53" s="350"/>
      <c r="N53" s="376"/>
      <c r="O53" s="376"/>
      <c r="P53" s="377"/>
    </row>
    <row r="54" spans="2:16" x14ac:dyDescent="0.25">
      <c r="B54" s="804"/>
    </row>
    <row r="56" spans="2:16" x14ac:dyDescent="0.25">
      <c r="B56"/>
    </row>
  </sheetData>
  <phoneticPr fontId="52" type="noConversion"/>
  <conditionalFormatting sqref="B16:B1048576 B1:B12">
    <cfRule type="duplicateValues" dxfId="7" priority="1"/>
  </conditionalFormatting>
  <conditionalFormatting sqref="B40">
    <cfRule type="duplicateValues" dxfId="6" priority="4"/>
  </conditionalFormatting>
  <conditionalFormatting sqref="B40:B43">
    <cfRule type="duplicateValues" dxfId="5" priority="5"/>
  </conditionalFormatting>
  <conditionalFormatting sqref="B52">
    <cfRule type="duplicateValues" dxfId="4" priority="8"/>
  </conditionalFormatting>
  <conditionalFormatting sqref="B53:B1048576 B45:B46 B16:B21 B1:B12 B23:B37">
    <cfRule type="duplicateValues" dxfId="3" priority="6"/>
  </conditionalFormatting>
  <conditionalFormatting sqref="B53:B1048576 B45:B46 B16:B21 B4:B12 B23:B37">
    <cfRule type="duplicateValues" dxfId="2" priority="7"/>
  </conditionalFormatting>
  <conditionalFormatting sqref="J9:J17 J23:J35">
    <cfRule type="cellIs" dxfId="1" priority="2" operator="between">
      <formula>0.7</formula>
      <formula>0.0000001</formula>
    </cfRule>
  </conditionalFormatting>
  <conditionalFormatting sqref="J37:J44 J46:J51">
    <cfRule type="cellIs" dxfId="0" priority="3" operator="between">
      <formula>0.7</formula>
      <formula>0.0000001</formula>
    </cfRule>
  </conditionalFormatting>
  <hyperlinks>
    <hyperlink ref="R2" location="Index!A1" display="Home" xr:uid="{AD578F07-453B-4D5C-AA96-3415143C0024}"/>
    <hyperlink ref="R4" location="P_L" display="Profit &amp; Loss" xr:uid="{457147E4-80F2-472F-85FF-F80E78202BFD}"/>
    <hyperlink ref="R3" location="B_S" display="Balance Sheet" xr:uid="{D804B75C-FF71-4209-A0AF-4340483E01A1}"/>
    <hyperlink ref="R5" location="PL_YTD" display="PL-Division (YTD)" xr:uid="{E014AE56-8668-4D20-93A0-37967BD11FA7}"/>
    <hyperlink ref="R6" location="PL_DM" display="PL-Division (Month)" xr:uid="{3C7B9EE6-18C1-47C9-BFDE-A147764260DA}"/>
  </hyperlinks>
  <pageMargins left="0.7" right="0.7" top="0.75" bottom="0.75" header="0.3" footer="0.3"/>
  <pageSetup paperSize="3" scale="63" orientation="landscape" r:id="rId1"/>
  <ignoredErrors>
    <ignoredError sqref="J8:J10" calculatedColumn="1"/>
    <ignoredError sqref="J11:J52 I45 I52" unlockedFormula="1" calculatedColumn="1"/>
    <ignoredError sqref="F53:M56 F11:I44 K11:M52 F46:I51 F45:H45 F52:H52 M9:M10" unlockedFormula="1"/>
  </ignoredErrors>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B14022FC19D6499CF8E3699A8C4C4B" ma:contentTypeVersion="18" ma:contentTypeDescription="Create a new document." ma:contentTypeScope="" ma:versionID="6dce28508d98e7bea9994183f56dcec6">
  <xsd:schema xmlns:xsd="http://www.w3.org/2001/XMLSchema" xmlns:xs="http://www.w3.org/2001/XMLSchema" xmlns:p="http://schemas.microsoft.com/office/2006/metadata/properties" xmlns:ns2="5c0f8c4c-7830-45d7-8724-7ea4628681af" xmlns:ns3="218edd07-da62-4904-beb2-1bced232b44f" targetNamespace="http://schemas.microsoft.com/office/2006/metadata/properties" ma:root="true" ma:fieldsID="a2ff1e8a52c55e880fcc05196d3d8fe7" ns2:_="" ns3:_="">
    <xsd:import namespace="5c0f8c4c-7830-45d7-8724-7ea4628681af"/>
    <xsd:import namespace="218edd07-da62-4904-beb2-1bced232b4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f8c4c-7830-45d7-8724-7ea4628681a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e80cf74-bd8d-4f7d-941a-c8280ba04544}" ma:internalName="TaxCatchAll" ma:showField="CatchAllData" ma:web="5c0f8c4c-7830-45d7-8724-7ea4628681a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18edd07-da62-4904-beb2-1bced232b44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41bbdbc-a2d3-4092-aed3-87954ffa4f10"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c0f8c4c-7830-45d7-8724-7ea4628681af" xsi:nil="true"/>
    <lcf76f155ced4ddcb4097134ff3c332f xmlns="218edd07-da62-4904-beb2-1bced232b4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B91703-2F77-4108-BDF5-4D8192CC0007}">
  <ds:schemaRefs>
    <ds:schemaRef ds:uri="http://schemas.microsoft.com/sharepoint/v3/contenttype/forms"/>
  </ds:schemaRefs>
</ds:datastoreItem>
</file>

<file path=customXml/itemProps2.xml><?xml version="1.0" encoding="utf-8"?>
<ds:datastoreItem xmlns:ds="http://schemas.openxmlformats.org/officeDocument/2006/customXml" ds:itemID="{2880F20C-CE6A-4AC7-B555-E191AA839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f8c4c-7830-45d7-8724-7ea4628681af"/>
    <ds:schemaRef ds:uri="218edd07-da62-4904-beb2-1bced232b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2DABBB-6A7A-422F-B604-90059F2D73B8}">
  <ds:schemaRefs>
    <ds:schemaRef ds:uri="http://schemas.microsoft.com/office/2006/metadata/properties"/>
    <ds:schemaRef ds:uri="http://schemas.microsoft.com/office/infopath/2007/PartnerControls"/>
    <ds:schemaRef ds:uri="5c0f8c4c-7830-45d7-8724-7ea4628681af"/>
    <ds:schemaRef ds:uri="218edd07-da62-4904-beb2-1bced232b44f"/>
  </ds:schemaRefs>
</ds:datastoreItem>
</file>

<file path=docMetadata/LabelInfo.xml><?xml version="1.0" encoding="utf-8"?>
<clbl:labelList xmlns:clbl="http://schemas.microsoft.com/office/2020/mipLabelMetadata">
  <clbl:label id="{cc3e0318-63c1-45dd-9232-f9864d8b26ea}" enabled="1" method="Privileged" siteId="{1da47e42-5464-4247-8c95-25fd6489c31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Project Profitability Points</vt:lpstr>
      <vt:lpstr>Cover</vt:lpstr>
      <vt:lpstr>Index</vt:lpstr>
      <vt:lpstr>BS</vt:lpstr>
      <vt:lpstr>Charts</vt:lpstr>
      <vt:lpstr>Charts Data</vt:lpstr>
      <vt:lpstr>Profit and Loss by Month</vt:lpstr>
      <vt:lpstr>Profit &amp; Loss - Division(Month)</vt:lpstr>
      <vt:lpstr>Profit and Loss - Division(YTD)</vt:lpstr>
      <vt:lpstr>Statement of Cash Flows</vt:lpstr>
      <vt:lpstr>Profit and Loss - YOY Summary</vt:lpstr>
      <vt:lpstr>Profit and Loss - YOY Detail</vt:lpstr>
      <vt:lpstr>Project Profitability Report</vt:lpstr>
      <vt:lpstr>Profit and Loss-MOM</vt:lpstr>
      <vt:lpstr>COGS Preparyment V2</vt:lpstr>
      <vt:lpstr>Cost of Materials</vt:lpstr>
      <vt:lpstr>PE</vt:lpstr>
      <vt:lpstr>AR</vt:lpstr>
      <vt:lpstr>FA</vt:lpstr>
      <vt:lpstr>OA</vt:lpstr>
      <vt:lpstr>AP</vt:lpstr>
      <vt:lpstr>AE</vt:lpstr>
      <vt:lpstr>AE-SL</vt:lpstr>
      <vt:lpstr>IL</vt:lpstr>
      <vt:lpstr>SL</vt:lpstr>
      <vt:lpstr>RL</vt:lpstr>
      <vt:lpstr>AL</vt:lpstr>
      <vt:lpstr>AI</vt:lpstr>
      <vt:lpstr>Accrued_Income</vt:lpstr>
      <vt:lpstr>Amex_Loan</vt:lpstr>
      <vt:lpstr>B_S</vt:lpstr>
      <vt:lpstr>I_L</vt:lpstr>
      <vt:lpstr>P_L</vt:lpstr>
      <vt:lpstr>PL_DM</vt:lpstr>
      <vt:lpstr>PL_YTD</vt:lpstr>
      <vt:lpstr>AI!Print_Area</vt:lpstr>
      <vt:lpstr>R_L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Maurvi K. Dani</dc:creator>
  <cp:keywords/>
  <dc:description/>
  <cp:lastModifiedBy>Arpit Patel</cp:lastModifiedBy>
  <cp:revision/>
  <dcterms:created xsi:type="dcterms:W3CDTF">2024-04-30T07:41:16Z</dcterms:created>
  <dcterms:modified xsi:type="dcterms:W3CDTF">2026-05-12T15:28:48Z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0x01010023B14022FC19D6499CF8E3699A8C4C4B</vt:lpwstr>
  </property>
  <property fmtid="{D5CDD505-2E9C-101B-9397-08002B2CF9AE}" pid="3" name="MediaServiceImageTags">
    <vt:lpwstr/>
  </property>
</Properties>
</file>